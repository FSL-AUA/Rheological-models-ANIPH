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uagpa-my.sharepoint.com/personal/leonidas_mindrinos_aua_gr/Documents/Επιφάνεια εργασίας/maraveas/Rheological_model/final/git/sclPHA_loss_modulus/new/"/>
    </mc:Choice>
  </mc:AlternateContent>
  <xr:revisionPtr revIDLastSave="60" documentId="13_ncr:1_{DCCAA466-845A-43C3-B6D7-4EB9F69A1B9C}" xr6:coauthVersionLast="47" xr6:coauthVersionMax="47" xr10:uidLastSave="{6666FFB3-ABBA-4888-9F89-02164344BBA6}"/>
  <bookViews>
    <workbookView xWindow="-120" yWindow="-120" windowWidth="29040" windowHeight="15720" tabRatio="906" xr2:uid="{00000000-000D-0000-FFFF-FFFF00000000}"/>
  </bookViews>
  <sheets>
    <sheet name="converted_MPa_Loss_modulus_f2" sheetId="16" r:id="rId1"/>
    <sheet name="Physchem_properties" sheetId="4" r:id="rId2"/>
    <sheet name="Thermal_properties" sheetId="5" r:id="rId3"/>
    <sheet name="Rheological_experimental_detail" sheetId="7" r:id="rId4"/>
    <sheet name="Storage_modulus_G" sheetId="12" r:id="rId5"/>
    <sheet name="converted_MPa_Storage_modulus_G" sheetId="9" r:id="rId6"/>
    <sheet name="Loss_modulus_G" sheetId="13" r:id="rId7"/>
    <sheet name="converted_MPa_Loss_modulus_G" sheetId="10" r:id="rId8"/>
    <sheet name="Angular_frequency" sheetId="11" r:id="rId9"/>
    <sheet name="Ang_freq_converted(rad.s-1)" sheetId="8" r:id="rId10"/>
    <sheet name="Temperature" sheetId="2" r:id="rId11"/>
    <sheet name="Complex_viscosity" sheetId="6" r:id="rId12"/>
    <sheet name="Tandelta" sheetId="14" r:id="rId13"/>
    <sheet name="Metadata" sheetId="15" r:id="rId14"/>
    <sheet name="Info" sheetId="1" r:id="rId15"/>
  </sheets>
  <definedNames>
    <definedName name="_xlnm._FilterDatabase" localSheetId="1" hidden="1">Physchem_properties!$A$1:$V$337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VW3Ri4mZMo6OGRK2TzbCjhrdlLNyeZtBSg7wdwIDVRo="/>
    </ext>
  </extLst>
</workbook>
</file>

<file path=xl/calcChain.xml><?xml version="1.0" encoding="utf-8"?>
<calcChain xmlns="http://schemas.openxmlformats.org/spreadsheetml/2006/main">
  <c r="M253" i="16" l="1"/>
  <c r="L253" i="16"/>
  <c r="K253" i="16"/>
  <c r="J253" i="16"/>
  <c r="I253" i="16"/>
  <c r="H253" i="16"/>
  <c r="G253" i="16"/>
  <c r="F253" i="16"/>
  <c r="E253" i="16"/>
  <c r="D253" i="16"/>
  <c r="M252" i="16"/>
  <c r="L252" i="16"/>
  <c r="K252" i="16"/>
  <c r="J252" i="16"/>
  <c r="I252" i="16"/>
  <c r="H252" i="16"/>
  <c r="G252" i="16"/>
  <c r="F252" i="16"/>
  <c r="E252" i="16"/>
  <c r="D252" i="16"/>
  <c r="M251" i="16"/>
  <c r="L251" i="16"/>
  <c r="K251" i="16"/>
  <c r="J251" i="16"/>
  <c r="I251" i="16"/>
  <c r="H251" i="16"/>
  <c r="G251" i="16"/>
  <c r="F251" i="16"/>
  <c r="E251" i="16"/>
  <c r="D251" i="16"/>
  <c r="M250" i="16"/>
  <c r="L250" i="16"/>
  <c r="K250" i="16"/>
  <c r="J250" i="16"/>
  <c r="I250" i="16"/>
  <c r="H250" i="16"/>
  <c r="G250" i="16"/>
  <c r="F250" i="16"/>
  <c r="E250" i="16"/>
  <c r="D250" i="16"/>
  <c r="X233" i="16"/>
  <c r="W233" i="16"/>
  <c r="V233" i="16"/>
  <c r="U233" i="16"/>
  <c r="T233" i="16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G233" i="16"/>
  <c r="F233" i="16"/>
  <c r="E233" i="16"/>
  <c r="D233" i="16"/>
  <c r="X232" i="16"/>
  <c r="W232" i="16"/>
  <c r="V232" i="16"/>
  <c r="U232" i="16"/>
  <c r="T232" i="16"/>
  <c r="S232" i="16"/>
  <c r="R232" i="16"/>
  <c r="Q232" i="16"/>
  <c r="P232" i="16"/>
  <c r="O232" i="16"/>
  <c r="N232" i="16"/>
  <c r="M232" i="16"/>
  <c r="L232" i="16"/>
  <c r="K232" i="16"/>
  <c r="J232" i="16"/>
  <c r="I232" i="16"/>
  <c r="H232" i="16"/>
  <c r="G232" i="16"/>
  <c r="F232" i="16"/>
  <c r="E232" i="16"/>
  <c r="D232" i="16"/>
  <c r="X231" i="16"/>
  <c r="W231" i="16"/>
  <c r="V231" i="16"/>
  <c r="U231" i="16"/>
  <c r="T231" i="16"/>
  <c r="S231" i="16"/>
  <c r="R231" i="16"/>
  <c r="Q231" i="16"/>
  <c r="P231" i="16"/>
  <c r="O231" i="16"/>
  <c r="N231" i="16"/>
  <c r="M231" i="16"/>
  <c r="L231" i="16"/>
  <c r="K231" i="16"/>
  <c r="J231" i="16"/>
  <c r="I231" i="16"/>
  <c r="H231" i="16"/>
  <c r="G231" i="16"/>
  <c r="F231" i="16"/>
  <c r="E231" i="16"/>
  <c r="D231" i="16"/>
  <c r="W195" i="16"/>
  <c r="V195" i="16"/>
  <c r="U195" i="16"/>
  <c r="T195" i="16"/>
  <c r="S195" i="16"/>
  <c r="R195" i="16"/>
  <c r="Q195" i="16"/>
  <c r="P195" i="16"/>
  <c r="O195" i="16"/>
  <c r="N195" i="16"/>
  <c r="M195" i="16"/>
  <c r="L195" i="16"/>
  <c r="K195" i="16"/>
  <c r="J195" i="16"/>
  <c r="I195" i="16"/>
  <c r="H195" i="16"/>
  <c r="G195" i="16"/>
  <c r="F195" i="16"/>
  <c r="E195" i="16"/>
  <c r="D195" i="16"/>
  <c r="V194" i="16"/>
  <c r="U194" i="16"/>
  <c r="T194" i="16"/>
  <c r="S194" i="16"/>
  <c r="R194" i="16"/>
  <c r="Q194" i="16"/>
  <c r="P194" i="16"/>
  <c r="O194" i="16"/>
  <c r="N194" i="16"/>
  <c r="M194" i="16"/>
  <c r="L194" i="16"/>
  <c r="K194" i="16"/>
  <c r="J194" i="16"/>
  <c r="I194" i="16"/>
  <c r="H194" i="16"/>
  <c r="G194" i="16"/>
  <c r="F194" i="16"/>
  <c r="E194" i="16"/>
  <c r="D194" i="16"/>
  <c r="W193" i="16"/>
  <c r="V193" i="16"/>
  <c r="U193" i="16"/>
  <c r="T193" i="16"/>
  <c r="S193" i="16"/>
  <c r="R193" i="16"/>
  <c r="Q193" i="16"/>
  <c r="P193" i="16"/>
  <c r="O193" i="16"/>
  <c r="N193" i="16"/>
  <c r="M193" i="16"/>
  <c r="L193" i="16"/>
  <c r="K193" i="16"/>
  <c r="J193" i="16"/>
  <c r="I193" i="16"/>
  <c r="H193" i="16"/>
  <c r="G193" i="16"/>
  <c r="F193" i="16"/>
  <c r="E193" i="16"/>
  <c r="D193" i="16"/>
  <c r="W192" i="16"/>
  <c r="V192" i="16"/>
  <c r="U192" i="16"/>
  <c r="T192" i="16"/>
  <c r="S192" i="16"/>
  <c r="R192" i="16"/>
  <c r="Q192" i="16"/>
  <c r="P192" i="16"/>
  <c r="O192" i="16"/>
  <c r="N192" i="16"/>
  <c r="M192" i="16"/>
  <c r="L192" i="16"/>
  <c r="K192" i="16"/>
  <c r="J192" i="16"/>
  <c r="I192" i="16"/>
  <c r="H192" i="16"/>
  <c r="G192" i="16"/>
  <c r="F192" i="16"/>
  <c r="E192" i="16"/>
  <c r="D192" i="16"/>
  <c r="AB191" i="16"/>
  <c r="AA191" i="16"/>
  <c r="Z191" i="16"/>
  <c r="Y191" i="16"/>
  <c r="X191" i="16"/>
  <c r="W191" i="16"/>
  <c r="V191" i="16"/>
  <c r="U191" i="16"/>
  <c r="T191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D190" i="16"/>
  <c r="AB189" i="16"/>
  <c r="AA189" i="16"/>
  <c r="Z189" i="16"/>
  <c r="Y189" i="16"/>
  <c r="X189" i="16"/>
  <c r="W189" i="16"/>
  <c r="V189" i="16"/>
  <c r="U189" i="16"/>
  <c r="T189" i="16"/>
  <c r="S189" i="16"/>
  <c r="R189" i="16"/>
  <c r="Q189" i="16"/>
  <c r="P189" i="16"/>
  <c r="O189" i="16"/>
  <c r="N189" i="16"/>
  <c r="M189" i="16"/>
  <c r="L189" i="16"/>
  <c r="K189" i="16"/>
  <c r="J189" i="16"/>
  <c r="I189" i="16"/>
  <c r="H189" i="16"/>
  <c r="G189" i="16"/>
  <c r="F189" i="16"/>
  <c r="E189" i="16"/>
  <c r="D189" i="16"/>
  <c r="AB188" i="16"/>
  <c r="AA188" i="16"/>
  <c r="Z188" i="16"/>
  <c r="Y188" i="16"/>
  <c r="X188" i="16"/>
  <c r="W188" i="16"/>
  <c r="V188" i="16"/>
  <c r="U188" i="16"/>
  <c r="T188" i="16"/>
  <c r="S188" i="16"/>
  <c r="R188" i="16"/>
  <c r="Q188" i="16"/>
  <c r="P188" i="16"/>
  <c r="O188" i="16"/>
  <c r="N188" i="16"/>
  <c r="M188" i="16"/>
  <c r="L188" i="16"/>
  <c r="K188" i="16"/>
  <c r="J188" i="16"/>
  <c r="I188" i="16"/>
  <c r="H188" i="16"/>
  <c r="G188" i="16"/>
  <c r="F188" i="16"/>
  <c r="E188" i="16"/>
  <c r="D188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9" i="16"/>
  <c r="I139" i="16"/>
  <c r="H139" i="16"/>
  <c r="G139" i="16"/>
  <c r="F139" i="16"/>
  <c r="E139" i="16"/>
  <c r="D139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70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69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66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P64" i="16"/>
  <c r="O64" i="16"/>
  <c r="N64" i="16"/>
  <c r="M64" i="16"/>
  <c r="L64" i="16"/>
  <c r="K64" i="16"/>
  <c r="J64" i="16"/>
  <c r="I64" i="16"/>
  <c r="H64" i="16"/>
  <c r="G64" i="16"/>
  <c r="F64" i="16"/>
  <c r="E64" i="16"/>
  <c r="D64" i="16"/>
  <c r="P63" i="16"/>
  <c r="O63" i="16"/>
  <c r="N63" i="16"/>
  <c r="M63" i="16"/>
  <c r="L63" i="16"/>
  <c r="K63" i="16"/>
  <c r="J63" i="16"/>
  <c r="I63" i="16"/>
  <c r="H63" i="16"/>
  <c r="G63" i="16"/>
  <c r="F63" i="16"/>
  <c r="E63" i="16"/>
  <c r="D63" i="16"/>
  <c r="N28" i="16"/>
  <c r="M28" i="16"/>
  <c r="L28" i="16"/>
  <c r="K28" i="16"/>
  <c r="J28" i="16"/>
  <c r="I28" i="16"/>
  <c r="H28" i="16"/>
  <c r="G28" i="16"/>
  <c r="F28" i="16"/>
  <c r="E28" i="16"/>
  <c r="D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N9" i="16"/>
  <c r="M9" i="16"/>
  <c r="L9" i="16"/>
  <c r="K9" i="16"/>
  <c r="J9" i="16"/>
  <c r="I9" i="16"/>
  <c r="H9" i="16"/>
  <c r="G9" i="16"/>
  <c r="F9" i="16"/>
  <c r="E9" i="16"/>
  <c r="D9" i="16"/>
  <c r="N8" i="16"/>
  <c r="M8" i="16"/>
  <c r="L8" i="16"/>
  <c r="K8" i="16"/>
  <c r="J8" i="16"/>
  <c r="I8" i="16"/>
  <c r="H8" i="16"/>
  <c r="G8" i="16"/>
  <c r="F8" i="16"/>
  <c r="E8" i="16"/>
  <c r="D8" i="16"/>
  <c r="N7" i="16"/>
  <c r="M7" i="16"/>
  <c r="L7" i="16"/>
  <c r="K7" i="16"/>
  <c r="J7" i="16"/>
  <c r="I7" i="16"/>
  <c r="H7" i="16"/>
  <c r="G7" i="16"/>
  <c r="F7" i="16"/>
  <c r="E7" i="16"/>
  <c r="D7" i="16"/>
  <c r="M38" i="8" l="1"/>
  <c r="M39" i="8"/>
  <c r="M40" i="8"/>
  <c r="M37" i="8"/>
  <c r="M325" i="9"/>
  <c r="L325" i="9"/>
  <c r="K325" i="9"/>
  <c r="J325" i="9"/>
  <c r="I325" i="9"/>
  <c r="H325" i="9"/>
  <c r="G325" i="9"/>
  <c r="F325" i="9"/>
  <c r="E325" i="9"/>
  <c r="D325" i="9"/>
  <c r="C325" i="9"/>
  <c r="M324" i="9"/>
  <c r="L324" i="9"/>
  <c r="K324" i="9"/>
  <c r="J324" i="9"/>
  <c r="I324" i="9"/>
  <c r="H324" i="9"/>
  <c r="G324" i="9"/>
  <c r="F324" i="9"/>
  <c r="E324" i="9"/>
  <c r="D324" i="9"/>
  <c r="C324" i="9"/>
  <c r="M323" i="9"/>
  <c r="L323" i="9"/>
  <c r="K323" i="9"/>
  <c r="J323" i="9"/>
  <c r="I323" i="9"/>
  <c r="H323" i="9"/>
  <c r="G323" i="9"/>
  <c r="F323" i="9"/>
  <c r="E323" i="9"/>
  <c r="D323" i="9"/>
  <c r="C323" i="9"/>
  <c r="R285" i="9"/>
  <c r="Q285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R284" i="9"/>
  <c r="Q284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AA268" i="9"/>
  <c r="Z268" i="9"/>
  <c r="Y268" i="9"/>
  <c r="X268" i="9"/>
  <c r="W268" i="9"/>
  <c r="V268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U262" i="9"/>
  <c r="T262" i="9"/>
  <c r="S262" i="9"/>
  <c r="R262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U261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U258" i="9"/>
  <c r="T258" i="9"/>
  <c r="S258" i="9"/>
  <c r="R258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L253" i="9"/>
  <c r="K253" i="9"/>
  <c r="J253" i="9"/>
  <c r="I253" i="9"/>
  <c r="H253" i="9"/>
  <c r="G253" i="9"/>
  <c r="F253" i="9"/>
  <c r="E253" i="9"/>
  <c r="D253" i="9"/>
  <c r="C253" i="9"/>
  <c r="L252" i="9"/>
  <c r="K252" i="9"/>
  <c r="J252" i="9"/>
  <c r="I252" i="9"/>
  <c r="H252" i="9"/>
  <c r="G252" i="9"/>
  <c r="F252" i="9"/>
  <c r="E252" i="9"/>
  <c r="D252" i="9"/>
  <c r="C252" i="9"/>
  <c r="L251" i="9"/>
  <c r="K251" i="9"/>
  <c r="J251" i="9"/>
  <c r="I251" i="9"/>
  <c r="H251" i="9"/>
  <c r="G251" i="9"/>
  <c r="F251" i="9"/>
  <c r="E251" i="9"/>
  <c r="D251" i="9"/>
  <c r="C251" i="9"/>
  <c r="L250" i="9"/>
  <c r="K250" i="9"/>
  <c r="J250" i="9"/>
  <c r="I250" i="9"/>
  <c r="H250" i="9"/>
  <c r="G250" i="9"/>
  <c r="F250" i="9"/>
  <c r="E250" i="9"/>
  <c r="D250" i="9"/>
  <c r="C250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W231" i="9"/>
  <c r="V231" i="9"/>
  <c r="U231" i="9"/>
  <c r="T231" i="9"/>
  <c r="S231" i="9"/>
  <c r="R231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AH198" i="9"/>
  <c r="AG198" i="9"/>
  <c r="AF198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AH197" i="9"/>
  <c r="AG197" i="9"/>
  <c r="AF197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AH196" i="9"/>
  <c r="AG196" i="9"/>
  <c r="AF196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AJ148" i="9"/>
  <c r="AI148" i="9"/>
  <c r="AH148" i="9"/>
  <c r="AG148" i="9"/>
  <c r="AF148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AJ147" i="9"/>
  <c r="AI147" i="9"/>
  <c r="AH147" i="9"/>
  <c r="AG147" i="9"/>
  <c r="AF147" i="9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AJ146" i="9"/>
  <c r="AI146" i="9"/>
  <c r="AH146" i="9"/>
  <c r="AG146" i="9"/>
  <c r="AF146" i="9"/>
  <c r="AE146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AJ145" i="9"/>
  <c r="AI145" i="9"/>
  <c r="AH145" i="9"/>
  <c r="AG145" i="9"/>
  <c r="AF145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AJ144" i="9"/>
  <c r="AI144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AJ142" i="9"/>
  <c r="AI142" i="9"/>
  <c r="AH142" i="9"/>
  <c r="AG142" i="9"/>
  <c r="AF142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K141" i="9"/>
  <c r="J141" i="9"/>
  <c r="I141" i="9"/>
  <c r="H141" i="9"/>
  <c r="G141" i="9"/>
  <c r="F141" i="9"/>
  <c r="E141" i="9"/>
  <c r="D141" i="9"/>
  <c r="C141" i="9"/>
  <c r="K140" i="9"/>
  <c r="J140" i="9"/>
  <c r="I140" i="9"/>
  <c r="H140" i="9"/>
  <c r="G140" i="9"/>
  <c r="F140" i="9"/>
  <c r="E140" i="9"/>
  <c r="D140" i="9"/>
  <c r="C140" i="9"/>
  <c r="K139" i="9"/>
  <c r="J139" i="9"/>
  <c r="I139" i="9"/>
  <c r="H139" i="9"/>
  <c r="G139" i="9"/>
  <c r="F139" i="9"/>
  <c r="E139" i="9"/>
  <c r="D139" i="9"/>
  <c r="C139" i="9"/>
  <c r="K138" i="9"/>
  <c r="J138" i="9"/>
  <c r="I138" i="9"/>
  <c r="H138" i="9"/>
  <c r="G138" i="9"/>
  <c r="F138" i="9"/>
  <c r="E138" i="9"/>
  <c r="D138" i="9"/>
  <c r="C138" i="9"/>
  <c r="K137" i="9"/>
  <c r="J137" i="9"/>
  <c r="I137" i="9"/>
  <c r="H137" i="9"/>
  <c r="G137" i="9"/>
  <c r="F137" i="9"/>
  <c r="E137" i="9"/>
  <c r="D137" i="9"/>
  <c r="C13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M85" i="9"/>
  <c r="L85" i="9"/>
  <c r="K85" i="9"/>
  <c r="J85" i="9"/>
  <c r="I85" i="9"/>
  <c r="H85" i="9"/>
  <c r="G85" i="9"/>
  <c r="F85" i="9"/>
  <c r="E85" i="9"/>
  <c r="D85" i="9"/>
  <c r="C85" i="9"/>
  <c r="M84" i="9"/>
  <c r="L84" i="9"/>
  <c r="K84" i="9"/>
  <c r="J84" i="9"/>
  <c r="I84" i="9"/>
  <c r="H84" i="9"/>
  <c r="G84" i="9"/>
  <c r="F84" i="9"/>
  <c r="E84" i="9"/>
  <c r="D84" i="9"/>
  <c r="C84" i="9"/>
  <c r="M83" i="9"/>
  <c r="L83" i="9"/>
  <c r="K83" i="9"/>
  <c r="J83" i="9"/>
  <c r="I83" i="9"/>
  <c r="H83" i="9"/>
  <c r="G83" i="9"/>
  <c r="F83" i="9"/>
  <c r="E83" i="9"/>
  <c r="D83" i="9"/>
  <c r="C83" i="9"/>
  <c r="M82" i="9"/>
  <c r="L82" i="9"/>
  <c r="K82" i="9"/>
  <c r="J82" i="9"/>
  <c r="I82" i="9"/>
  <c r="H82" i="9"/>
  <c r="G82" i="9"/>
  <c r="F82" i="9"/>
  <c r="E82" i="9"/>
  <c r="D82" i="9"/>
  <c r="C82" i="9"/>
  <c r="L81" i="9"/>
  <c r="K81" i="9"/>
  <c r="J81" i="9"/>
  <c r="I81" i="9"/>
  <c r="H81" i="9"/>
  <c r="G81" i="9"/>
  <c r="F81" i="9"/>
  <c r="E81" i="9"/>
  <c r="D81" i="9"/>
  <c r="C81" i="9"/>
  <c r="L80" i="9"/>
  <c r="K80" i="9"/>
  <c r="J80" i="9"/>
  <c r="I80" i="9"/>
  <c r="H80" i="9"/>
  <c r="G80" i="9"/>
  <c r="F80" i="9"/>
  <c r="E80" i="9"/>
  <c r="D80" i="9"/>
  <c r="C80" i="9"/>
  <c r="L79" i="9"/>
  <c r="K79" i="9"/>
  <c r="J79" i="9"/>
  <c r="I79" i="9"/>
  <c r="H79" i="9"/>
  <c r="G79" i="9"/>
  <c r="F79" i="9"/>
  <c r="E79" i="9"/>
  <c r="D79" i="9"/>
  <c r="C79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M28" i="9"/>
  <c r="L28" i="9"/>
  <c r="K28" i="9"/>
  <c r="J28" i="9"/>
  <c r="I28" i="9"/>
  <c r="H28" i="9"/>
  <c r="G28" i="9"/>
  <c r="F28" i="9"/>
  <c r="E28" i="9"/>
  <c r="D28" i="9"/>
  <c r="C28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M9" i="9"/>
  <c r="L9" i="9"/>
  <c r="K9" i="9"/>
  <c r="J9" i="9"/>
  <c r="I9" i="9"/>
  <c r="H9" i="9"/>
  <c r="G9" i="9"/>
  <c r="F9" i="9"/>
  <c r="E9" i="9"/>
  <c r="D9" i="9"/>
  <c r="C9" i="9"/>
  <c r="M8" i="9"/>
  <c r="L8" i="9"/>
  <c r="K8" i="9"/>
  <c r="J8" i="9"/>
  <c r="I8" i="9"/>
  <c r="H8" i="9"/>
  <c r="G8" i="9"/>
  <c r="F8" i="9"/>
  <c r="E8" i="9"/>
  <c r="D8" i="9"/>
  <c r="C8" i="9"/>
  <c r="M7" i="9"/>
  <c r="L7" i="9"/>
  <c r="K7" i="9"/>
  <c r="J7" i="9"/>
  <c r="I7" i="9"/>
  <c r="H7" i="9"/>
  <c r="G7" i="9"/>
  <c r="F7" i="9"/>
  <c r="E7" i="9"/>
  <c r="D7" i="9"/>
  <c r="C7" i="9"/>
  <c r="R285" i="8"/>
  <c r="Q285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D285" i="8"/>
  <c r="C285" i="8"/>
  <c r="R284" i="8"/>
  <c r="Q284" i="8"/>
  <c r="P284" i="8"/>
  <c r="O284" i="8"/>
  <c r="N284" i="8"/>
  <c r="M284" i="8"/>
  <c r="L284" i="8"/>
  <c r="K284" i="8"/>
  <c r="J284" i="8"/>
  <c r="I284" i="8"/>
  <c r="H284" i="8"/>
  <c r="G284" i="8"/>
  <c r="F284" i="8"/>
  <c r="E284" i="8"/>
  <c r="D284" i="8"/>
  <c r="C284" i="8"/>
  <c r="R283" i="8"/>
  <c r="Q283" i="8"/>
  <c r="P283" i="8"/>
  <c r="O283" i="8"/>
  <c r="N283" i="8"/>
  <c r="M283" i="8"/>
  <c r="L283" i="8"/>
  <c r="K283" i="8"/>
  <c r="J283" i="8"/>
  <c r="I283" i="8"/>
  <c r="H283" i="8"/>
  <c r="G283" i="8"/>
  <c r="F283" i="8"/>
  <c r="E283" i="8"/>
  <c r="D283" i="8"/>
  <c r="C283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O268" i="8"/>
  <c r="N268" i="8"/>
  <c r="M268" i="8"/>
  <c r="L268" i="8"/>
  <c r="K268" i="8"/>
  <c r="J268" i="8"/>
  <c r="I268" i="8"/>
  <c r="H268" i="8"/>
  <c r="G268" i="8"/>
  <c r="F268" i="8"/>
  <c r="E268" i="8"/>
  <c r="D268" i="8"/>
  <c r="C268" i="8"/>
  <c r="X267" i="8"/>
  <c r="W267" i="8"/>
  <c r="V267" i="8"/>
  <c r="U267" i="8"/>
  <c r="T267" i="8"/>
  <c r="S267" i="8"/>
  <c r="R267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D267" i="8"/>
  <c r="C267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C266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C265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C264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D233" i="8"/>
  <c r="C233" i="8"/>
  <c r="W232" i="8"/>
  <c r="V232" i="8"/>
  <c r="U232" i="8"/>
  <c r="T232" i="8"/>
  <c r="S232" i="8"/>
  <c r="R232" i="8"/>
  <c r="Q232" i="8"/>
  <c r="P232" i="8"/>
  <c r="O232" i="8"/>
  <c r="N232" i="8"/>
  <c r="M232" i="8"/>
  <c r="L232" i="8"/>
  <c r="K232" i="8"/>
  <c r="J232" i="8"/>
  <c r="I232" i="8"/>
  <c r="H232" i="8"/>
  <c r="G232" i="8"/>
  <c r="F232" i="8"/>
  <c r="E232" i="8"/>
  <c r="D232" i="8"/>
  <c r="C232" i="8"/>
  <c r="W231" i="8"/>
  <c r="V231" i="8"/>
  <c r="U231" i="8"/>
  <c r="T231" i="8"/>
  <c r="S231" i="8"/>
  <c r="R231" i="8"/>
  <c r="Q231" i="8"/>
  <c r="P231" i="8"/>
  <c r="O231" i="8"/>
  <c r="N231" i="8"/>
  <c r="M231" i="8"/>
  <c r="L231" i="8"/>
  <c r="K231" i="8"/>
  <c r="J231" i="8"/>
  <c r="I231" i="8"/>
  <c r="H231" i="8"/>
  <c r="G231" i="8"/>
  <c r="F231" i="8"/>
  <c r="E231" i="8"/>
  <c r="D231" i="8"/>
  <c r="C231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C216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C214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C213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C212" i="8"/>
  <c r="W211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D211" i="8"/>
  <c r="C211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L40" i="8"/>
  <c r="K40" i="8"/>
  <c r="J40" i="8"/>
  <c r="I40" i="8"/>
  <c r="H40" i="8"/>
  <c r="G40" i="8"/>
  <c r="F40" i="8"/>
  <c r="E40" i="8"/>
  <c r="D40" i="8"/>
  <c r="C40" i="8"/>
  <c r="L39" i="8"/>
  <c r="K39" i="8"/>
  <c r="J39" i="8"/>
  <c r="I39" i="8"/>
  <c r="H39" i="8"/>
  <c r="G39" i="8"/>
  <c r="F39" i="8"/>
  <c r="E39" i="8"/>
  <c r="D39" i="8"/>
  <c r="C39" i="8"/>
  <c r="L38" i="8"/>
  <c r="K38" i="8"/>
  <c r="J38" i="8"/>
  <c r="I38" i="8"/>
  <c r="H38" i="8"/>
  <c r="G38" i="8"/>
  <c r="F38" i="8"/>
  <c r="E38" i="8"/>
  <c r="D38" i="8"/>
  <c r="C38" i="8"/>
  <c r="L37" i="8"/>
  <c r="K37" i="8"/>
  <c r="J37" i="8"/>
  <c r="I37" i="8"/>
  <c r="H37" i="8"/>
  <c r="G37" i="8"/>
  <c r="F37" i="8"/>
  <c r="E37" i="8"/>
  <c r="D37" i="8"/>
  <c r="C37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T236" i="4"/>
  <c r="T235" i="4"/>
  <c r="T233" i="4"/>
  <c r="T232" i="4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300" i="2"/>
  <c r="AC299" i="2"/>
  <c r="AC298" i="2"/>
  <c r="AC297" i="2"/>
  <c r="AC296" i="2"/>
  <c r="E296" i="2"/>
  <c r="AC295" i="2"/>
  <c r="E295" i="2"/>
  <c r="AC294" i="2"/>
  <c r="E294" i="2"/>
  <c r="AC293" i="2"/>
  <c r="E293" i="2"/>
  <c r="AC292" i="2"/>
  <c r="E292" i="2"/>
  <c r="AC291" i="2"/>
  <c r="E291" i="2"/>
  <c r="AC290" i="2"/>
  <c r="E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88" authorId="0" shapeId="0" xr:uid="{00000000-0006-0000-0700-000001000000}">
      <text>
        <r>
          <rPr>
            <sz val="11"/>
            <color theme="1"/>
            <rFont val="Aptos Narrow"/>
            <scheme val="minor"/>
          </rPr>
          <t>======
ID#AAABrght1U8
nikos.sowts@gmail.com    (2025-09-25 07:49:14)
ειναι θερμοκρασιες οχι γωνιακες συχνότητες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89P8UBLQSLl+Teu7baY+4i65EsQ=="/>
    </ext>
  </extLst>
</comments>
</file>

<file path=xl/sharedStrings.xml><?xml version="1.0" encoding="utf-8"?>
<sst xmlns="http://schemas.openxmlformats.org/spreadsheetml/2006/main" count="6254" uniqueCount="566">
  <si>
    <t>Abbreviations</t>
  </si>
  <si>
    <t>OMt</t>
  </si>
  <si>
    <t>organomodified montmorillonite</t>
  </si>
  <si>
    <t>DOP</t>
  </si>
  <si>
    <t>dioctyl phthalate</t>
  </si>
  <si>
    <t>ESO</t>
  </si>
  <si>
    <t>epoxidized soybean oil</t>
  </si>
  <si>
    <t>TEC</t>
  </si>
  <si>
    <t>triethyl citrate</t>
  </si>
  <si>
    <t>ATBC</t>
  </si>
  <si>
    <t>Acetyl Tributyl Citrate</t>
  </si>
  <si>
    <t>SO</t>
  </si>
  <si>
    <t>soybean oil</t>
  </si>
  <si>
    <t>DOS</t>
  </si>
  <si>
    <t>dioctyl sebacate</t>
  </si>
  <si>
    <t>IL</t>
  </si>
  <si>
    <t>Acid-insoluble lignin</t>
  </si>
  <si>
    <t>HC</t>
  </si>
  <si>
    <t>Holocellulose</t>
  </si>
  <si>
    <t>LCB</t>
  </si>
  <si>
    <t>lignocellulosic biowaste</t>
  </si>
  <si>
    <t>TE</t>
  </si>
  <si>
    <t>extractive-free solid residue after toluene/ethanol extraction</t>
  </si>
  <si>
    <t>W</t>
  </si>
  <si>
    <t>extractive-free solid residue after water extraction</t>
  </si>
  <si>
    <t>MFC</t>
  </si>
  <si>
    <t>microfibrillated cellulose</t>
  </si>
  <si>
    <t>ESAO</t>
  </si>
  <si>
    <t>epoxy-based styrene-acrylic oligomer</t>
  </si>
  <si>
    <t>TGIC</t>
  </si>
  <si>
    <t>triglycidyl isocyanurate</t>
  </si>
  <si>
    <t>DCP</t>
  </si>
  <si>
    <t>dicumyl peroxide</t>
  </si>
  <si>
    <t>ECP</t>
  </si>
  <si>
    <t>antimicrobial nanocellulose</t>
  </si>
  <si>
    <t>CLF</t>
  </si>
  <si>
    <t>cellulose fiber</t>
  </si>
  <si>
    <t>DBP</t>
  </si>
  <si>
    <t>dibutyl phthalate</t>
  </si>
  <si>
    <t>ELO</t>
  </si>
  <si>
    <t>epoxidized linseed oil</t>
  </si>
  <si>
    <t>PPG400</t>
  </si>
  <si>
    <t>poly(propylene-glycol) 400g/mol</t>
  </si>
  <si>
    <t>PPG1000</t>
  </si>
  <si>
    <t>poly(propylene-glycol) 1000g/mol</t>
  </si>
  <si>
    <t>CO</t>
  </si>
  <si>
    <t>castor oil</t>
  </si>
  <si>
    <t>CF</t>
  </si>
  <si>
    <t>Curaua fiber</t>
  </si>
  <si>
    <t>CWM</t>
  </si>
  <si>
    <t>Curaua fiber treated with hot water and mercerized</t>
  </si>
  <si>
    <t>CHM</t>
  </si>
  <si>
    <t>Curaua fiber treated with NaClo and mercerized</t>
  </si>
  <si>
    <t>CON</t>
  </si>
  <si>
    <t>Cerium oxide nanoparticles</t>
  </si>
  <si>
    <t>OEO</t>
  </si>
  <si>
    <t>oregano essential oil</t>
  </si>
  <si>
    <t>RE</t>
  </si>
  <si>
    <t>rosemary extract</t>
  </si>
  <si>
    <t>GTE</t>
  </si>
  <si>
    <t>Green tea extract</t>
  </si>
  <si>
    <t>MF</t>
  </si>
  <si>
    <t>medium-sized bits (some leaves, some wood)</t>
  </si>
  <si>
    <t>GARDEN</t>
  </si>
  <si>
    <t>FF</t>
  </si>
  <si>
    <t>fine dusty stuff (mostly small bits + soil)</t>
  </si>
  <si>
    <t>WASTE</t>
  </si>
  <si>
    <t>RF</t>
  </si>
  <si>
    <t>the mix that mimics the unsorted waste</t>
  </si>
  <si>
    <t>KL</t>
  </si>
  <si>
    <t>Kraft lignin</t>
  </si>
  <si>
    <t>LNP</t>
  </si>
  <si>
    <t>hybrid lignin nanoparticles</t>
  </si>
  <si>
    <t>LB</t>
  </si>
  <si>
    <t>lignin butyrate</t>
  </si>
  <si>
    <t>CA</t>
  </si>
  <si>
    <t>Cyanuric acid</t>
  </si>
  <si>
    <t>BN</t>
  </si>
  <si>
    <t>Boron nitride</t>
  </si>
  <si>
    <t>OA</t>
  </si>
  <si>
    <t>Orotic Acid</t>
  </si>
  <si>
    <t>AC</t>
  </si>
  <si>
    <t>Acetic anyhydride</t>
  </si>
  <si>
    <t>PR</t>
  </si>
  <si>
    <t>Propionic anyhydride</t>
  </si>
  <si>
    <t>BU</t>
  </si>
  <si>
    <t>Butyric anyhydride</t>
  </si>
  <si>
    <t>HE</t>
  </si>
  <si>
    <t>Hexanoic anyhydride</t>
  </si>
  <si>
    <t>IN-AC</t>
  </si>
  <si>
    <t>Indulin AT (Kraft) lignin</t>
  </si>
  <si>
    <t>Acetic anhydride</t>
  </si>
  <si>
    <t>IN-PR</t>
  </si>
  <si>
    <t>Propionic anhydride</t>
  </si>
  <si>
    <t>IN-BU</t>
  </si>
  <si>
    <t>Butyric anhydride</t>
  </si>
  <si>
    <t>IN-HE</t>
  </si>
  <si>
    <t>Hexanoic anhydride</t>
  </si>
  <si>
    <t>PB-AC</t>
  </si>
  <si>
    <t>Protobind 1000 (Soda) lignin</t>
  </si>
  <si>
    <t>PB-PR</t>
  </si>
  <si>
    <t>PB-BU</t>
  </si>
  <si>
    <t>PB-HE</t>
  </si>
  <si>
    <t>PB</t>
  </si>
  <si>
    <t>IN</t>
  </si>
  <si>
    <t>U_AS</t>
  </si>
  <si>
    <t>Untreated Almond Shell</t>
  </si>
  <si>
    <t>T_AS</t>
  </si>
  <si>
    <t>Treated Almond Shell</t>
  </si>
  <si>
    <t>U_RH</t>
  </si>
  <si>
    <t>Untreated Rice Husk</t>
  </si>
  <si>
    <t>T_RH</t>
  </si>
  <si>
    <t>Treated Rice Husk</t>
  </si>
  <si>
    <t>TC90</t>
  </si>
  <si>
    <t>Commercial α-cellulose</t>
  </si>
  <si>
    <t>Lignin rich residue~56% lignin + polysaccharides (e.g., cellulose)</t>
  </si>
  <si>
    <t>ES</t>
  </si>
  <si>
    <t>Epoxy soyate</t>
  </si>
  <si>
    <t>PEG</t>
  </si>
  <si>
    <t>Polyethylene glycol 1000</t>
  </si>
  <si>
    <t>PG</t>
  </si>
  <si>
    <t>Propylene glycol</t>
  </si>
  <si>
    <t>LCF</t>
  </si>
  <si>
    <t>lignocellulosic fiber</t>
  </si>
  <si>
    <t>CC</t>
  </si>
  <si>
    <t>calcium carbonate</t>
  </si>
  <si>
    <t>CNC</t>
  </si>
  <si>
    <t>cellulose nanocrystal</t>
  </si>
  <si>
    <t>mCNC</t>
  </si>
  <si>
    <t>hydrophobized cellulose(DDSA)</t>
  </si>
  <si>
    <t>CNW</t>
  </si>
  <si>
    <t>cellulose nanowhiskers</t>
  </si>
  <si>
    <t>WF</t>
  </si>
  <si>
    <t>wood fiber</t>
  </si>
  <si>
    <t>CNT</t>
  </si>
  <si>
    <t>Carbon Nanotubes</t>
  </si>
  <si>
    <t>GNS</t>
  </si>
  <si>
    <t>Graphene nanosheets</t>
  </si>
  <si>
    <t>GNP</t>
  </si>
  <si>
    <t>Graphene nanopalette</t>
  </si>
  <si>
    <t>SMGO</t>
  </si>
  <si>
    <t>Silicone-Modified Graphene Oxide</t>
  </si>
  <si>
    <t>BF</t>
  </si>
  <si>
    <t>bamboo fiber</t>
  </si>
  <si>
    <t>MCC</t>
  </si>
  <si>
    <t>Microcrystalline cellulose</t>
  </si>
  <si>
    <t>MCC_T</t>
  </si>
  <si>
    <t>TEMPO oxidized MCC</t>
  </si>
  <si>
    <t>MCC_P</t>
  </si>
  <si>
    <t>Plasma treated MCC</t>
  </si>
  <si>
    <t>Cellulose nanocrystal</t>
  </si>
  <si>
    <t>CNC-CL</t>
  </si>
  <si>
    <t>Cellulose nanocrystal modified with Lactic acid</t>
  </si>
  <si>
    <t>CNC-LA</t>
  </si>
  <si>
    <t>Cellulose nanocrystal modified with caprolactone</t>
  </si>
  <si>
    <t>CS</t>
  </si>
  <si>
    <t>corn straw</t>
  </si>
  <si>
    <t>SS</t>
  </si>
  <si>
    <t>soy straw</t>
  </si>
  <si>
    <t>WS</t>
  </si>
  <si>
    <t>wheat straw</t>
  </si>
  <si>
    <t>ZnO</t>
  </si>
  <si>
    <t>zinc oxide</t>
  </si>
  <si>
    <t>TBC</t>
  </si>
  <si>
    <t>tributyl citrate</t>
  </si>
  <si>
    <t>p</t>
  </si>
  <si>
    <t>plasma-treated nanocomposites</t>
  </si>
  <si>
    <t>ECF</t>
  </si>
  <si>
    <t xml:space="preserve">eucalyptus cellulose fibers </t>
  </si>
  <si>
    <t>EC</t>
  </si>
  <si>
    <t>Ethyl cellulose</t>
  </si>
  <si>
    <t>C20A</t>
  </si>
  <si>
    <t>Cloisite 20A</t>
  </si>
  <si>
    <t>CHT</t>
  </si>
  <si>
    <t xml:space="preserve">Calcined Hydrotalcite </t>
  </si>
  <si>
    <t>PPC</t>
  </si>
  <si>
    <t>propylene carbonate</t>
  </si>
  <si>
    <t>boron nitride</t>
  </si>
  <si>
    <t>C30B</t>
  </si>
  <si>
    <t>Cloisite 30B</t>
  </si>
  <si>
    <t>TPU</t>
  </si>
  <si>
    <t>Thermoplastic polyurethane</t>
  </si>
  <si>
    <t>HMDI</t>
  </si>
  <si>
    <t xml:space="preserve"> hexamethylene diisocyanate</t>
  </si>
  <si>
    <t>CNTs</t>
  </si>
  <si>
    <t>carbon nanotubes</t>
  </si>
  <si>
    <t>GNPs</t>
  </si>
  <si>
    <t>graphene nanoplatets</t>
  </si>
  <si>
    <t>HAp</t>
  </si>
  <si>
    <t>hydroxyapatite</t>
  </si>
  <si>
    <t>RO</t>
  </si>
  <si>
    <t>rapeseed oil</t>
  </si>
  <si>
    <t>PEG1500</t>
  </si>
  <si>
    <t>Polyethylene glycol with a molecular weight of 1500</t>
  </si>
  <si>
    <t>PEG4000</t>
  </si>
  <si>
    <t>Polyethylene glycol with a molecular weight of 4000</t>
  </si>
  <si>
    <t>MDI</t>
  </si>
  <si>
    <t>4,4'-Methylenebis(phenyl isocyanate)</t>
  </si>
  <si>
    <t xml:space="preserve">TBPB </t>
  </si>
  <si>
    <t>Tert-butylperoxybenzoate</t>
  </si>
  <si>
    <t xml:space="preserve">DVB </t>
  </si>
  <si>
    <t>Divinylbenzene</t>
  </si>
  <si>
    <t>WL</t>
  </si>
  <si>
    <t>Wine lees</t>
  </si>
  <si>
    <t>PECH</t>
  </si>
  <si>
    <t>poly(epichlorohydrin)</t>
  </si>
  <si>
    <t>F68</t>
  </si>
  <si>
    <t xml:space="preserve">pluronic  </t>
  </si>
  <si>
    <t>F127</t>
  </si>
  <si>
    <t xml:space="preserve">pluronic </t>
  </si>
  <si>
    <t>MA_MW</t>
  </si>
  <si>
    <t>microwave grafted maleic anhydride</t>
  </si>
  <si>
    <t>MA_Ext</t>
  </si>
  <si>
    <t>extruder grafted maleic anhydride</t>
  </si>
  <si>
    <t>ICs</t>
  </si>
  <si>
    <t>Supramolecular crystalline inclusion complexes</t>
  </si>
  <si>
    <t>CD</t>
  </si>
  <si>
    <t>a-cyclodextrin</t>
  </si>
  <si>
    <t>Study_id</t>
  </si>
  <si>
    <t>Instance</t>
  </si>
  <si>
    <t>1a</t>
  </si>
  <si>
    <t>2a</t>
  </si>
  <si>
    <t>3a</t>
  </si>
  <si>
    <t>4a</t>
  </si>
  <si>
    <t>1b</t>
  </si>
  <si>
    <t>2b</t>
  </si>
  <si>
    <t>3b</t>
  </si>
  <si>
    <t>4b</t>
  </si>
  <si>
    <t>5a</t>
  </si>
  <si>
    <t>5b</t>
  </si>
  <si>
    <t>1c</t>
  </si>
  <si>
    <t>2c</t>
  </si>
  <si>
    <t>3c</t>
  </si>
  <si>
    <t>4c</t>
  </si>
  <si>
    <t>1d</t>
  </si>
  <si>
    <t>2d</t>
  </si>
  <si>
    <t>3d</t>
  </si>
  <si>
    <t>4d</t>
  </si>
  <si>
    <t>1e</t>
  </si>
  <si>
    <t>2e</t>
  </si>
  <si>
    <t>3e</t>
  </si>
  <si>
    <t>4e</t>
  </si>
  <si>
    <t>6a</t>
  </si>
  <si>
    <t>7a</t>
  </si>
  <si>
    <t>8a</t>
  </si>
  <si>
    <t>6b</t>
  </si>
  <si>
    <t>7b</t>
  </si>
  <si>
    <t>8b</t>
  </si>
  <si>
    <t>Monomer_A</t>
  </si>
  <si>
    <t>Monomer_B</t>
  </si>
  <si>
    <t>Mw_PHBV</t>
  </si>
  <si>
    <t>Mn_PHBV</t>
  </si>
  <si>
    <t>Density</t>
  </si>
  <si>
    <t>Density_units</t>
  </si>
  <si>
    <t>PDI</t>
  </si>
  <si>
    <t>Additive_1</t>
  </si>
  <si>
    <t>Additive1_type</t>
  </si>
  <si>
    <t>Additive1_name</t>
  </si>
  <si>
    <t>Additive_2</t>
  </si>
  <si>
    <t>Additive2_type</t>
  </si>
  <si>
    <t>Additive2_name</t>
  </si>
  <si>
    <t>Row No.</t>
  </si>
  <si>
    <t>3HB</t>
  </si>
  <si>
    <t>3HV</t>
  </si>
  <si>
    <t>g/cm3</t>
  </si>
  <si>
    <t>No</t>
  </si>
  <si>
    <t>Yes</t>
  </si>
  <si>
    <t>lignin</t>
  </si>
  <si>
    <t>wood_fiber</t>
  </si>
  <si>
    <t>cellulose</t>
  </si>
  <si>
    <t>LRR</t>
  </si>
  <si>
    <t>biorefinery_lignin</t>
  </si>
  <si>
    <t>Bio-PBS</t>
  </si>
  <si>
    <t>HBP-Bs</t>
  </si>
  <si>
    <t>RCh</t>
  </si>
  <si>
    <t>talc</t>
  </si>
  <si>
    <t>BC</t>
  </si>
  <si>
    <t>BCp</t>
  </si>
  <si>
    <t>BC-ZnO</t>
  </si>
  <si>
    <t>Nucleating_agent</t>
  </si>
  <si>
    <t>TiO2</t>
  </si>
  <si>
    <t>Crosslinking_agent</t>
  </si>
  <si>
    <t>TBPB</t>
  </si>
  <si>
    <t>TAC</t>
  </si>
  <si>
    <t>DVB</t>
  </si>
  <si>
    <t>PBSA</t>
  </si>
  <si>
    <t>Miscanthus</t>
  </si>
  <si>
    <t>nucleating_agent</t>
  </si>
  <si>
    <t>IC</t>
  </si>
  <si>
    <t>PEO</t>
  </si>
  <si>
    <t>NC</t>
  </si>
  <si>
    <t>mcl_PHA</t>
  </si>
  <si>
    <t>PHV</t>
  </si>
  <si>
    <t>Tg1</t>
  </si>
  <si>
    <t>Tg2</t>
  </si>
  <si>
    <t>Tc1</t>
  </si>
  <si>
    <t>Tc2</t>
  </si>
  <si>
    <t>Tmc</t>
  </si>
  <si>
    <t>Tm1</t>
  </si>
  <si>
    <t>Tm2</t>
  </si>
  <si>
    <t>Td5</t>
  </si>
  <si>
    <t>Tdeg</t>
  </si>
  <si>
    <t>Temperature_units</t>
  </si>
  <si>
    <t>DΗm1</t>
  </si>
  <si>
    <t>DΗm2</t>
  </si>
  <si>
    <t>DHc1</t>
  </si>
  <si>
    <t>DHc2</t>
  </si>
  <si>
    <t>Enthaply_units</t>
  </si>
  <si>
    <t>celsius</t>
  </si>
  <si>
    <t>J/g</t>
  </si>
  <si>
    <t>−3.7</t>
  </si>
  <si>
    <t>−2.6</t>
  </si>
  <si>
    <t>−2.2</t>
  </si>
  <si>
    <t>−1.5</t>
  </si>
  <si>
    <t>−0.7</t>
  </si>
  <si>
    <t>−3.5</t>
  </si>
  <si>
    <t>−5.3</t>
  </si>
  <si>
    <t>−7.4</t>
  </si>
  <si>
    <t>−7.2</t>
  </si>
  <si>
    <t>−2.5</t>
  </si>
  <si>
    <t>−1.6</t>
  </si>
  <si>
    <t>−1.9</t>
  </si>
  <si>
    <t xml:space="preserve">114.86  </t>
  </si>
  <si>
    <t xml:space="preserve">170.02  </t>
  </si>
  <si>
    <t xml:space="preserve">64.39  </t>
  </si>
  <si>
    <t xml:space="preserve">112.34  </t>
  </si>
  <si>
    <t xml:space="preserve">169.02  </t>
  </si>
  <si>
    <t xml:space="preserve">62.74  </t>
  </si>
  <si>
    <t xml:space="preserve">112.10  </t>
  </si>
  <si>
    <t xml:space="preserve">169.01  </t>
  </si>
  <si>
    <t xml:space="preserve">62.07  </t>
  </si>
  <si>
    <t xml:space="preserve">111.74  </t>
  </si>
  <si>
    <t xml:space="preserve">168.99  </t>
  </si>
  <si>
    <t xml:space="preserve">61.49  </t>
  </si>
  <si>
    <t xml:space="preserve">110.88  </t>
  </si>
  <si>
    <t xml:space="preserve">168.97  </t>
  </si>
  <si>
    <t xml:space="preserve">59.42  </t>
  </si>
  <si>
    <t xml:space="preserve">110.71  </t>
  </si>
  <si>
    <t xml:space="preserve">168.81  </t>
  </si>
  <si>
    <t xml:space="preserve">55.04  </t>
  </si>
  <si>
    <t xml:space="preserve">169.50  </t>
  </si>
  <si>
    <t xml:space="preserve">60.18  </t>
  </si>
  <si>
    <t xml:space="preserve">112.37  </t>
  </si>
  <si>
    <t xml:space="preserve">169.62  </t>
  </si>
  <si>
    <t xml:space="preserve">60.93  </t>
  </si>
  <si>
    <t>Test type</t>
  </si>
  <si>
    <t>constant parameters</t>
  </si>
  <si>
    <t>geometry</t>
  </si>
  <si>
    <t>plate diameter</t>
  </si>
  <si>
    <t>gap size</t>
  </si>
  <si>
    <t>morphology</t>
  </si>
  <si>
    <t>diameter</t>
  </si>
  <si>
    <t>thickness</t>
  </si>
  <si>
    <t>size units</t>
  </si>
  <si>
    <t>Angular_frequency_units</t>
  </si>
  <si>
    <t>Texp</t>
  </si>
  <si>
    <t>Texp_units</t>
  </si>
  <si>
    <t>Viscosity_units</t>
  </si>
  <si>
    <t>Modulus_units</t>
  </si>
  <si>
    <t>Strain_fixed(%)</t>
  </si>
  <si>
    <t>Frequency_experimental_fixed (Hz)</t>
  </si>
  <si>
    <t>DFS</t>
  </si>
  <si>
    <t>strain,temp</t>
  </si>
  <si>
    <t xml:space="preserve"> parallel plate</t>
  </si>
  <si>
    <t>mm</t>
  </si>
  <si>
    <t>rad/s</t>
  </si>
  <si>
    <t>Pa*s</t>
  </si>
  <si>
    <t>disc</t>
  </si>
  <si>
    <t>Pa</t>
  </si>
  <si>
    <t>hz</t>
  </si>
  <si>
    <t>DTS</t>
  </si>
  <si>
    <t>angular frequency,stress or strain</t>
  </si>
  <si>
    <t>MPa</t>
  </si>
  <si>
    <t>angular frequency,strain</t>
  </si>
  <si>
    <t>Gpa</t>
  </si>
  <si>
    <t>dyne/cm^2</t>
  </si>
  <si>
    <t>rectangular_bars</t>
  </si>
  <si>
    <t>Mpa</t>
  </si>
  <si>
    <t>parallel plate</t>
  </si>
  <si>
    <t xml:space="preserve"> mm</t>
  </si>
  <si>
    <t>GPa</t>
  </si>
  <si>
    <t>angular frequency,stress</t>
  </si>
  <si>
    <t>cone_plate</t>
  </si>
  <si>
    <t>,</t>
  </si>
  <si>
    <t>Study ID</t>
  </si>
  <si>
    <t>Author</t>
  </si>
  <si>
    <t>Date</t>
  </si>
  <si>
    <t xml:space="preserve">Title </t>
  </si>
  <si>
    <t>Doi</t>
  </si>
  <si>
    <t>Szegda et al.</t>
  </si>
  <si>
    <t>Extrusion foaming of PHBV</t>
  </si>
  <si>
    <t>10.1177/0021955X13505249</t>
  </si>
  <si>
    <t>Mousavioun et al.</t>
  </si>
  <si>
    <t>Thermophysical properties and rheology of PHB/lignin blends</t>
  </si>
  <si>
    <t>10.1016/j.indcrop.2013.07.026</t>
  </si>
  <si>
    <t>Angelini et al.</t>
  </si>
  <si>
    <t>Acid-insoluble lignin and holocellulose from a lignocellulosic biowaste: Bio-fillers in poly(3-hydroxybutyrate) into Poly(3-hydroxybutyrate-co-3-hydroxyvalerate) by</t>
  </si>
  <si>
    <t>10.1016/j.eurpolymj.2016.01.024</t>
  </si>
  <si>
    <t xml:space="preserve"> Feijoo et al.</t>
  </si>
  <si>
    <t>Effect of the Presence of Lignin from Woodflour on the Compostability of PHA-Based Biocomposites: Disintegration,Biodegradation and Microbial Dynamics</t>
  </si>
  <si>
    <t>10.3390/polym15112481</t>
  </si>
  <si>
    <t>Luo et al.</t>
  </si>
  <si>
    <t>Esterification of industrial lignin and its effect on the resulting poly(3-hydroxybutyrate-co-3-hydroxyvalerate) or polypropylene blends</t>
  </si>
  <si>
    <t>10.1016/j.indcrop.2016.12.024</t>
  </si>
  <si>
    <t>Lugoloobi et al.</t>
  </si>
  <si>
    <t>Fabrication of lignin/poly(3-hydroxybutyrate) nanocomposites with enhanced properties via a Pickering emulsion approach</t>
  </si>
  <si>
    <t>10.1016/j.ijbiomac.2020.10.156</t>
  </si>
  <si>
    <t>From biowaste to bioresource: Effect of a lignocellulosic filler on the properties of poly(3-hydroxybutyrate)</t>
  </si>
  <si>
    <t>10.1016/j.ijbiomac.2014.07.038</t>
  </si>
  <si>
    <t>Panaitescu et al.</t>
  </si>
  <si>
    <t>Thermal and mechanical properties of poly(3-hydroxybutyrate) reinforced with cellulose fibers from wood waste</t>
  </si>
  <si>
    <t>10.1016/j.indcrop.2019.112071</t>
  </si>
  <si>
    <t>Kovalcik et al.</t>
  </si>
  <si>
    <t>Designing packaging materials with viscoelastic and gas barrier properties by optimized processing of poly(3-hydroxybutyrate-co-3-hydroxyvalerate) with lignin</t>
  </si>
  <si>
    <t>10.1016/j.reactfunctpolym.2015.07.001</t>
  </si>
  <si>
    <t>Poly(3-hydroxybutyrate) nanocomposites modified with even and odd chain length polyhydroxyalkanoates</t>
  </si>
  <si>
    <t>10.1016/j.ijbiomac.2023.125324</t>
  </si>
  <si>
    <t>Vaidya et al.</t>
  </si>
  <si>
    <t>Integrating softwood biorefinery lignin into polyhydroxybutyrate composites and application in 3D printing</t>
  </si>
  <si>
    <t>j.mtcomm.2019.02.008</t>
  </si>
  <si>
    <t>Esmizadeh et al.</t>
  </si>
  <si>
    <t>Crystallization and performance evolution of PHBV nanocomposites through annealing: The role of surface modification of CNCs</t>
  </si>
  <si>
    <t>10.1016/j.polymer.2024.127352</t>
  </si>
  <si>
    <t>Abbasi et al.</t>
  </si>
  <si>
    <t>Effect of 3-Hydroxyvalerate Content on Thermal,Mechanical, and Rheological Properties of Poly(3-hydroxybutyrate-co-3-hydroxyvalerate) Biopolymers Produced from Fermented Dairy Manure</t>
  </si>
  <si>
    <t>10.3390/polym14194140</t>
  </si>
  <si>
    <t>Ten et al.</t>
  </si>
  <si>
    <t>Effects of Cellulose Nanowhiskers on Mechanical, Dielectric,and Rheological Properties of Poly(3-hydroxybutyrate-co-3-hydroxyvalerate)/Cellulose Nanowhisker Composites</t>
  </si>
  <si>
    <t>10.1021/ie2023367</t>
  </si>
  <si>
    <t>Preparation and properties of aligned poly(3-hydroxybutyrate-co-3-hydroxyvalerate)/cellulose nanowhiskers composites</t>
  </si>
  <si>
    <t>10.1016/j.carbpol.2012.09.033</t>
  </si>
  <si>
    <t>Thermal and mechanical properties of poly(3-hydroxybutyrate-co-3-hydroxyvalerate)/cellulose nanowhiskers composites</t>
  </si>
  <si>
    <t>10.1016/j.polymer.2010.04.007</t>
  </si>
  <si>
    <t>Choi et al.</t>
  </si>
  <si>
    <t>Viscoelastic characterization of biodegradable poly(3-hydroxybutyrate-co-3-hydroxyvalerate)</t>
  </si>
  <si>
    <t>10.1016/S0032-3861(98)00627-2</t>
  </si>
  <si>
    <t xml:space="preserve"> Domínguez-Díaz et al.</t>
  </si>
  <si>
    <t>Viscoelastic behaviour of biodegradable polyhydroxyalkanoates</t>
  </si>
  <si>
    <t>10.1680/bbn.12.00011</t>
  </si>
  <si>
    <t xml:space="preserve">Singh et al. </t>
  </si>
  <si>
    <t>Wood fiber reinforced bacterial bioplastic composites: Fabrication and performance evaluation</t>
  </si>
  <si>
    <t>10.1016/j.compscitech.2006.11.009</t>
  </si>
  <si>
    <t>Modi  et al.</t>
  </si>
  <si>
    <t>Assessment of PHB with varying hydroxyvalerate content
for potential packaging applications</t>
  </si>
  <si>
    <t>10.1016/j.eurpolymj.2010.11.010</t>
  </si>
  <si>
    <t>Peshne et al.</t>
  </si>
  <si>
    <t>Comparative studies of structural, thermal, mechanical, rheological and dynamic mechanical response of melt mixed PHB/bio‑PBS and PHBV/bio‑PBS blends</t>
  </si>
  <si>
    <t>10.1007/s10965-022-03323-9</t>
  </si>
  <si>
    <t>Wu et al.</t>
  </si>
  <si>
    <t>Toughening of poly(3-hydroxybutyrate-co-3-hydroxyvalerate) by phenyl terminated hyperbranched polyesters with higher thermal stability</t>
  </si>
  <si>
    <t>10.1002/app.51551</t>
  </si>
  <si>
    <t>Oner et al.</t>
  </si>
  <si>
    <t>Development of hybrid bionanocomposites of poly (3-hydroxybutyrate-co-3-hydroxyvalerate) with zinc oxide and silicon-doped hydroxyapatite nanocrystals and machine learning for predicting dynamic mechanical properties</t>
  </si>
  <si>
    <t>10.1016/j.ijbiomac.2024.139338</t>
  </si>
  <si>
    <t>Bioderived and Biodegradable Poly(3-hydroxybutyrate-co-3- hydroxyvalerate) Nanocomposites Based on Carbon Nanotubes: Microstructure Observation and EMI Shielding Property Improvement</t>
  </si>
  <si>
    <t>10.1021/acssuschemeng.1c02064</t>
  </si>
  <si>
    <t>Wang et al.</t>
  </si>
  <si>
    <t>CRYSTALLIZATION BEHAVIOR, THERMAL AND MECHANICAL PROPERTIES  OF PHBV/GRAPHENE NANOSHEET COMPOSITES</t>
  </si>
  <si>
    <t>10.1007/s10118-013-1248-1</t>
  </si>
  <si>
    <t>Baraki et al.</t>
  </si>
  <si>
    <t xml:space="preserve">Regenerated chitin reinforced polyhydroxybutyrate composites via 
Pickering emulsion template with improved rheological, thermal, and 
mechanical properties </t>
  </si>
  <si>
    <t xml:space="preserve">10.1016/j.coco.2021.100655 </t>
  </si>
  <si>
    <t>Poly(3-hydroxybutyrate) Modified by Plasma and
TEMPO-Oxidized Celluloses</t>
  </si>
  <si>
    <t>10.3390/polym12071510</t>
  </si>
  <si>
    <t>Designing improved electromagnetic shielding efficacy of poly(3-hydroxybutyrate-co-3hydroxyvalerate) nanocomposites foam using carbon nanotubes and graphene nanoplatelets</t>
  </si>
  <si>
    <t>10.1002/vnl.22030</t>
  </si>
  <si>
    <t>Moshkriz et al.</t>
  </si>
  <si>
    <t>Fabrication of novel strain sensors from green TPV nanocomposites based on poly(3- hydroxybutyrate-co-3-hydroxyvalerate) (PHBV)/ silicone rubber/silicon-modified graphene oxide</t>
  </si>
  <si>
    <t>10.1039/d3ra02940a</t>
  </si>
  <si>
    <t>Renewable resource based biocomposites from natural fiber and polyhydroxybutyrate-co-valerate (PHBV) bioplastic</t>
  </si>
  <si>
    <t>10.1016/j.compositesa.2008.01.004</t>
  </si>
  <si>
    <t>Whaling et al.</t>
  </si>
  <si>
    <t>Novel Talc-Filled Biodegradable Bacterial Polyester Composites</t>
  </si>
  <si>
    <t>10.1021/ie060604x</t>
  </si>
  <si>
    <t>Oliveira et al.</t>
  </si>
  <si>
    <t>Effect of acid treatment of eucalyptus fibers for improved poly 
(3-hydroxybutyrate) nanocomposites</t>
  </si>
  <si>
    <t xml:space="preserve">10.1016/j.jmrt.2024.02.010 </t>
  </si>
  <si>
    <t>Chen et al.</t>
  </si>
  <si>
    <t>Effects of ethyl cellulose on the crystallization and mechanical
properties of poly(_x0002_-hydroxybutyrate)</t>
  </si>
  <si>
    <t>10.1016/j.ijbiomac.2016.03.048</t>
  </si>
  <si>
    <t>How surface modification of cellulose nanocrystals affects the
crystallization process of poly (β-hydroxybutyrate)</t>
  </si>
  <si>
    <t>10.1016/j.ijbiomac.2024.134119</t>
  </si>
  <si>
    <t>Dhar et al.</t>
  </si>
  <si>
    <t>Investigations on Rheological and Mechanical Behavior of Poly(3-Hydroxybutyrate)/Cellulose Nanocrystal Based Nanobiocomposites</t>
  </si>
  <si>
    <t>10.1002/pc.23859</t>
  </si>
  <si>
    <t>Ahankari et al.</t>
  </si>
  <si>
    <t>Mechanical behaviour of agro-residue reinforced poly(3-hydroxybutyrate-co-3-hydroxyvalerate), (PHBV) green composites: A comparison with traditional polypropylene composites</t>
  </si>
  <si>
    <t>10.1016/j.compscitech.2011.01.007</t>
  </si>
  <si>
    <t>Poly(3-hydroxybutyrate) Modified by Nanocellulose
and Plasma Treatment for Packaging Applications</t>
  </si>
  <si>
    <t>10.3390/polym10111249</t>
  </si>
  <si>
    <t xml:space="preserve"> Martínez-Rubio et al.</t>
  </si>
  <si>
    <t>In-Depth Analysis of the Complex Interactions Induced by Nanolayered Additives in PHBV Nanocomposites</t>
  </si>
  <si>
    <t>10.1002/mame.202400016</t>
  </si>
  <si>
    <t>Selli et al.</t>
  </si>
  <si>
    <t>Melt processing of PHBV for functional fibres: Effect of additives on process parameters</t>
  </si>
  <si>
    <t>10.1088/2053-1591/ab4d19</t>
  </si>
  <si>
    <t>Li et al.</t>
  </si>
  <si>
    <t>Effect of crystallinity on the thermal conductivity
of poly(3-hydroxybutyrate)/BN composites</t>
  </si>
  <si>
    <t>10.1007/s00289-017-2114-z</t>
  </si>
  <si>
    <t>Samaniego-Aguilar et al.</t>
  </si>
  <si>
    <t>In Service Performance of Toughened PHBV/TPU Blends
Obtained by Reactive Extrusion for Injected Parts</t>
  </si>
  <si>
    <t>10.3390/polym14122337</t>
  </si>
  <si>
    <t>Palmieri et al.</t>
  </si>
  <si>
    <t>Development of PBS/Nano Composite PHB-Based Multilayer Blown Films with Enhanced Properties for Food Packaging Applications</t>
  </si>
  <si>
    <t>10.3390/ma17122894</t>
  </si>
  <si>
    <t xml:space="preserve">Vogel et al </t>
  </si>
  <si>
    <t>Melt Spinning of Bacterial Aliphatic Polyester Using Reactive Extrusion for Improvement of Crystallization</t>
  </si>
  <si>
    <t>10.1002/mabi.200700041</t>
  </si>
  <si>
    <t>Wei et al.</t>
  </si>
  <si>
    <t>Peroxide induced cross-linking by reactive melt processing of two
biopolyesters: Poly(3-hydroxybutyrate) and poly(L-lactic acid) to
improve their melting processability</t>
  </si>
  <si>
    <t>10.1002/APP.41724</t>
  </si>
  <si>
    <t>Designing improved electromagnetic shielding efficacy of
poly(3-hydroxybutyrate-co-3hydroxyvalerate)
nanocomposites foam using carbon nanotubes
and graphene nanoplatelets</t>
  </si>
  <si>
    <t xml:space="preserve"> 10.1002/vnl.22030</t>
  </si>
  <si>
    <t xml:space="preserve"> Sadat-Shojai et al.</t>
  </si>
  <si>
    <t>Nano-hydroxyapatite reinforced polyhydroxybutyrate composites: A comprehensive
study on the structural and in vitro biological properties</t>
  </si>
  <si>
    <t>10.1016/j.msec.2013.02.041</t>
  </si>
  <si>
    <t>Weinmann et al.</t>
  </si>
  <si>
    <t>Thermal and Rheological Properties of Modified Polyhydroxybutyrate (PHB)</t>
  </si>
  <si>
    <t>10.1002/pen.25075</t>
  </si>
  <si>
    <t>Delliou et al.</t>
  </si>
  <si>
    <t>Characterization of a new bio-based and biodegradable blends of poly(3-hydroxybutyrate-co-3-hydroxyvalerate) and poly(butylene-co-succinate-co-adipate)</t>
  </si>
  <si>
    <t xml:space="preserve"> 10.1002/app.52124</t>
  </si>
  <si>
    <t>Nanni et al.</t>
  </si>
  <si>
    <t>Effect of the wine lees wastes as cost-advantage and natural fillers on the thermal and mechanical properties of poly(3-hydroxybutyrate-cohydroxyhexanoate) (PHBH) and poly(3-hydroxybutyrate-cohydroxyvalerate) (PHBV)</t>
  </si>
  <si>
    <t>10.1002/app.48869</t>
  </si>
  <si>
    <t>Muthuraj et al.</t>
  </si>
  <si>
    <t>Reactive compatibilization and performance evaluation of miscanthus biofiber reinforced poly(hydroxybutyrate-co-hydroxyvalerate) biocomposites</t>
  </si>
  <si>
    <t>10.1002/app.44860</t>
  </si>
  <si>
    <t>Tsukada et al.</t>
  </si>
  <si>
    <t>Physical properties of poly-D(-)(3-hydroxybutyrate)/poly(epichlorohydrin) 
blends</t>
  </si>
  <si>
    <t>10.1002/actp.1992.010430606</t>
  </si>
  <si>
    <t>Ambrosi et al.</t>
  </si>
  <si>
    <t>Non-isothermal crystallization kinetics and morphology of poly(3-
hydroxybutyrate)/pluronic blends</t>
  </si>
  <si>
    <t>10.1016/j.eurpolymj.2019.08.016</t>
  </si>
  <si>
    <t>Panayotidou et al.</t>
  </si>
  <si>
    <t>Biopolyester-based nanocomposites: Structural, thermo-mechanical and biocompatibility characteristics of poly(3-hydroxybutyrate)/ montmorillonite clay nanohybrids</t>
  </si>
  <si>
    <t>10.1002/app.41628</t>
  </si>
  <si>
    <t>Vogel et al.</t>
  </si>
  <si>
    <t>Melt Spinning of Poly(3-hydroxybutyrate) Fibers for
Tissue Engineering Using a-Cyclodextrin/Polymer
Inclusion Complexes as the Nucleation Agent</t>
  </si>
  <si>
    <t>10.1002/mabi.200600116</t>
  </si>
  <si>
    <t>Al et al.</t>
  </si>
  <si>
    <t>The effects of PHB-g-MA types on the mechanical, thermal, morphological, 
structural, and rheological properties of polyhydroxybutyrate biopolymers</t>
  </si>
  <si>
    <t xml:space="preserve">10.1016/j.ijbiomac.2024.130745 </t>
  </si>
  <si>
    <t>Das et al.</t>
  </si>
  <si>
    <t>Comparative evaluation of physico-chemical characteristics of
biopolyesters P(3HB) and P(3HB-co-3HV) produced by endophytic
Bacillus cereus RCL 02</t>
  </si>
  <si>
    <t>10.1007/s11515-018-1509-z</t>
  </si>
  <si>
    <t>Rheological Study on Poly-D(-)(3=Hydroxybutyrate) and Its Blends With Poly(Ethy1ene Oxide)</t>
  </si>
  <si>
    <t>10.1002/pen.760352010</t>
  </si>
  <si>
    <t>Poly(3-hydroxybutyrate) nanocomposites modified with even and odd 
chain length polyhydroxyalkanoates</t>
  </si>
  <si>
    <t>Dufresne et al.</t>
  </si>
  <si>
    <t>Poly(3-hydroxybutyrate) and Poly(3-hydroxyoctanoate) Blends:
Morphology and Mechanical Behavior</t>
  </si>
  <si>
    <t>10.1021/ma991854a</t>
  </si>
  <si>
    <t>Microbial production of polyhydroxyalkanoate block
 copolymer by recombinant Pseudomonas putida</t>
  </si>
  <si>
    <t>10.1007/s00253-010-3069-2</t>
  </si>
  <si>
    <t>Crystallinity_%</t>
  </si>
  <si>
    <t>HB_ratio (mol%)</t>
  </si>
  <si>
    <t>HV_ratio (mol%)</t>
  </si>
  <si>
    <t>Additive1_percentage (wt%)</t>
  </si>
  <si>
    <t>Additive2_percentage (wt%)</t>
  </si>
  <si>
    <t>final_formulation_PHA_percentage (wt%)</t>
  </si>
  <si>
    <t>Reinforcment and stiffening modifiers</t>
  </si>
  <si>
    <t>Plasticizers and flexibility enhancers</t>
  </si>
  <si>
    <t>fill</t>
  </si>
  <si>
    <t>loss</t>
  </si>
  <si>
    <t>visc</t>
  </si>
  <si>
    <t>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</si>
</sst>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"/>
    <numFmt numFmtId="165" formatCode="0.000"/>
    <numFmt numFmtId="166" formatCode="0.0000"/>
    <numFmt numFmtId="167" formatCode="#,##0.000"/>
    <numFmt numFmtId="168" formatCode="0.000000"/>
    <numFmt numFmtId="169" formatCode="_-* #,##0_-;\-* #,##0_-;_-* &quot;-&quot;??_-;_-@"/>
    <numFmt numFmtId="170" formatCode="#,##0.00000"/>
    <numFmt numFmtId="171" formatCode="_-* #,##0.000000_-;\-* #,##0.000000_-;_-* &quot;-&quot;??_-;_-@"/>
    <numFmt numFmtId="172" formatCode="#,##0.000000"/>
    <numFmt numFmtId="173" formatCode="0.000000000"/>
    <numFmt numFmtId="174" formatCode="0.00000"/>
  </numFmts>
  <fonts count="33">
    <font>
      <sz val="11"/>
      <color theme="1"/>
      <name val="Aptos Narrow"/>
      <scheme val="minor"/>
    </font>
    <font>
      <b/>
      <sz val="12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rgb="FF242424"/>
      <name val="Aptos Narrow"/>
    </font>
    <font>
      <i/>
      <sz val="11"/>
      <color theme="1"/>
      <name val="Aptos Narrow"/>
    </font>
    <font>
      <b/>
      <sz val="11"/>
      <color rgb="FF000000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b/>
      <sz val="11"/>
      <color rgb="FF000000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1D35"/>
      <name val="Arial"/>
    </font>
    <font>
      <sz val="11"/>
      <color rgb="FF242424"/>
      <name val="Arial"/>
    </font>
    <font>
      <u/>
      <sz val="11"/>
      <color rgb="FF0000FF"/>
      <name val="Arial"/>
    </font>
    <font>
      <u/>
      <sz val="11"/>
      <color rgb="FF467886"/>
      <name val="Arial"/>
    </font>
    <font>
      <sz val="12"/>
      <color rgb="FF1F1F1F"/>
      <name val="Arial"/>
    </font>
    <font>
      <u/>
      <sz val="11"/>
      <color rgb="FF000000"/>
      <name val="Arial"/>
    </font>
    <font>
      <u/>
      <sz val="9"/>
      <color rgb="FF000000"/>
      <name val="Helvetica Neue"/>
    </font>
    <font>
      <b/>
      <sz val="11"/>
      <color rgb="FF000000"/>
      <name val="&quot;Aptos Narrow&quot;"/>
    </font>
    <font>
      <u/>
      <sz val="11"/>
      <color theme="10"/>
      <name val="Aptos Narrow"/>
    </font>
    <font>
      <u/>
      <sz val="11"/>
      <color theme="1"/>
      <name val="Aptos Narrow"/>
    </font>
    <font>
      <sz val="11"/>
      <color theme="1"/>
      <name val="&quot;Aptos Narrow&quot;"/>
    </font>
    <font>
      <sz val="11"/>
      <color rgb="FF333333"/>
      <name val="Georgia"/>
    </font>
    <font>
      <sz val="11"/>
      <color rgb="FF333333"/>
      <name val="-Apple-System"/>
    </font>
    <font>
      <sz val="11"/>
      <color rgb="FF467886"/>
      <name val="Arial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Arial"/>
      <family val="2"/>
      <charset val="161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356854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356854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9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5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4" fontId="2" fillId="0" borderId="0" xfId="0" applyNumberFormat="1" applyFont="1"/>
    <xf numFmtId="4" fontId="2" fillId="0" borderId="5" xfId="0" applyNumberFormat="1" applyFont="1" applyBorder="1"/>
    <xf numFmtId="0" fontId="2" fillId="0" borderId="5" xfId="0" applyFont="1" applyBorder="1"/>
    <xf numFmtId="1" fontId="3" fillId="0" borderId="0" xfId="0" applyNumberFormat="1" applyFont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 vertical="center"/>
    </xf>
    <xf numFmtId="4" fontId="10" fillId="5" borderId="8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13" fillId="0" borderId="0" xfId="0" applyFont="1" applyAlignment="1">
      <alignment horizontal="right"/>
    </xf>
    <xf numFmtId="0" fontId="2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2" fillId="0" borderId="9" xfId="0" applyFont="1" applyBorder="1"/>
    <xf numFmtId="165" fontId="13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2" fillId="0" borderId="0" xfId="0" applyFont="1"/>
    <xf numFmtId="0" fontId="12" fillId="0" borderId="5" xfId="0" applyFont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" fontId="4" fillId="0" borderId="0" xfId="0" applyNumberFormat="1" applyFont="1"/>
    <xf numFmtId="0" fontId="9" fillId="4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2" fillId="0" borderId="0" xfId="0" applyNumberFormat="1" applyFont="1"/>
    <xf numFmtId="165" fontId="2" fillId="0" borderId="0" xfId="0" applyNumberFormat="1" applyFont="1"/>
    <xf numFmtId="2" fontId="2" fillId="0" borderId="15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167" fontId="2" fillId="0" borderId="0" xfId="0" applyNumberFormat="1" applyFont="1"/>
    <xf numFmtId="165" fontId="2" fillId="0" borderId="5" xfId="0" applyNumberFormat="1" applyFont="1" applyBorder="1"/>
    <xf numFmtId="2" fontId="2" fillId="0" borderId="5" xfId="0" applyNumberFormat="1" applyFont="1" applyBorder="1"/>
    <xf numFmtId="168" fontId="2" fillId="0" borderId="0" xfId="0" applyNumberFormat="1" applyFont="1"/>
    <xf numFmtId="169" fontId="2" fillId="0" borderId="0" xfId="0" applyNumberFormat="1" applyFont="1"/>
    <xf numFmtId="164" fontId="2" fillId="0" borderId="15" xfId="0" applyNumberFormat="1" applyFont="1" applyBorder="1"/>
    <xf numFmtId="164" fontId="2" fillId="0" borderId="9" xfId="0" applyNumberFormat="1" applyFont="1" applyBorder="1"/>
    <xf numFmtId="164" fontId="2" fillId="0" borderId="0" xfId="0" applyNumberFormat="1" applyFont="1"/>
    <xf numFmtId="167" fontId="2" fillId="0" borderId="9" xfId="0" applyNumberFormat="1" applyFont="1" applyBorder="1"/>
    <xf numFmtId="2" fontId="2" fillId="0" borderId="9" xfId="0" applyNumberFormat="1" applyFont="1" applyBorder="1"/>
    <xf numFmtId="4" fontId="2" fillId="0" borderId="9" xfId="0" applyNumberFormat="1" applyFont="1" applyBorder="1"/>
    <xf numFmtId="168" fontId="2" fillId="0" borderId="0" xfId="0" applyNumberFormat="1" applyFont="1" applyAlignment="1">
      <alignment horizontal="center"/>
    </xf>
    <xf numFmtId="170" fontId="2" fillId="0" borderId="0" xfId="0" applyNumberFormat="1" applyFont="1"/>
    <xf numFmtId="171" fontId="2" fillId="0" borderId="0" xfId="0" applyNumberFormat="1" applyFont="1" applyAlignment="1">
      <alignment horizontal="center"/>
    </xf>
    <xf numFmtId="172" fontId="2" fillId="0" borderId="0" xfId="0" applyNumberFormat="1" applyFont="1"/>
    <xf numFmtId="3" fontId="2" fillId="0" borderId="0" xfId="0" applyNumberFormat="1" applyFont="1"/>
    <xf numFmtId="167" fontId="2" fillId="0" borderId="0" xfId="0" applyNumberFormat="1" applyFont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7" fontId="2" fillId="0" borderId="5" xfId="0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" fillId="0" borderId="12" xfId="0" applyFont="1" applyBorder="1"/>
    <xf numFmtId="0" fontId="3" fillId="0" borderId="20" xfId="0" applyFont="1" applyBorder="1" applyAlignment="1">
      <alignment horizontal="center"/>
    </xf>
    <xf numFmtId="3" fontId="2" fillId="0" borderId="0" xfId="0" applyNumberFormat="1" applyFont="1" applyAlignment="1">
      <alignment horizontal="right" wrapText="1"/>
    </xf>
    <xf numFmtId="2" fontId="2" fillId="6" borderId="17" xfId="0" applyNumberFormat="1" applyFont="1" applyFill="1" applyBorder="1" applyAlignment="1">
      <alignment horizontal="center"/>
    </xf>
    <xf numFmtId="2" fontId="2" fillId="4" borderId="18" xfId="0" applyNumberFormat="1" applyFont="1" applyFill="1" applyBorder="1" applyAlignment="1">
      <alignment horizontal="center"/>
    </xf>
    <xf numFmtId="2" fontId="2" fillId="6" borderId="18" xfId="0" applyNumberFormat="1" applyFont="1" applyFill="1" applyBorder="1" applyAlignment="1">
      <alignment horizontal="center"/>
    </xf>
    <xf numFmtId="2" fontId="2" fillId="4" borderId="21" xfId="0" applyNumberFormat="1" applyFont="1" applyFill="1" applyBorder="1" applyAlignment="1">
      <alignment horizontal="center"/>
    </xf>
    <xf numFmtId="165" fontId="2" fillId="4" borderId="17" xfId="0" applyNumberFormat="1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165" fontId="2" fillId="4" borderId="21" xfId="0" applyNumberFormat="1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1" fontId="2" fillId="4" borderId="17" xfId="0" applyNumberFormat="1" applyFont="1" applyFill="1" applyBorder="1" applyAlignment="1">
      <alignment horizontal="center"/>
    </xf>
    <xf numFmtId="1" fontId="2" fillId="6" borderId="18" xfId="0" applyNumberFormat="1" applyFont="1" applyFill="1" applyBorder="1" applyAlignment="1">
      <alignment horizontal="center"/>
    </xf>
    <xf numFmtId="1" fontId="2" fillId="4" borderId="18" xfId="0" applyNumberFormat="1" applyFont="1" applyFill="1" applyBorder="1" applyAlignment="1">
      <alignment horizontal="center"/>
    </xf>
    <xf numFmtId="1" fontId="2" fillId="6" borderId="21" xfId="0" applyNumberFormat="1" applyFont="1" applyFill="1" applyBorder="1" applyAlignment="1">
      <alignment horizontal="center"/>
    </xf>
    <xf numFmtId="2" fontId="2" fillId="4" borderId="17" xfId="0" applyNumberFormat="1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1" fontId="2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6" fontId="2" fillId="0" borderId="0" xfId="0" applyNumberFormat="1" applyFont="1"/>
    <xf numFmtId="0" fontId="2" fillId="0" borderId="20" xfId="0" applyFont="1" applyBorder="1"/>
    <xf numFmtId="0" fontId="2" fillId="6" borderId="21" xfId="0" applyFont="1" applyFill="1" applyBorder="1" applyAlignment="1">
      <alignment horizontal="center"/>
    </xf>
    <xf numFmtId="2" fontId="2" fillId="4" borderId="17" xfId="0" applyNumberFormat="1" applyFont="1" applyFill="1" applyBorder="1"/>
    <xf numFmtId="2" fontId="2" fillId="6" borderId="18" xfId="0" applyNumberFormat="1" applyFont="1" applyFill="1" applyBorder="1"/>
    <xf numFmtId="2" fontId="2" fillId="4" borderId="18" xfId="0" applyNumberFormat="1" applyFont="1" applyFill="1" applyBorder="1"/>
    <xf numFmtId="173" fontId="2" fillId="0" borderId="0" xfId="0" applyNumberFormat="1" applyFont="1"/>
    <xf numFmtId="0" fontId="2" fillId="0" borderId="9" xfId="0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74" fontId="2" fillId="6" borderId="17" xfId="0" applyNumberFormat="1" applyFont="1" applyFill="1" applyBorder="1" applyAlignment="1">
      <alignment horizontal="center"/>
    </xf>
    <xf numFmtId="174" fontId="2" fillId="4" borderId="18" xfId="0" applyNumberFormat="1" applyFont="1" applyFill="1" applyBorder="1" applyAlignment="1">
      <alignment horizontal="center"/>
    </xf>
    <xf numFmtId="174" fontId="2" fillId="6" borderId="18" xfId="0" applyNumberFormat="1" applyFont="1" applyFill="1" applyBorder="1" applyAlignment="1">
      <alignment horizontal="center"/>
    </xf>
    <xf numFmtId="174" fontId="2" fillId="6" borderId="2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1" fillId="0" borderId="14" xfId="0" applyFont="1" applyBorder="1"/>
    <xf numFmtId="0" fontId="2" fillId="0" borderId="14" xfId="0" applyFont="1" applyBorder="1"/>
    <xf numFmtId="0" fontId="3" fillId="0" borderId="14" xfId="0" applyFont="1" applyBorder="1"/>
    <xf numFmtId="0" fontId="9" fillId="2" borderId="1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164" fontId="3" fillId="4" borderId="10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164" fontId="3" fillId="4" borderId="11" xfId="0" applyNumberFormat="1" applyFont="1" applyFill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" fillId="0" borderId="10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1" xfId="0" applyFont="1" applyBorder="1"/>
    <xf numFmtId="0" fontId="9" fillId="2" borderId="9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1" fontId="3" fillId="0" borderId="18" xfId="0" applyNumberFormat="1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0" fontId="2" fillId="4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4" fontId="3" fillId="4" borderId="17" xfId="0" applyNumberFormat="1" applyFont="1" applyFill="1" applyBorder="1" applyAlignment="1">
      <alignment horizontal="center"/>
    </xf>
    <xf numFmtId="4" fontId="3" fillId="6" borderId="18" xfId="0" applyNumberFormat="1" applyFont="1" applyFill="1" applyBorder="1" applyAlignment="1">
      <alignment horizontal="center"/>
    </xf>
    <xf numFmtId="4" fontId="3" fillId="4" borderId="18" xfId="0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4" fontId="3" fillId="6" borderId="17" xfId="0" applyNumberFormat="1" applyFont="1" applyFill="1" applyBorder="1" applyAlignment="1">
      <alignment horizontal="center"/>
    </xf>
    <xf numFmtId="4" fontId="3" fillId="0" borderId="18" xfId="0" applyNumberFormat="1" applyFont="1" applyBorder="1" applyAlignment="1">
      <alignment horizontal="center"/>
    </xf>
    <xf numFmtId="4" fontId="3" fillId="0" borderId="21" xfId="0" applyNumberFormat="1" applyFont="1" applyBorder="1" applyAlignment="1">
      <alignment horizontal="center"/>
    </xf>
    <xf numFmtId="0" fontId="2" fillId="4" borderId="10" xfId="0" applyFont="1" applyFill="1" applyBorder="1"/>
    <xf numFmtId="4" fontId="3" fillId="0" borderId="17" xfId="0" applyNumberFormat="1" applyFont="1" applyBorder="1" applyAlignment="1">
      <alignment horizontal="center"/>
    </xf>
    <xf numFmtId="0" fontId="2" fillId="4" borderId="11" xfId="0" applyFont="1" applyFill="1" applyBorder="1"/>
    <xf numFmtId="0" fontId="12" fillId="0" borderId="10" xfId="0" applyFont="1" applyBorder="1" applyAlignment="1">
      <alignment horizontal="center"/>
    </xf>
    <xf numFmtId="165" fontId="13" fillId="0" borderId="10" xfId="0" applyNumberFormat="1" applyFont="1" applyBorder="1" applyAlignment="1">
      <alignment horizontal="center"/>
    </xf>
    <xf numFmtId="165" fontId="12" fillId="0" borderId="10" xfId="0" applyNumberFormat="1" applyFont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4" fontId="2" fillId="0" borderId="18" xfId="0" applyNumberFormat="1" applyFont="1" applyBorder="1" applyAlignment="1">
      <alignment horizontal="center" wrapText="1"/>
    </xf>
    <xf numFmtId="0" fontId="12" fillId="0" borderId="10" xfId="0" applyFont="1" applyBorder="1"/>
    <xf numFmtId="0" fontId="13" fillId="0" borderId="10" xfId="0" applyFont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7" borderId="11" xfId="0" applyFont="1" applyFill="1" applyBorder="1"/>
    <xf numFmtId="0" fontId="3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10" fillId="2" borderId="15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/>
    </xf>
    <xf numFmtId="1" fontId="10" fillId="2" borderId="9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horizontal="center"/>
    </xf>
    <xf numFmtId="1" fontId="10" fillId="2" borderId="16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5" fontId="2" fillId="0" borderId="17" xfId="0" applyNumberFormat="1" applyFont="1" applyBorder="1" applyAlignment="1">
      <alignment horizontal="center"/>
    </xf>
    <xf numFmtId="165" fontId="2" fillId="0" borderId="21" xfId="0" applyNumberFormat="1" applyFont="1" applyBorder="1" applyAlignment="1">
      <alignment horizontal="center"/>
    </xf>
    <xf numFmtId="164" fontId="2" fillId="0" borderId="10" xfId="0" applyNumberFormat="1" applyFont="1" applyBorder="1"/>
    <xf numFmtId="2" fontId="2" fillId="0" borderId="10" xfId="0" applyNumberFormat="1" applyFont="1" applyBorder="1"/>
    <xf numFmtId="167" fontId="2" fillId="0" borderId="18" xfId="0" applyNumberFormat="1" applyFont="1" applyBorder="1"/>
    <xf numFmtId="0" fontId="9" fillId="2" borderId="15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3" fontId="2" fillId="0" borderId="10" xfId="0" applyNumberFormat="1" applyFont="1" applyBorder="1"/>
    <xf numFmtId="1" fontId="9" fillId="2" borderId="15" xfId="0" applyNumberFormat="1" applyFont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/>
    </xf>
    <xf numFmtId="1" fontId="9" fillId="2" borderId="9" xfId="0" applyNumberFormat="1" applyFont="1" applyFill="1" applyBorder="1" applyAlignment="1">
      <alignment horizontal="center"/>
    </xf>
    <xf numFmtId="1" fontId="2" fillId="3" borderId="11" xfId="0" applyNumberFormat="1" applyFont="1" applyFill="1" applyBorder="1" applyAlignment="1">
      <alignment horizontal="center"/>
    </xf>
    <xf numFmtId="1" fontId="9" fillId="2" borderId="16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7" fontId="2" fillId="0" borderId="18" xfId="0" applyNumberFormat="1" applyFont="1" applyBorder="1" applyAlignment="1">
      <alignment horizontal="center"/>
    </xf>
    <xf numFmtId="167" fontId="2" fillId="0" borderId="21" xfId="0" applyNumberFormat="1" applyFont="1" applyBorder="1" applyAlignment="1">
      <alignment horizontal="center"/>
    </xf>
    <xf numFmtId="167" fontId="2" fillId="0" borderId="21" xfId="0" applyNumberFormat="1" applyFont="1" applyBorder="1"/>
    <xf numFmtId="0" fontId="14" fillId="0" borderId="10" xfId="0" applyFont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1" fontId="2" fillId="2" borderId="15" xfId="0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" fontId="3" fillId="2" borderId="9" xfId="0" applyNumberFormat="1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1" fontId="2" fillId="6" borderId="10" xfId="0" applyNumberFormat="1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" fontId="2" fillId="6" borderId="11" xfId="0" applyNumberFormat="1" applyFont="1" applyFill="1" applyBorder="1" applyAlignment="1">
      <alignment horizontal="center"/>
    </xf>
    <xf numFmtId="2" fontId="2" fillId="6" borderId="10" xfId="0" applyNumberFormat="1" applyFont="1" applyFill="1" applyBorder="1" applyAlignment="1">
      <alignment horizontal="center"/>
    </xf>
    <xf numFmtId="2" fontId="2" fillId="4" borderId="11" xfId="0" applyNumberFormat="1" applyFont="1" applyFill="1" applyBorder="1" applyAlignment="1">
      <alignment horizontal="center"/>
    </xf>
    <xf numFmtId="2" fontId="2" fillId="6" borderId="11" xfId="0" applyNumberFormat="1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18" xfId="0" applyNumberFormat="1" applyFont="1" applyBorder="1" applyAlignment="1">
      <alignment horizontal="center"/>
    </xf>
    <xf numFmtId="165" fontId="12" fillId="0" borderId="21" xfId="0" applyNumberFormat="1" applyFont="1" applyBorder="1" applyAlignment="1">
      <alignment horizontal="center"/>
    </xf>
    <xf numFmtId="2" fontId="2" fillId="4" borderId="10" xfId="0" applyNumberFormat="1" applyFont="1" applyFill="1" applyBorder="1" applyAlignment="1">
      <alignment horizontal="center"/>
    </xf>
    <xf numFmtId="165" fontId="2" fillId="4" borderId="10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2" fontId="2" fillId="6" borderId="15" xfId="0" applyNumberFormat="1" applyFont="1" applyFill="1" applyBorder="1" applyAlignment="1">
      <alignment horizontal="center"/>
    </xf>
    <xf numFmtId="165" fontId="2" fillId="4" borderId="10" xfId="0" applyNumberFormat="1" applyFont="1" applyFill="1" applyBorder="1"/>
    <xf numFmtId="166" fontId="2" fillId="4" borderId="10" xfId="0" applyNumberFormat="1" applyFont="1" applyFill="1" applyBorder="1" applyAlignment="1">
      <alignment horizontal="center"/>
    </xf>
    <xf numFmtId="165" fontId="2" fillId="6" borderId="11" xfId="0" applyNumberFormat="1" applyFont="1" applyFill="1" applyBorder="1"/>
    <xf numFmtId="166" fontId="2" fillId="6" borderId="11" xfId="0" applyNumberFormat="1" applyFont="1" applyFill="1" applyBorder="1" applyAlignment="1">
      <alignment horizontal="center"/>
    </xf>
    <xf numFmtId="165" fontId="2" fillId="4" borderId="11" xfId="0" applyNumberFormat="1" applyFont="1" applyFill="1" applyBorder="1"/>
    <xf numFmtId="166" fontId="2" fillId="4" borderId="11" xfId="0" applyNumberFormat="1" applyFont="1" applyFill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65" fontId="3" fillId="0" borderId="21" xfId="0" applyNumberFormat="1" applyFont="1" applyBorder="1" applyAlignment="1">
      <alignment horizontal="center"/>
    </xf>
    <xf numFmtId="165" fontId="2" fillId="4" borderId="15" xfId="0" applyNumberFormat="1" applyFont="1" applyFill="1" applyBorder="1" applyAlignment="1">
      <alignment horizontal="center"/>
    </xf>
    <xf numFmtId="165" fontId="2" fillId="4" borderId="9" xfId="0" applyNumberFormat="1" applyFont="1" applyFill="1" applyBorder="1" applyAlignment="1">
      <alignment horizontal="center"/>
    </xf>
    <xf numFmtId="165" fontId="2" fillId="4" borderId="11" xfId="0" applyNumberFormat="1" applyFont="1" applyFill="1" applyBorder="1" applyAlignment="1">
      <alignment horizontal="center"/>
    </xf>
    <xf numFmtId="165" fontId="2" fillId="4" borderId="16" xfId="0" applyNumberFormat="1" applyFont="1" applyFill="1" applyBorder="1" applyAlignment="1">
      <alignment horizontal="center"/>
    </xf>
    <xf numFmtId="165" fontId="2" fillId="4" borderId="5" xfId="0" applyNumberFormat="1" applyFont="1" applyFill="1" applyBorder="1" applyAlignment="1">
      <alignment horizontal="center"/>
    </xf>
    <xf numFmtId="0" fontId="2" fillId="6" borderId="11" xfId="0" applyFont="1" applyFill="1" applyBorder="1"/>
    <xf numFmtId="0" fontId="2" fillId="6" borderId="9" xfId="0" applyFont="1" applyFill="1" applyBorder="1"/>
    <xf numFmtId="0" fontId="2" fillId="4" borderId="9" xfId="0" applyFont="1" applyFill="1" applyBorder="1"/>
    <xf numFmtId="165" fontId="2" fillId="6" borderId="10" xfId="0" applyNumberFormat="1" applyFont="1" applyFill="1" applyBorder="1" applyAlignment="1">
      <alignment horizontal="center"/>
    </xf>
    <xf numFmtId="0" fontId="2" fillId="6" borderId="15" xfId="0" applyFont="1" applyFill="1" applyBorder="1"/>
    <xf numFmtId="0" fontId="2" fillId="6" borderId="10" xfId="0" applyFont="1" applyFill="1" applyBorder="1"/>
    <xf numFmtId="165" fontId="2" fillId="6" borderId="11" xfId="0" applyNumberFormat="1" applyFont="1" applyFill="1" applyBorder="1" applyAlignment="1">
      <alignment horizontal="center"/>
    </xf>
    <xf numFmtId="165" fontId="2" fillId="0" borderId="10" xfId="0" applyNumberFormat="1" applyFont="1" applyBorder="1"/>
    <xf numFmtId="3" fontId="2" fillId="0" borderId="17" xfId="0" applyNumberFormat="1" applyFont="1" applyBorder="1"/>
    <xf numFmtId="3" fontId="2" fillId="0" borderId="18" xfId="0" applyNumberFormat="1" applyFont="1" applyBorder="1"/>
    <xf numFmtId="3" fontId="2" fillId="0" borderId="21" xfId="0" applyNumberFormat="1" applyFont="1" applyBorder="1"/>
    <xf numFmtId="1" fontId="10" fillId="2" borderId="11" xfId="0" applyNumberFormat="1" applyFont="1" applyFill="1" applyBorder="1" applyAlignment="1">
      <alignment horizontal="center" vertical="center"/>
    </xf>
    <xf numFmtId="1" fontId="10" fillId="2" borderId="11" xfId="0" applyNumberFormat="1" applyFont="1" applyFill="1" applyBorder="1" applyAlignment="1">
      <alignment horizontal="center"/>
    </xf>
    <xf numFmtId="1" fontId="2" fillId="4" borderId="10" xfId="0" applyNumberFormat="1" applyFont="1" applyFill="1" applyBorder="1" applyAlignment="1">
      <alignment horizontal="center"/>
    </xf>
    <xf numFmtId="1" fontId="2" fillId="6" borderId="5" xfId="0" applyNumberFormat="1" applyFont="1" applyFill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164" fontId="2" fillId="0" borderId="17" xfId="0" applyNumberFormat="1" applyFont="1" applyBorder="1"/>
    <xf numFmtId="2" fontId="2" fillId="0" borderId="18" xfId="0" applyNumberFormat="1" applyFont="1" applyBorder="1"/>
    <xf numFmtId="166" fontId="2" fillId="0" borderId="18" xfId="0" applyNumberFormat="1" applyFont="1" applyBorder="1"/>
    <xf numFmtId="0" fontId="5" fillId="0" borderId="10" xfId="0" applyFont="1" applyBorder="1" applyAlignment="1">
      <alignment horizontal="center"/>
    </xf>
    <xf numFmtId="165" fontId="12" fillId="6" borderId="10" xfId="0" applyNumberFormat="1" applyFont="1" applyFill="1" applyBorder="1" applyAlignment="1">
      <alignment horizontal="center"/>
    </xf>
    <xf numFmtId="165" fontId="12" fillId="6" borderId="10" xfId="0" applyNumberFormat="1" applyFont="1" applyFill="1" applyBorder="1"/>
    <xf numFmtId="0" fontId="2" fillId="6" borderId="15" xfId="0" applyFont="1" applyFill="1" applyBorder="1" applyAlignment="1">
      <alignment horizontal="center"/>
    </xf>
    <xf numFmtId="165" fontId="12" fillId="4" borderId="11" xfId="0" applyNumberFormat="1" applyFont="1" applyFill="1" applyBorder="1" applyAlignment="1">
      <alignment horizontal="center"/>
    </xf>
    <xf numFmtId="165" fontId="12" fillId="4" borderId="11" xfId="0" applyNumberFormat="1" applyFont="1" applyFill="1" applyBorder="1"/>
    <xf numFmtId="165" fontId="12" fillId="6" borderId="11" xfId="0" applyNumberFormat="1" applyFont="1" applyFill="1" applyBorder="1" applyAlignment="1">
      <alignment horizontal="center"/>
    </xf>
    <xf numFmtId="165" fontId="12" fillId="6" borderId="11" xfId="0" applyNumberFormat="1" applyFont="1" applyFill="1" applyBorder="1"/>
    <xf numFmtId="165" fontId="3" fillId="4" borderId="10" xfId="0" applyNumberFormat="1" applyFont="1" applyFill="1" applyBorder="1" applyAlignment="1">
      <alignment horizontal="center"/>
    </xf>
    <xf numFmtId="165" fontId="3" fillId="6" borderId="11" xfId="0" applyNumberFormat="1" applyFont="1" applyFill="1" applyBorder="1" applyAlignment="1">
      <alignment horizontal="center"/>
    </xf>
    <xf numFmtId="165" fontId="3" fillId="4" borderId="11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2" fontId="2" fillId="4" borderId="10" xfId="0" applyNumberFormat="1" applyFont="1" applyFill="1" applyBorder="1"/>
    <xf numFmtId="2" fontId="2" fillId="6" borderId="11" xfId="0" applyNumberFormat="1" applyFont="1" applyFill="1" applyBorder="1"/>
    <xf numFmtId="2" fontId="2" fillId="4" borderId="11" xfId="0" applyNumberFormat="1" applyFont="1" applyFill="1" applyBorder="1"/>
    <xf numFmtId="164" fontId="2" fillId="6" borderId="11" xfId="0" applyNumberFormat="1" applyFont="1" applyFill="1" applyBorder="1"/>
    <xf numFmtId="0" fontId="2" fillId="4" borderId="15" xfId="0" applyFont="1" applyFill="1" applyBorder="1"/>
    <xf numFmtId="164" fontId="2" fillId="4" borderId="10" xfId="0" applyNumberFormat="1" applyFont="1" applyFill="1" applyBorder="1"/>
    <xf numFmtId="1" fontId="3" fillId="4" borderId="10" xfId="0" applyNumberFormat="1" applyFont="1" applyFill="1" applyBorder="1" applyAlignment="1">
      <alignment horizontal="center"/>
    </xf>
    <xf numFmtId="1" fontId="3" fillId="4" borderId="11" xfId="0" applyNumberFormat="1" applyFont="1" applyFill="1" applyBorder="1" applyAlignment="1">
      <alignment horizontal="center"/>
    </xf>
    <xf numFmtId="2" fontId="2" fillId="4" borderId="9" xfId="0" applyNumberFormat="1" applyFont="1" applyFill="1" applyBorder="1" applyAlignment="1">
      <alignment horizontal="center"/>
    </xf>
    <xf numFmtId="2" fontId="2" fillId="6" borderId="9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64" fontId="2" fillId="4" borderId="11" xfId="0" applyNumberFormat="1" applyFont="1" applyFill="1" applyBorder="1"/>
    <xf numFmtId="0" fontId="3" fillId="7" borderId="11" xfId="0" applyFont="1" applyFill="1" applyBorder="1" applyAlignment="1">
      <alignment horizontal="center"/>
    </xf>
    <xf numFmtId="174" fontId="2" fillId="4" borderId="10" xfId="0" applyNumberFormat="1" applyFont="1" applyFill="1" applyBorder="1" applyAlignment="1">
      <alignment horizontal="center"/>
    </xf>
    <xf numFmtId="174" fontId="2" fillId="4" borderId="11" xfId="0" applyNumberFormat="1" applyFont="1" applyFill="1" applyBorder="1" applyAlignment="1">
      <alignment horizontal="center"/>
    </xf>
    <xf numFmtId="174" fontId="2" fillId="6" borderId="11" xfId="0" applyNumberFormat="1" applyFont="1" applyFill="1" applyBorder="1" applyAlignment="1">
      <alignment horizontal="center"/>
    </xf>
    <xf numFmtId="168" fontId="2" fillId="4" borderId="11" xfId="0" applyNumberFormat="1" applyFont="1" applyFill="1" applyBorder="1" applyAlignment="1">
      <alignment horizontal="center"/>
    </xf>
    <xf numFmtId="168" fontId="2" fillId="6" borderId="11" xfId="0" applyNumberFormat="1" applyFont="1" applyFill="1" applyBorder="1" applyAlignment="1">
      <alignment horizontal="center"/>
    </xf>
    <xf numFmtId="174" fontId="2" fillId="4" borderId="9" xfId="0" applyNumberFormat="1" applyFont="1" applyFill="1" applyBorder="1"/>
    <xf numFmtId="174" fontId="2" fillId="4" borderId="11" xfId="0" applyNumberFormat="1" applyFont="1" applyFill="1" applyBorder="1"/>
    <xf numFmtId="168" fontId="2" fillId="4" borderId="11" xfId="0" applyNumberFormat="1" applyFont="1" applyFill="1" applyBorder="1"/>
    <xf numFmtId="174" fontId="2" fillId="6" borderId="10" xfId="0" applyNumberFormat="1" applyFont="1" applyFill="1" applyBorder="1" applyAlignment="1">
      <alignment horizontal="center"/>
    </xf>
    <xf numFmtId="174" fontId="2" fillId="6" borderId="5" xfId="0" applyNumberFormat="1" applyFont="1" applyFill="1" applyBorder="1" applyAlignment="1">
      <alignment horizontal="center"/>
    </xf>
    <xf numFmtId="0" fontId="3" fillId="6" borderId="10" xfId="0" applyFont="1" applyFill="1" applyBorder="1"/>
    <xf numFmtId="0" fontId="3" fillId="6" borderId="18" xfId="0" applyFont="1" applyFill="1" applyBorder="1" applyAlignment="1">
      <alignment horizontal="center"/>
    </xf>
    <xf numFmtId="0" fontId="3" fillId="4" borderId="0" xfId="0" applyFont="1" applyFill="1"/>
    <xf numFmtId="0" fontId="3" fillId="4" borderId="18" xfId="0" applyFont="1" applyFill="1" applyBorder="1" applyAlignment="1">
      <alignment horizontal="center"/>
    </xf>
    <xf numFmtId="0" fontId="3" fillId="6" borderId="0" xfId="0" applyFont="1" applyFill="1"/>
    <xf numFmtId="0" fontId="3" fillId="6" borderId="17" xfId="0" applyFont="1" applyFill="1" applyBorder="1" applyAlignment="1">
      <alignment horizontal="center"/>
    </xf>
    <xf numFmtId="0" fontId="3" fillId="4" borderId="11" xfId="0" applyFont="1" applyFill="1" applyBorder="1"/>
    <xf numFmtId="0" fontId="3" fillId="6" borderId="11" xfId="0" applyFont="1" applyFill="1" applyBorder="1"/>
    <xf numFmtId="0" fontId="3" fillId="4" borderId="10" xfId="0" applyFont="1" applyFill="1" applyBorder="1"/>
    <xf numFmtId="0" fontId="3" fillId="4" borderId="17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5" xfId="0" applyFont="1" applyBorder="1"/>
    <xf numFmtId="0" fontId="0" fillId="0" borderId="11" xfId="0" applyBorder="1"/>
    <xf numFmtId="0" fontId="4" fillId="0" borderId="10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21" xfId="0" applyFont="1" applyBorder="1"/>
    <xf numFmtId="0" fontId="2" fillId="0" borderId="11" xfId="0" applyFont="1" applyBorder="1"/>
    <xf numFmtId="167" fontId="2" fillId="0" borderId="10" xfId="0" applyNumberFormat="1" applyFont="1" applyBorder="1"/>
    <xf numFmtId="167" fontId="2" fillId="0" borderId="11" xfId="0" applyNumberFormat="1" applyFont="1" applyBorder="1"/>
    <xf numFmtId="0" fontId="3" fillId="0" borderId="0" xfId="0" applyFont="1" applyAlignment="1">
      <alignment horizontal="left"/>
    </xf>
    <xf numFmtId="0" fontId="3" fillId="6" borderId="22" xfId="0" applyFont="1" applyFill="1" applyBorder="1" applyAlignment="1">
      <alignment horizontal="center"/>
    </xf>
    <xf numFmtId="167" fontId="2" fillId="0" borderId="17" xfId="0" applyNumberFormat="1" applyFont="1" applyBorder="1"/>
    <xf numFmtId="0" fontId="0" fillId="4" borderId="0" xfId="0" applyFill="1"/>
    <xf numFmtId="0" fontId="0" fillId="6" borderId="0" xfId="0" applyFill="1"/>
    <xf numFmtId="0" fontId="2" fillId="4" borderId="0" xfId="0" applyFont="1" applyFill="1"/>
    <xf numFmtId="0" fontId="2" fillId="6" borderId="0" xfId="0" applyFont="1" applyFill="1"/>
    <xf numFmtId="0" fontId="9" fillId="4" borderId="15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2" fillId="6" borderId="24" xfId="0" applyFont="1" applyFill="1" applyBorder="1"/>
    <xf numFmtId="0" fontId="2" fillId="4" borderId="3" xfId="0" applyFont="1" applyFill="1" applyBorder="1"/>
    <xf numFmtId="0" fontId="2" fillId="6" borderId="3" xfId="0" applyFont="1" applyFill="1" applyBorder="1"/>
    <xf numFmtId="0" fontId="2" fillId="6" borderId="17" xfId="0" applyFont="1" applyFill="1" applyBorder="1"/>
    <xf numFmtId="0" fontId="2" fillId="4" borderId="18" xfId="0" applyFont="1" applyFill="1" applyBorder="1"/>
    <xf numFmtId="0" fontId="2" fillId="6" borderId="5" xfId="0" applyFont="1" applyFill="1" applyBorder="1"/>
    <xf numFmtId="0" fontId="2" fillId="6" borderId="21" xfId="0" applyFont="1" applyFill="1" applyBorder="1"/>
    <xf numFmtId="1" fontId="2" fillId="6" borderId="17" xfId="0" applyNumberFormat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2" fillId="6" borderId="0" xfId="0" applyNumberFormat="1" applyFont="1" applyFill="1" applyAlignment="1">
      <alignment horizontal="center"/>
    </xf>
    <xf numFmtId="165" fontId="12" fillId="4" borderId="0" xfId="0" applyNumberFormat="1" applyFont="1" applyFill="1" applyAlignment="1">
      <alignment horizontal="center"/>
    </xf>
    <xf numFmtId="2" fontId="2" fillId="4" borderId="0" xfId="0" applyNumberFormat="1" applyFont="1" applyFill="1"/>
    <xf numFmtId="165" fontId="2" fillId="4" borderId="0" xfId="0" applyNumberFormat="1" applyFont="1" applyFill="1"/>
    <xf numFmtId="2" fontId="2" fillId="6" borderId="0" xfId="0" applyNumberFormat="1" applyFont="1" applyFill="1"/>
    <xf numFmtId="165" fontId="2" fillId="6" borderId="0" xfId="0" applyNumberFormat="1" applyFont="1" applyFill="1"/>
    <xf numFmtId="164" fontId="2" fillId="6" borderId="0" xfId="0" applyNumberFormat="1" applyFont="1" applyFill="1"/>
    <xf numFmtId="164" fontId="2" fillId="6" borderId="18" xfId="0" applyNumberFormat="1" applyFont="1" applyFill="1" applyBorder="1"/>
    <xf numFmtId="164" fontId="2" fillId="4" borderId="0" xfId="0" applyNumberFormat="1" applyFont="1" applyFill="1"/>
    <xf numFmtId="164" fontId="2" fillId="4" borderId="18" xfId="0" applyNumberFormat="1" applyFont="1" applyFill="1" applyBorder="1"/>
    <xf numFmtId="1" fontId="2" fillId="4" borderId="10" xfId="0" applyNumberFormat="1" applyFont="1" applyFill="1" applyBorder="1"/>
    <xf numFmtId="1" fontId="2" fillId="6" borderId="0" xfId="0" applyNumberFormat="1" applyFont="1" applyFill="1"/>
    <xf numFmtId="1" fontId="2" fillId="4" borderId="0" xfId="0" applyNumberFormat="1" applyFont="1" applyFill="1"/>
    <xf numFmtId="166" fontId="2" fillId="6" borderId="0" xfId="0" applyNumberFormat="1" applyFont="1" applyFill="1" applyAlignment="1">
      <alignment horizontal="center"/>
    </xf>
    <xf numFmtId="0" fontId="3" fillId="4" borderId="9" xfId="0" applyFont="1" applyFill="1" applyBorder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4" fontId="3" fillId="6" borderId="11" xfId="0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6" borderId="11" xfId="0" applyNumberFormat="1" applyFont="1" applyFill="1" applyBorder="1" applyAlignment="1">
      <alignment horizontal="center"/>
    </xf>
    <xf numFmtId="0" fontId="0" fillId="4" borderId="10" xfId="0" applyFill="1" applyBorder="1"/>
    <xf numFmtId="0" fontId="0" fillId="4" borderId="9" xfId="0" applyFill="1" applyBorder="1"/>
    <xf numFmtId="0" fontId="0" fillId="6" borderId="9" xfId="0" applyFill="1" applyBorder="1"/>
    <xf numFmtId="165" fontId="2" fillId="6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2" fontId="3" fillId="6" borderId="0" xfId="0" applyNumberFormat="1" applyFont="1" applyFill="1" applyAlignment="1">
      <alignment horizontal="center"/>
    </xf>
    <xf numFmtId="165" fontId="3" fillId="6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2" fontId="3" fillId="6" borderId="11" xfId="0" applyNumberFormat="1" applyFont="1" applyFill="1" applyBorder="1" applyAlignment="1">
      <alignment horizontal="center"/>
    </xf>
    <xf numFmtId="4" fontId="2" fillId="4" borderId="0" xfId="0" applyNumberFormat="1" applyFont="1" applyFill="1"/>
    <xf numFmtId="4" fontId="2" fillId="6" borderId="0" xfId="0" applyNumberFormat="1" applyFont="1" applyFill="1"/>
    <xf numFmtId="4" fontId="2" fillId="6" borderId="11" xfId="0" applyNumberFormat="1" applyFont="1" applyFill="1" applyBorder="1"/>
    <xf numFmtId="166" fontId="2" fillId="6" borderId="10" xfId="0" applyNumberFormat="1" applyFont="1" applyFill="1" applyBorder="1" applyAlignment="1">
      <alignment horizontal="center"/>
    </xf>
    <xf numFmtId="166" fontId="2" fillId="4" borderId="0" xfId="0" applyNumberFormat="1" applyFont="1" applyFill="1" applyAlignment="1">
      <alignment horizontal="center"/>
    </xf>
    <xf numFmtId="0" fontId="0" fillId="6" borderId="10" xfId="0" applyFill="1" applyBorder="1"/>
    <xf numFmtId="2" fontId="2" fillId="6" borderId="5" xfId="0" applyNumberFormat="1" applyFont="1" applyFill="1" applyBorder="1" applyAlignment="1">
      <alignment horizontal="center"/>
    </xf>
    <xf numFmtId="0" fontId="28" fillId="5" borderId="7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29" fillId="0" borderId="0" xfId="0" applyFont="1" applyAlignment="1">
      <alignment horizontal="center" wrapText="1"/>
    </xf>
    <xf numFmtId="0" fontId="29" fillId="0" borderId="11" xfId="0" applyFont="1" applyBorder="1" applyAlignment="1">
      <alignment horizontal="center"/>
    </xf>
    <xf numFmtId="0" fontId="29" fillId="0" borderId="10" xfId="0" applyFont="1" applyBorder="1"/>
    <xf numFmtId="0" fontId="29" fillId="0" borderId="0" xfId="0" applyFont="1"/>
    <xf numFmtId="0" fontId="29" fillId="0" borderId="5" xfId="0" applyFont="1" applyBorder="1"/>
    <xf numFmtId="0" fontId="29" fillId="0" borderId="25" xfId="0" applyFont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/>
    </xf>
    <xf numFmtId="0" fontId="31" fillId="3" borderId="11" xfId="0" applyFont="1" applyFill="1" applyBorder="1" applyAlignment="1">
      <alignment horizontal="center"/>
    </xf>
    <xf numFmtId="0" fontId="31" fillId="3" borderId="11" xfId="0" applyFont="1" applyFill="1" applyBorder="1" applyAlignment="1">
      <alignment horizontal="center" wrapText="1"/>
    </xf>
    <xf numFmtId="0" fontId="32" fillId="0" borderId="0" xfId="0" applyFont="1"/>
  </cellXfs>
  <cellStyles count="1">
    <cellStyle name="Κανονικό" xfId="0" builtinId="0"/>
  </cellStyles>
  <dxfs count="2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0">
    <tableStyle name="Temperature-style" pivot="0" count="2" xr9:uid="{00000000-0011-0000-FFFF-FFFF00000000}">
      <tableStyleElement type="firstRowStripe" dxfId="21"/>
      <tableStyleElement type="secondRowStripe" dxfId="20"/>
    </tableStyle>
    <tableStyle name="Thermal_properties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Thermal_properties-style 2" pivot="0" count="2" xr9:uid="{00000000-0011-0000-FFFF-FFFF02000000}">
      <tableStyleElement type="firstRowStripe" dxfId="16"/>
      <tableStyleElement type="secondRowStripe" dxfId="15"/>
    </tableStyle>
    <tableStyle name="Complex_viscosity-style" pivot="0" count="2" xr9:uid="{00000000-0011-0000-FFFF-FFFF03000000}">
      <tableStyleElement type="firstRowStripe" dxfId="14"/>
      <tableStyleElement type="secondRowStripe" dxfId="13"/>
    </tableStyle>
    <tableStyle name="Complex_viscosity-style 2" pivot="0" count="2" xr9:uid="{00000000-0011-0000-FFFF-FFFF04000000}">
      <tableStyleElement type="firstRowStripe" dxfId="12"/>
      <tableStyleElement type="secondRowStripe" dxfId="11"/>
    </tableStyle>
    <tableStyle name="Rheological_experimental_detail-style" pivot="0" count="2" xr9:uid="{00000000-0011-0000-FFFF-FFFF05000000}">
      <tableStyleElement type="firstRowStripe" dxfId="10"/>
      <tableStyleElement type="secondRowStripe" dxfId="9"/>
    </tableStyle>
    <tableStyle name="Storage_modulus_G-style" pivot="0" count="2" xr9:uid="{00000000-0011-0000-FFFF-FFFF06000000}">
      <tableStyleElement type="firstRowStripe" dxfId="8"/>
      <tableStyleElement type="secondRowStripe" dxfId="7"/>
    </tableStyle>
    <tableStyle name="Storage_modulus_G-style 2" pivot="0" count="2" xr9:uid="{00000000-0011-0000-FFFF-FFFF07000000}">
      <tableStyleElement type="firstRowStripe" dxfId="6"/>
      <tableStyleElement type="secondRowStripe" dxfId="5"/>
    </tableStyle>
    <tableStyle name="Loss_modulus_G-style" pivot="0" count="2" xr9:uid="{00000000-0011-0000-FFFF-FFFF08000000}">
      <tableStyleElement type="firstRowStripe" dxfId="4"/>
      <tableStyleElement type="secondRowStripe" dxfId="3"/>
    </tableStyle>
    <tableStyle name="Tandelta-style" pivot="0" count="2" xr9:uid="{00000000-0011-0000-FFFF-FFFF09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7:Y12" headerRowCount="0">
  <tableColumns count="2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</tableColumns>
  <tableStyleInfo name="Loss_modulus_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63:B63" headerRowCount="0">
  <tableColumns count="2">
    <tableColumn id="1" xr3:uid="{00000000-0010-0000-0400-000001000000}" name="Column1"/>
    <tableColumn id="2" xr3:uid="{00000000-0010-0000-0400-000002000000}" name="Column2"/>
  </tableColumns>
  <tableStyleInfo name="Complex_viscosity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7:B9" headerRowCount="0">
  <tableColumns count="2">
    <tableColumn id="1" xr3:uid="{00000000-0010-0000-0900-000001000000}" name="Column1"/>
    <tableColumn id="2" xr3:uid="{00000000-0010-0000-0900-000002000000}" name="Column2"/>
  </tableColumns>
  <tableStyleInfo name="Tandel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polymer.2024.127352" TargetMode="External"/><Relationship Id="rId13" Type="http://schemas.openxmlformats.org/officeDocument/2006/relationships/hyperlink" Target="https://doi.org/10.3390/ma17122894" TargetMode="External"/><Relationship Id="rId3" Type="http://schemas.openxmlformats.org/officeDocument/2006/relationships/hyperlink" Target="https://doi.org/10.1016/j.ijbiomac.2020.10.156" TargetMode="External"/><Relationship Id="rId7" Type="http://schemas.openxmlformats.org/officeDocument/2006/relationships/hyperlink" Target="https://doi.org/10.1016/j.mtcomm.2019.02.008" TargetMode="External"/><Relationship Id="rId12" Type="http://schemas.openxmlformats.org/officeDocument/2006/relationships/hyperlink" Target="https://doi.org/10.1016/j.ijbiomac.2024.139338" TargetMode="External"/><Relationship Id="rId2" Type="http://schemas.openxmlformats.org/officeDocument/2006/relationships/hyperlink" Target="http://dx.doi.org/10.1016/j.indcrop.2016.12.024" TargetMode="External"/><Relationship Id="rId1" Type="http://schemas.openxmlformats.org/officeDocument/2006/relationships/hyperlink" Target="http://dx.doi.org/10.1016/j.eurpolymj.2016.01.024" TargetMode="External"/><Relationship Id="rId6" Type="http://schemas.openxmlformats.org/officeDocument/2006/relationships/hyperlink" Target="https://doi.org/10.1016/j.ijbiomac.2023.125324" TargetMode="External"/><Relationship Id="rId11" Type="http://schemas.openxmlformats.org/officeDocument/2006/relationships/hyperlink" Target="https://doi.org/10.1680/bbn.12.00011" TargetMode="External"/><Relationship Id="rId5" Type="http://schemas.openxmlformats.org/officeDocument/2006/relationships/hyperlink" Target="https://doi.org/10.1016/j.indcrop.2019.112071" TargetMode="External"/><Relationship Id="rId10" Type="http://schemas.openxmlformats.org/officeDocument/2006/relationships/hyperlink" Target="http://dx.doi.org/10.1016/j.carbpol.2012.09.033" TargetMode="External"/><Relationship Id="rId4" Type="http://schemas.openxmlformats.org/officeDocument/2006/relationships/hyperlink" Target="http://dx.doi.org/10.1016/j.ijbiomac.2014.07.038" TargetMode="External"/><Relationship Id="rId9" Type="http://schemas.openxmlformats.org/officeDocument/2006/relationships/hyperlink" Target="http://dx.doi.org/10.1021/ie2023367" TargetMode="External"/><Relationship Id="rId14" Type="http://schemas.openxmlformats.org/officeDocument/2006/relationships/hyperlink" Target="https://doi.org/10.1002/pen.760352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B5E9-3CE3-497E-B4EC-9953E93D49EC}">
  <dimension ref="A1:AU987"/>
  <sheetViews>
    <sheetView tabSelected="1" topLeftCell="A308" workbookViewId="0">
      <selection activeCell="W319" sqref="W319"/>
    </sheetView>
  </sheetViews>
  <sheetFormatPr defaultColWidth="12.5703125" defaultRowHeight="15" customHeight="1"/>
  <cols>
    <col min="1" max="11" width="8.5703125" customWidth="1"/>
    <col min="12" max="12" width="11" customWidth="1"/>
    <col min="13" max="47" width="8.5703125" customWidth="1"/>
  </cols>
  <sheetData>
    <row r="1" spans="1:46">
      <c r="A1" s="16" t="s">
        <v>218</v>
      </c>
      <c r="B1" s="15" t="s">
        <v>219</v>
      </c>
      <c r="C1" s="15" t="s">
        <v>562</v>
      </c>
    </row>
    <row r="2" spans="1:46">
      <c r="A2" s="170">
        <v>1</v>
      </c>
      <c r="B2" s="171">
        <v>1</v>
      </c>
      <c r="C2" s="494"/>
    </row>
    <row r="3" spans="1:46">
      <c r="A3" s="172">
        <v>1</v>
      </c>
      <c r="B3" s="173">
        <v>2</v>
      </c>
      <c r="C3" s="173"/>
    </row>
    <row r="4" spans="1:46">
      <c r="A4" s="174">
        <v>1</v>
      </c>
      <c r="B4" s="173">
        <v>3</v>
      </c>
      <c r="C4" s="173"/>
    </row>
    <row r="5" spans="1:46">
      <c r="A5" s="174">
        <v>1</v>
      </c>
      <c r="B5" s="173">
        <v>4</v>
      </c>
      <c r="C5" s="173"/>
    </row>
    <row r="6" spans="1:46">
      <c r="A6" s="174">
        <v>1</v>
      </c>
      <c r="B6" s="173">
        <v>5</v>
      </c>
      <c r="C6" s="173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46">
      <c r="A7" s="177">
        <v>2</v>
      </c>
      <c r="B7" s="178">
        <v>1</v>
      </c>
      <c r="C7" s="178" t="s">
        <v>563</v>
      </c>
      <c r="D7" s="206">
        <f>Loss_modulus_G!C7/1000000</f>
        <v>2.6282830311377898E-4</v>
      </c>
      <c r="E7" s="206">
        <f>Loss_modulus_G!D7/1000000</f>
        <v>3.7761495033489202E-4</v>
      </c>
      <c r="F7" s="206">
        <f>Loss_modulus_G!E7/1000000</f>
        <v>5.5496078407263696E-4</v>
      </c>
      <c r="G7" s="206">
        <f>Loss_modulus_G!F7/1000000</f>
        <v>7.7947695277198498E-4</v>
      </c>
      <c r="H7" s="206">
        <f>Loss_modulus_G!G7/1000000</f>
        <v>1.0948238818676099E-3</v>
      </c>
      <c r="I7" s="206">
        <f>Loss_modulus_G!H7/1000000</f>
        <v>1.4696472784789401E-3</v>
      </c>
      <c r="J7" s="206">
        <f>Loss_modulus_G!I7/1000000</f>
        <v>1.9727950393776199E-3</v>
      </c>
      <c r="K7" s="206">
        <f>Loss_modulus_G!J7/1000000</f>
        <v>2.4742445535888401E-3</v>
      </c>
      <c r="L7" s="206">
        <f>Loss_modulus_G!K7/1000000</f>
        <v>2.77091338680335E-3</v>
      </c>
      <c r="M7" s="206">
        <f>Loss_modulus_G!L7/1000000</f>
        <v>3.4752304314022999E-3</v>
      </c>
      <c r="N7" s="207">
        <f>Loss_modulus_G!M7/1000000</f>
        <v>3.4752304314022999E-3</v>
      </c>
      <c r="O7" s="2"/>
    </row>
    <row r="8" spans="1:46">
      <c r="A8" s="174">
        <v>2</v>
      </c>
      <c r="B8" s="179">
        <v>2</v>
      </c>
      <c r="C8" s="178" t="s">
        <v>563</v>
      </c>
      <c r="D8" s="2">
        <f>Loss_modulus_G!C8/1000000</f>
        <v>3.5015658260911697E-5</v>
      </c>
      <c r="E8" s="2">
        <f>Loss_modulus_G!D8/1000000</f>
        <v>4.9181670820452405E-5</v>
      </c>
      <c r="F8" s="2">
        <f>Loss_modulus_G!E8/1000000</f>
        <v>6.7531779958544203E-5</v>
      </c>
      <c r="G8" s="2">
        <f>Loss_modulus_G!F8/1000000</f>
        <v>9.0651928835906406E-5</v>
      </c>
      <c r="H8" s="2">
        <f>Loss_modulus_G!G8/1000000</f>
        <v>1.36278150061747E-4</v>
      </c>
      <c r="I8" s="2">
        <f>Loss_modulus_G!H8/1000000</f>
        <v>2.0956148891540098E-4</v>
      </c>
      <c r="J8" s="2">
        <f>Loss_modulus_G!I8/1000000</f>
        <v>3.0108458750973299E-4</v>
      </c>
      <c r="K8" s="2">
        <f>Loss_modulus_G!J8/1000000</f>
        <v>4.3257914087689001E-4</v>
      </c>
      <c r="L8" s="2">
        <f>Loss_modulus_G!K8/1000000</f>
        <v>6.8043537700758895E-4</v>
      </c>
      <c r="M8" s="2">
        <f>Loss_modulus_G!L8/1000000</f>
        <v>1E-3</v>
      </c>
      <c r="N8" s="208">
        <f>Loss_modulus_G!M8/1000000</f>
        <v>1.4696472784789401E-3</v>
      </c>
      <c r="O8" s="2"/>
    </row>
    <row r="9" spans="1:46">
      <c r="A9" s="174">
        <v>2</v>
      </c>
      <c r="B9" s="179">
        <v>3</v>
      </c>
      <c r="C9" s="178" t="s">
        <v>563</v>
      </c>
      <c r="D9" s="2">
        <f>Loss_modulus_G!C9/1000000</f>
        <v>1.1455561822784101E-3</v>
      </c>
      <c r="E9" s="2">
        <f>Loss_modulus_G!D9/1000000</f>
        <v>1.4696472784789401E-3</v>
      </c>
      <c r="F9" s="2">
        <f>Loss_modulus_G!E9/1000000</f>
        <v>2.2093386751530701E-3</v>
      </c>
      <c r="G9" s="2">
        <f>Loss_modulus_G!F9/1000000</f>
        <v>2.9657268396796098E-3</v>
      </c>
      <c r="H9" s="2">
        <f>Loss_modulus_G!G9/1000000</f>
        <v>4.3585723786471195E-3</v>
      </c>
      <c r="I9" s="2">
        <f>Loss_modulus_G!H9/1000000</f>
        <v>6.2621189300962193E-3</v>
      </c>
      <c r="J9" s="2">
        <f>Loss_modulus_G!I9/1000000</f>
        <v>8.5985699673633495E-3</v>
      </c>
      <c r="K9" s="2">
        <f>Loss_modulus_G!J9/1000000</f>
        <v>1.2353877161286501E-2</v>
      </c>
      <c r="L9" s="2">
        <f>Loss_modulus_G!K9/1000000</f>
        <v>1.6583344818690501E-2</v>
      </c>
      <c r="M9" s="2">
        <f>Loss_modulus_G!L9/1000000</f>
        <v>2.5501009735072501E-2</v>
      </c>
      <c r="N9" s="208">
        <f>Loss_modulus_G!M9/1000000</f>
        <v>4.0112403797335501E-2</v>
      </c>
      <c r="O9" s="2"/>
    </row>
    <row r="10" spans="1:46">
      <c r="A10" s="177">
        <v>3</v>
      </c>
      <c r="B10" s="178">
        <v>1</v>
      </c>
      <c r="C10" s="178" t="s">
        <v>563</v>
      </c>
      <c r="D10" s="206">
        <f>Loss_modulus_G!C10/1000000</f>
        <v>1.81071975453401E-5</v>
      </c>
      <c r="E10" s="206">
        <f>Loss_modulus_G!D10/1000000</f>
        <v>2.2579743714184999E-5</v>
      </c>
      <c r="F10" s="206">
        <f>Loss_modulus_G!E10/1000000</f>
        <v>2.8157025675653699E-5</v>
      </c>
      <c r="G10" s="206">
        <f>Loss_modulus_G!F10/1000000</f>
        <v>3.6197425750983601E-5</v>
      </c>
      <c r="H10" s="206">
        <f>Loss_modulus_G!G10/1000000</f>
        <v>5.2560702000401004E-5</v>
      </c>
      <c r="I10" s="206">
        <f>Loss_modulus_G!H10/1000000</f>
        <v>6.4063633990005107E-5</v>
      </c>
      <c r="J10" s="206">
        <f>Loss_modulus_G!I10/1000000</f>
        <v>7.5742361764966407E-5</v>
      </c>
      <c r="K10" s="206">
        <f>Loss_modulus_G!J10/1000000</f>
        <v>8.8197148756035697E-5</v>
      </c>
      <c r="L10" s="206">
        <f>Loss_modulus_G!K10/1000000</f>
        <v>1.01921184626301E-4</v>
      </c>
      <c r="M10" s="206">
        <f>Loss_modulus_G!L10/1000000</f>
        <v>1.13382350121784E-4</v>
      </c>
      <c r="N10" s="206">
        <f>Loss_modulus_G!M10/1000000</f>
        <v>1.28067230110281E-4</v>
      </c>
      <c r="O10" s="206">
        <f>Loss_modulus_G!N10/1000000</f>
        <v>1.3819612567338201E-4</v>
      </c>
      <c r="P10" s="206">
        <f>Loss_modulus_G!O10/1000000</f>
        <v>1.5373645394747601E-4</v>
      </c>
      <c r="Q10" s="206">
        <f>Loss_modulus_G!P10/1000000</f>
        <v>1.6716313057451299E-4</v>
      </c>
      <c r="R10" s="206">
        <f>Loss_modulus_G!Q10/1000000</f>
        <v>1.7631164267971599E-4</v>
      </c>
      <c r="S10" s="206">
        <f>Loss_modulus_G!R10/1000000</f>
        <v>1.80384138713225E-4</v>
      </c>
      <c r="T10" s="206">
        <f>Loss_modulus_G!S10/1000000</f>
        <v>1.87381742286038E-4</v>
      </c>
      <c r="U10" s="206">
        <f>Loss_modulus_G!T10/1000000</f>
        <v>1.9465080240770001E-4</v>
      </c>
      <c r="V10" s="206">
        <f>Loss_modulus_G!U10/1000000</f>
        <v>1.9914690152331301E-4</v>
      </c>
      <c r="W10" s="206">
        <f>Loss_modulus_G!V10/1000000</f>
        <v>2.0374685280397E-4</v>
      </c>
      <c r="X10" s="206">
        <f>Loss_modulus_G!W10/1000000</f>
        <v>1.9914690152331301E-4</v>
      </c>
      <c r="Y10" s="206">
        <f>Loss_modulus_G!X10/1000000</f>
        <v>2.0374685280397E-4</v>
      </c>
      <c r="Z10" s="207">
        <f>Loss_modulus_G!Y10/1000000</f>
        <v>2.0845305505626003E-4</v>
      </c>
      <c r="AA10" s="2"/>
    </row>
    <row r="11" spans="1:46">
      <c r="A11" s="174">
        <v>3</v>
      </c>
      <c r="B11" s="179">
        <v>2</v>
      </c>
      <c r="C11" s="178" t="s">
        <v>563</v>
      </c>
      <c r="D11" s="2">
        <f>Loss_modulus_G!C11/1000000</f>
        <v>6.5543393870584293E-5</v>
      </c>
      <c r="E11" s="2">
        <f>Loss_modulus_G!D11/1000000</f>
        <v>6.2142458327544702E-5</v>
      </c>
      <c r="F11" s="2">
        <f>Loss_modulus_G!E11/1000000</f>
        <v>6.5543393870584293E-5</v>
      </c>
      <c r="G11" s="2">
        <f>Loss_modulus_G!F11/1000000</f>
        <v>7.0727250746341499E-5</v>
      </c>
      <c r="H11" s="2">
        <f>Loss_modulus_G!G11/1000000</f>
        <v>8.2357371883085305E-5</v>
      </c>
      <c r="I11" s="2">
        <f>Loss_modulus_G!H11/1000000</f>
        <v>9.3734793388480599E-5</v>
      </c>
      <c r="J11" s="2">
        <f>Loss_modulus_G!I11/1000000</f>
        <v>1.0668397121819299E-4</v>
      </c>
      <c r="K11" s="2">
        <f>Loss_modulus_G!J11/1000000</f>
        <v>1.2422667923417901E-4</v>
      </c>
      <c r="L11" s="2">
        <f>Loss_modulus_G!K11/1000000</f>
        <v>1.3819612567338201E-4</v>
      </c>
      <c r="M11" s="2">
        <f>Loss_modulus_G!L11/1000000</f>
        <v>1.56094797893609E-4</v>
      </c>
      <c r="N11" s="2">
        <f>Loss_modulus_G!M11/1000000</f>
        <v>1.69727442075686E-4</v>
      </c>
      <c r="O11" s="2">
        <f>Loss_modulus_G!N11/1000000</f>
        <v>1.8315126277905098E-4</v>
      </c>
      <c r="P11" s="2">
        <f>Loss_modulus_G!O11/1000000</f>
        <v>2.0687236496790999E-4</v>
      </c>
      <c r="Q11" s="2">
        <f>Loss_modulus_G!P11/1000000</f>
        <v>2.1819408602348302E-4</v>
      </c>
      <c r="R11" s="2">
        <f>Loss_modulus_G!Q11/1000000</f>
        <v>2.3189386346913901E-4</v>
      </c>
      <c r="S11" s="2">
        <f>Loss_modulus_G!R11/1000000</f>
        <v>2.44584962336327E-4</v>
      </c>
      <c r="T11" s="2">
        <f>Loss_modulus_G!S11/1000000</f>
        <v>2.59941746801151E-4</v>
      </c>
      <c r="U11" s="2">
        <f>Loss_modulus_G!T11/1000000</f>
        <v>2.7002561176352901E-4</v>
      </c>
      <c r="V11" s="2">
        <f>Loss_modulus_G!U11/1000000</f>
        <v>2.7626273947749599E-4</v>
      </c>
      <c r="W11" s="2">
        <f>Loss_modulus_G!V11/1000000</f>
        <v>2.89172523407571E-4</v>
      </c>
      <c r="X11" s="2">
        <f>Loss_modulus_G!W11/1000000</f>
        <v>2.93608480218433E-4</v>
      </c>
      <c r="Y11" s="2">
        <f>Loss_modulus_G!X11/1000000</f>
        <v>3.1442760027141102E-4</v>
      </c>
      <c r="Z11" s="208">
        <f>Loss_modulus_G!Y11/1000000</f>
        <v>3.2169033763502998E-4</v>
      </c>
      <c r="AA11" s="2"/>
    </row>
    <row r="12" spans="1:46">
      <c r="A12" s="174">
        <v>3</v>
      </c>
      <c r="B12" s="179">
        <v>3</v>
      </c>
      <c r="C12" s="178" t="s">
        <v>563</v>
      </c>
      <c r="D12" s="2">
        <f>Loss_modulus_G!C12/1000000</f>
        <v>1.51413740824685E-4</v>
      </c>
      <c r="E12" s="2">
        <f>Loss_modulus_G!D12/1000000</f>
        <v>1.51413740824685E-4</v>
      </c>
      <c r="F12" s="2">
        <f>Loss_modulus_G!E12/1000000</f>
        <v>1.5257067737055199E-4</v>
      </c>
      <c r="G12" s="2">
        <f>Loss_modulus_G!F12/1000000</f>
        <v>1.5257067737055199E-4</v>
      </c>
      <c r="H12" s="2">
        <f>Loss_modulus_G!G12/1000000</f>
        <v>1.6844040655904401E-4</v>
      </c>
      <c r="I12" s="2">
        <f>Loss_modulus_G!H12/1000000</f>
        <v>1.8455070240835201E-4</v>
      </c>
      <c r="J12" s="2">
        <f>Loss_modulus_G!I12/1000000</f>
        <v>1.91709938601457E-4</v>
      </c>
      <c r="K12" s="2">
        <f>Loss_modulus_G!J12/1000000</f>
        <v>2.0687236496790999E-4</v>
      </c>
      <c r="L12" s="2">
        <f>Loss_modulus_G!K12/1000000</f>
        <v>2.2154122125811799E-4</v>
      </c>
      <c r="M12" s="2">
        <f>Loss_modulus_G!L12/1000000</f>
        <v>2.3725021330979498E-4</v>
      </c>
      <c r="N12" s="2">
        <f>Loss_modulus_G!M12/1000000</f>
        <v>2.5214647003477702E-4</v>
      </c>
      <c r="O12" s="2">
        <f>Loss_modulus_G!N12/1000000</f>
        <v>2.7208884920068604E-4</v>
      </c>
      <c r="P12" s="2">
        <f>Loss_modulus_G!O12/1000000</f>
        <v>2.86979741241581E-4</v>
      </c>
      <c r="Q12" s="2">
        <f>Loss_modulus_G!P12/1000000</f>
        <v>3.0732883225297297E-4</v>
      </c>
      <c r="R12" s="2">
        <f>Loss_modulus_G!Q12/1000000</f>
        <v>3.2169033763502998E-4</v>
      </c>
      <c r="S12" s="2">
        <f>Loss_modulus_G!R12/1000000</f>
        <v>3.3416960256393299E-4</v>
      </c>
      <c r="T12" s="2">
        <f>Loss_modulus_G!S12/1000000</f>
        <v>3.4188834626274199E-4</v>
      </c>
      <c r="U12" s="2">
        <f>Loss_modulus_G!T12/1000000</f>
        <v>3.5515114824953201E-4</v>
      </c>
      <c r="V12" s="2">
        <f>Loss_modulus_G!U12/1000000</f>
        <v>3.6335452960631397E-4</v>
      </c>
      <c r="W12" s="2">
        <f>Loss_modulus_G!V12/1000000</f>
        <v>3.7174739497860903E-4</v>
      </c>
      <c r="X12" s="2">
        <f>Loss_modulus_G!W12/1000000</f>
        <v>3.7174739497860903E-4</v>
      </c>
      <c r="Y12" s="2">
        <f>Loss_modulus_G!X12/1000000</f>
        <v>3.8033412112163499E-4</v>
      </c>
      <c r="Z12" s="208">
        <f>Loss_modulus_G!Y12/1000000</f>
        <v>3.8911918588613E-4</v>
      </c>
      <c r="AA12" s="2"/>
    </row>
    <row r="13" spans="1:46">
      <c r="A13" s="174">
        <v>3</v>
      </c>
      <c r="B13" s="179">
        <v>4</v>
      </c>
      <c r="C13" s="178" t="s">
        <v>563</v>
      </c>
      <c r="D13" s="2">
        <f>Loss_modulus_G!C13/1000000</f>
        <v>4.2796175387416397E-5</v>
      </c>
      <c r="E13" s="2">
        <f>Loss_modulus_G!D13/1000000</f>
        <v>6.0278895942636E-5</v>
      </c>
      <c r="F13" s="2">
        <f>Loss_modulus_G!E13/1000000</f>
        <v>9.0234351365101298E-5</v>
      </c>
      <c r="G13" s="2">
        <f>Loss_modulus_G!F13/1000000</f>
        <v>1.0832052189444199E-4</v>
      </c>
      <c r="H13" s="2">
        <f>Loss_modulus_G!G13/1000000</f>
        <v>1.3003180369756899E-4</v>
      </c>
      <c r="I13" s="2">
        <f>Loss_modulus_G!H13/1000000</f>
        <v>1.57287501906596E-4</v>
      </c>
      <c r="J13" s="2">
        <f>Loss_modulus_G!I13/1000000</f>
        <v>1.6844040655904401E-4</v>
      </c>
      <c r="K13" s="2">
        <f>Loss_modulus_G!J13/1000000</f>
        <v>1.88813506566468E-4</v>
      </c>
      <c r="L13" s="2">
        <f>Loss_modulus_G!K13/1000000</f>
        <v>2.05303661181008E-4</v>
      </c>
      <c r="M13" s="2">
        <f>Loss_modulus_G!L13/1000000</f>
        <v>2.2323399454206002E-4</v>
      </c>
      <c r="N13" s="2">
        <f>Loss_modulus_G!M13/1000000</f>
        <v>2.3545115567287801E-4</v>
      </c>
      <c r="O13" s="2">
        <f>Loss_modulus_G!N13/1000000</f>
        <v>2.5214647003477702E-4</v>
      </c>
      <c r="P13" s="2">
        <f>Loss_modulus_G!O13/1000000</f>
        <v>2.7002561176352901E-4</v>
      </c>
      <c r="Q13" s="2">
        <f>Loss_modulus_G!P13/1000000</f>
        <v>2.7837363415470401E-4</v>
      </c>
      <c r="R13" s="2">
        <f>Loss_modulus_G!Q13/1000000</f>
        <v>2.8480358684358E-4</v>
      </c>
      <c r="S13" s="2">
        <f>Loss_modulus_G!R13/1000000</f>
        <v>2.95851911885145E-4</v>
      </c>
      <c r="T13" s="2">
        <f>Loss_modulus_G!S13/1000000</f>
        <v>3.0268558276102099E-4</v>
      </c>
      <c r="U13" s="2">
        <f>Loss_modulus_G!T13/1000000</f>
        <v>3.0268558276102099E-4</v>
      </c>
      <c r="V13" s="2">
        <f>Loss_modulus_G!U13/1000000</f>
        <v>3.0732883225297297E-4</v>
      </c>
      <c r="W13" s="2">
        <f>Loss_modulus_G!V13/1000000</f>
        <v>3.1683010865540698E-4</v>
      </c>
      <c r="X13" s="2">
        <f>Loss_modulus_G!W13/1000000</f>
        <v>3.1683010865540698E-4</v>
      </c>
      <c r="Y13" s="30">
        <f>Loss_modulus_G!X13/1000000</f>
        <v>3.1442760027141102E-4</v>
      </c>
      <c r="Z13" s="209">
        <f>Loss_modulus_G!Y13/1000000</f>
        <v>3.3163560958187797E-4</v>
      </c>
      <c r="AA13" s="2"/>
    </row>
    <row r="14" spans="1:46">
      <c r="A14" s="177">
        <v>4</v>
      </c>
      <c r="B14" s="178">
        <v>1</v>
      </c>
      <c r="C14" s="178" t="s">
        <v>563</v>
      </c>
      <c r="D14" s="206">
        <f>Loss_modulus_G!C14/1000000</f>
        <v>6.0388241190619601E-6</v>
      </c>
      <c r="E14" s="206">
        <f>Loss_modulus_G!D14/1000000</f>
        <v>9.7830931901782907E-6</v>
      </c>
      <c r="F14" s="206">
        <f>Loss_modulus_G!E14/1000000</f>
        <v>1.7301957388458898E-5</v>
      </c>
      <c r="G14" s="206">
        <f>Loss_modulus_G!F14/1000000</f>
        <v>2.9935772947204899E-5</v>
      </c>
      <c r="H14" s="206">
        <f>Loss_modulus_G!G14/1000000</f>
        <v>4.7445002755086595E-5</v>
      </c>
      <c r="I14" s="206">
        <f>Loss_modulus_G!H14/1000000</f>
        <v>7.0407520066064397E-5</v>
      </c>
      <c r="J14" s="206">
        <f>Loss_modulus_G!I14/1000000</f>
        <v>9.7830931901782904E-5</v>
      </c>
      <c r="K14" s="206">
        <f>Loss_modulus_G!J14/1000000</f>
        <v>1.5505157798326202E-4</v>
      </c>
      <c r="L14" s="206">
        <f>Loss_modulus_G!K14/1000000</f>
        <v>2.30093718077846E-4</v>
      </c>
      <c r="M14" s="206">
        <f>Loss_modulus_G!L14/1000000</f>
        <v>3.1971418455273E-4</v>
      </c>
      <c r="N14" s="206">
        <f>Loss_modulus_G!M14/1000000</f>
        <v>4.7445002755086601E-4</v>
      </c>
      <c r="O14" s="206">
        <f>Loss_modulus_G!N14/1000000</f>
        <v>7.3564225445964205E-4</v>
      </c>
      <c r="P14" s="206">
        <f>Loss_modulus_G!O14/1000000</f>
        <v>1.1158839925077501E-3</v>
      </c>
      <c r="Q14" s="206">
        <f>Loss_modulus_G!P14/1000000</f>
        <v>1.51688403669445E-3</v>
      </c>
      <c r="R14" s="206">
        <f>Loss_modulus_G!Q14/1000000</f>
        <v>2.1544346900318799E-3</v>
      </c>
      <c r="S14" s="206">
        <f>Loss_modulus_G!R14/1000000</f>
        <v>2.8651202696637801E-3</v>
      </c>
      <c r="T14" s="206">
        <f>Loss_modulus_G!S14/1000000</f>
        <v>4.0693384271671502E-3</v>
      </c>
      <c r="U14" s="206">
        <f>Loss_modulus_G!T14/1000000</f>
        <v>4.9572188818532703E-3</v>
      </c>
      <c r="V14" s="206">
        <f>Loss_modulus_G!U14/1000000</f>
        <v>6.5924617558714002E-3</v>
      </c>
      <c r="W14" s="206">
        <f>Loss_modulus_G!V14/1000000</f>
        <v>7.6862461003977395E-3</v>
      </c>
      <c r="X14" s="207">
        <f>Loss_modulus_G!W14/1000000</f>
        <v>8.7671238729686799E-3</v>
      </c>
      <c r="Y14" s="2"/>
      <c r="Z14" s="2"/>
    </row>
    <row r="15" spans="1:46">
      <c r="A15" s="174">
        <v>4</v>
      </c>
      <c r="B15" s="179">
        <v>2</v>
      </c>
      <c r="C15" s="178" t="s">
        <v>563</v>
      </c>
      <c r="D15" s="2">
        <f>Loss_modulus_G!C15/1000000</f>
        <v>2.3519526350709501E-5</v>
      </c>
      <c r="E15" s="2">
        <f>Loss_modulus_G!D15/1000000</f>
        <v>3.4145488738336002E-5</v>
      </c>
      <c r="F15" s="2">
        <f>Loss_modulus_G!E15/1000000</f>
        <v>5.0671283463087695E-5</v>
      </c>
      <c r="G15" s="2">
        <f>Loss_modulus_G!F15/1000000</f>
        <v>7.6862461003977407E-5</v>
      </c>
      <c r="H15" s="2">
        <f>Loss_modulus_G!G15/1000000</f>
        <v>1.0916797088131499E-4</v>
      </c>
      <c r="I15" s="2">
        <f>Loss_modulus_G!H15/1000000</f>
        <v>1.6200328072641301E-4</v>
      </c>
      <c r="J15" s="2">
        <f>Loss_modulus_G!I15/1000000</f>
        <v>2.25102828643017E-4</v>
      </c>
      <c r="K15" s="2">
        <f>Loss_modulus_G!J15/1000000</f>
        <v>3.34048498351324E-4</v>
      </c>
      <c r="L15" s="2">
        <f>Loss_modulus_G!K15/1000000</f>
        <v>4.7445002755086601E-4</v>
      </c>
      <c r="M15" s="2">
        <f>Loss_modulus_G!L15/1000000</f>
        <v>6.3095734448019298E-4</v>
      </c>
      <c r="N15" s="2">
        <f>Loss_modulus_G!M15/1000000</f>
        <v>9.1601959066105198E-4</v>
      </c>
      <c r="O15" s="2">
        <f>Loss_modulus_G!N15/1000000</f>
        <v>1.35935639087852E-3</v>
      </c>
      <c r="P15" s="2">
        <f>Loss_modulus_G!O15/1000000</f>
        <v>1.8077686769634299E-3</v>
      </c>
      <c r="Q15" s="2">
        <f>Loss_modulus_G!P15/1000000</f>
        <v>2.5118864315095799E-3</v>
      </c>
      <c r="R15" s="2">
        <f>Loss_modulus_G!Q15/1000000</f>
        <v>3.6467396740964401E-3</v>
      </c>
      <c r="S15" s="2">
        <f>Loss_modulus_G!R15/1000000</f>
        <v>4.9572188818532703E-3</v>
      </c>
      <c r="T15" s="2">
        <f>Loss_modulus_G!S15/1000000</f>
        <v>6.3095734448019398E-3</v>
      </c>
      <c r="U15" s="2">
        <f>Loss_modulus_G!T15/1000000</f>
        <v>8.0308572213915203E-3</v>
      </c>
      <c r="V15" s="2">
        <f>Loss_modulus_G!U15/1000000</f>
        <v>1.0221715980421701E-2</v>
      </c>
      <c r="W15" s="2">
        <f>Loss_modulus_G!V15/1000000</f>
        <v>1.30102521691083E-2</v>
      </c>
      <c r="X15" s="208">
        <f>Loss_modulus_G!W15/1000000</f>
        <v>1.5505157798326199E-2</v>
      </c>
      <c r="Y15" s="2"/>
    </row>
    <row r="16" spans="1:46">
      <c r="A16" s="174">
        <v>4</v>
      </c>
      <c r="B16" s="179">
        <v>3</v>
      </c>
      <c r="C16" s="178" t="s">
        <v>563</v>
      </c>
      <c r="D16" s="2">
        <f>Loss_modulus_G!C16/1000000</f>
        <v>6.0388241190619606E-5</v>
      </c>
      <c r="E16" s="2">
        <f>Loss_modulus_G!D16/1000000</f>
        <v>7.5195261882835595E-5</v>
      </c>
      <c r="F16" s="2">
        <f>Loss_modulus_G!E16/1000000</f>
        <v>1.0448347758440801E-4</v>
      </c>
      <c r="G16" s="2">
        <f>Loss_modulus_G!F16/1000000</f>
        <v>1.3298710250628999E-4</v>
      </c>
      <c r="H16" s="2">
        <f>Loss_modulus_G!G16/1000000</f>
        <v>1.8888195803730401E-4</v>
      </c>
      <c r="I16" s="2">
        <f>Loss_modulus_G!H16/1000000</f>
        <v>2.7421754481220804E-4</v>
      </c>
      <c r="J16" s="2">
        <f>Loss_modulus_G!I16/1000000</f>
        <v>3.72759372031494E-4</v>
      </c>
      <c r="K16" s="2">
        <f>Loss_modulus_G!J16/1000000</f>
        <v>5.1794746792312109E-4</v>
      </c>
      <c r="L16" s="2">
        <f>Loss_modulus_G!K16/1000000</f>
        <v>7.0407520066064497E-4</v>
      </c>
      <c r="M16" s="2">
        <f>Loss_modulus_G!L16/1000000</f>
        <v>9.5708912367712903E-4</v>
      </c>
      <c r="N16" s="2">
        <f>Loss_modulus_G!M16/1000000</f>
        <v>1.3298710250628999E-3</v>
      </c>
      <c r="O16" s="2">
        <f>Loss_modulus_G!N16/1000000</f>
        <v>1.84784979742229E-3</v>
      </c>
      <c r="P16" s="2">
        <f>Loss_modulus_G!O16/1000000</f>
        <v>2.5118864315095799E-3</v>
      </c>
      <c r="Q16" s="2">
        <f>Loss_modulus_G!P16/1000000</f>
        <v>3.2680275894101302E-3</v>
      </c>
      <c r="R16" s="2">
        <f>Loss_modulus_G!Q16/1000000</f>
        <v>4.6415888336127798E-3</v>
      </c>
      <c r="S16" s="2">
        <f>Loss_modulus_G!R16/1000000</f>
        <v>6.0388241190619599E-3</v>
      </c>
      <c r="T16" s="2">
        <f>Loss_modulus_G!S16/1000000</f>
        <v>7.8566624593889509E-3</v>
      </c>
      <c r="U16" s="2">
        <f>Loss_modulus_G!T16/1000000</f>
        <v>1.0221715980421701E-2</v>
      </c>
      <c r="V16" s="2">
        <f>Loss_modulus_G!U16/1000000</f>
        <v>1.30102521691083E-2</v>
      </c>
      <c r="W16" s="2">
        <f>Loss_modulus_G!V16/1000000</f>
        <v>1.58489319246111E-2</v>
      </c>
      <c r="X16" s="208">
        <f>Loss_modulus_G!W16/1000000</f>
        <v>1.80776867696343E-2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7">
      <c r="A17" s="177">
        <v>5</v>
      </c>
      <c r="B17" s="178">
        <v>1</v>
      </c>
      <c r="C17" s="178" t="s">
        <v>563</v>
      </c>
      <c r="D17" s="206">
        <f>Loss_modulus_G!C17/1000000</f>
        <v>3.4087379834759098E-5</v>
      </c>
      <c r="E17" s="206">
        <f>Loss_modulus_G!D17/1000000</f>
        <v>3.2492952949915694E-5</v>
      </c>
      <c r="F17" s="206">
        <f>Loss_modulus_G!E17/1000000</f>
        <v>3.5760045133175798E-5</v>
      </c>
      <c r="G17" s="206">
        <f>Loss_modulus_G!F17/1000000</f>
        <v>3.8732196104047702E-5</v>
      </c>
      <c r="H17" s="206">
        <f>Loss_modulus_G!G17/1000000</f>
        <v>4.3312755253265203E-5</v>
      </c>
      <c r="I17" s="206">
        <f>Loss_modulus_G!H17/1000000</f>
        <v>5.0006807121025405E-5</v>
      </c>
      <c r="J17" s="206">
        <f>Loss_modulus_G!I17/1000000</f>
        <v>5.7735434834774601E-5</v>
      </c>
      <c r="K17" s="206">
        <f>Loss_modulus_G!J17/1000000</f>
        <v>6.6658533657090507E-5</v>
      </c>
      <c r="L17" s="206">
        <f>Loss_modulus_G!K17/1000000</f>
        <v>7.4541726115276498E-5</v>
      </c>
      <c r="M17" s="206">
        <f>Loss_modulus_G!L17/1000000</f>
        <v>8.74475351740921E-5</v>
      </c>
      <c r="N17" s="206">
        <f>Loss_modulus_G!M17/1000000</f>
        <v>1.04239066433859E-4</v>
      </c>
      <c r="O17" s="206">
        <f>Loss_modulus_G!N17/1000000</f>
        <v>1.1844289535865499E-4</v>
      </c>
      <c r="P17" s="206">
        <f>Loss_modulus_G!O17/1000000</f>
        <v>1.38949549437313E-4</v>
      </c>
      <c r="Q17" s="206">
        <f>Loss_modulus_G!P17/1000000</f>
        <v>1.6042441256935002E-4</v>
      </c>
      <c r="R17" s="206">
        <f>Loss_modulus_G!Q17/1000000</f>
        <v>1.8228417196139798E-4</v>
      </c>
      <c r="S17" s="206">
        <f>Loss_modulus_G!R17/1000000</f>
        <v>2.1384400885248399E-4</v>
      </c>
      <c r="T17" s="206">
        <f>Loss_modulus_G!S17/1000000</f>
        <v>2.4689392402176599E-4</v>
      </c>
      <c r="U17" s="206">
        <f>Loss_modulus_G!T17/1000000</f>
        <v>2.8963999400516004E-4</v>
      </c>
      <c r="V17" s="206">
        <f>Loss_modulus_G!U17/1000000</f>
        <v>3.3978692047485797E-4</v>
      </c>
      <c r="W17" s="206">
        <f>Loss_modulus_G!V17/1000000</f>
        <v>3.98616053429867E-4</v>
      </c>
      <c r="X17" s="206">
        <f>Loss_modulus_G!W17/1000000</f>
        <v>4.6022276769633498E-4</v>
      </c>
      <c r="Y17" s="206">
        <f>Loss_modulus_G!X17/1000000</f>
        <v>5.3135089287953202E-4</v>
      </c>
      <c r="Z17" s="206">
        <f>Loss_modulus_G!Y17/1000000</f>
        <v>6.3338001365382895E-4</v>
      </c>
      <c r="AA17" s="206">
        <f>Loss_modulus_G!Z17/1000000</f>
        <v>7.5500059766922902E-4</v>
      </c>
      <c r="AB17" s="206">
        <f>Loss_modulus_G!AA17/1000000</f>
        <v>8.44288715648088E-4</v>
      </c>
      <c r="AC17" s="206">
        <f>Loss_modulus_G!AB17/1000000</f>
        <v>9.9046495173116711E-4</v>
      </c>
      <c r="AD17" s="206">
        <f>Loss_modulus_G!AC17/1000000</f>
        <v>1.1435428088501002E-3</v>
      </c>
      <c r="AE17" s="206">
        <f>Loss_modulus_G!AD17/1000000</f>
        <v>1.3415305119893902E-3</v>
      </c>
      <c r="AF17" s="206">
        <f>Loss_modulus_G!AE17/1000000</f>
        <v>1.4300124081209002E-3</v>
      </c>
      <c r="AG17" s="206">
        <f>Loss_modulus_G!AF17/1000000</f>
        <v>1.84627678950798E-3</v>
      </c>
      <c r="AH17" s="206">
        <f>Loss_modulus_G!AG17/1000000</f>
        <v>2.2722147559973201E-3</v>
      </c>
      <c r="AI17" s="206">
        <f>Loss_modulus_G!AH17/1000000</f>
        <v>2.58183139761469E-3</v>
      </c>
      <c r="AJ17" s="206">
        <f>Loss_modulus_G!AI17/1000000</f>
        <v>2.9336370376589998E-3</v>
      </c>
      <c r="AK17" s="206">
        <f>Loss_modulus_G!AJ17/1000000</f>
        <v>3.38703508117855E-3</v>
      </c>
      <c r="AL17" s="206">
        <f>Loss_modulus_G!AK17/1000000</f>
        <v>3.9105064784321995E-3</v>
      </c>
      <c r="AM17" s="206">
        <f>Loss_modulus_G!AL17/1000000</f>
        <v>4.5148811722786307E-3</v>
      </c>
      <c r="AN17" s="206">
        <f>Loss_modulus_G!AM17/1000000</f>
        <v>5.0488214685054603E-3</v>
      </c>
      <c r="AO17" s="206">
        <f>Loss_modulus_G!AN17/1000000</f>
        <v>5.5564689322449004E-3</v>
      </c>
      <c r="AP17" s="206">
        <f>Loss_modulus_G!AO17/1000000</f>
        <v>6.1151591886536199E-3</v>
      </c>
      <c r="AQ17" s="206">
        <f>Loss_modulus_G!AP17/1000000</f>
        <v>6.5184902164031897E-3</v>
      </c>
      <c r="AR17" s="206">
        <f>Loss_modulus_G!AQ17/1000000</f>
        <v>6.5184902164031897E-3</v>
      </c>
      <c r="AS17" s="206">
        <f>Loss_modulus_G!AR17/1000000</f>
        <v>5.1300881381575398E-3</v>
      </c>
      <c r="AT17" s="207">
        <f>Loss_modulus_G!AS17/1000000</f>
        <v>1.7265159562230299E-2</v>
      </c>
      <c r="AU17" s="2"/>
    </row>
    <row r="18" spans="1:47">
      <c r="A18" s="174">
        <v>5</v>
      </c>
      <c r="B18" s="179">
        <v>2</v>
      </c>
      <c r="C18" s="178" t="s">
        <v>563</v>
      </c>
      <c r="D18" s="2">
        <f>Loss_modulus_G!C18/1000000</f>
        <v>3.5646024043929202E-4</v>
      </c>
      <c r="E18" s="2">
        <f>Loss_modulus_G!D18/1000000</f>
        <v>3.98616053429867E-4</v>
      </c>
      <c r="F18" s="2">
        <f>Loss_modulus_G!E18/1000000</f>
        <v>4.3174652308656099E-4</v>
      </c>
      <c r="G18" s="2">
        <f>Loss_modulus_G!F18/1000000</f>
        <v>4.5293229419539105E-4</v>
      </c>
      <c r="H18" s="2">
        <f>Loss_modulus_G!G18/1000000</f>
        <v>4.7515764958220598E-4</v>
      </c>
      <c r="I18" s="2">
        <f>Loss_modulus_G!H18/1000000</f>
        <v>4.8280586609810702E-4</v>
      </c>
      <c r="J18" s="2">
        <f>Loss_modulus_G!I18/1000000</f>
        <v>4.6022276769633498E-4</v>
      </c>
      <c r="K18" s="2">
        <f>Loss_modulus_G!J18/1000000</f>
        <v>4.8280586609810702E-4</v>
      </c>
      <c r="L18" s="2">
        <f>Loss_modulus_G!K18/1000000</f>
        <v>4.8280586609810702E-4</v>
      </c>
      <c r="M18" s="2">
        <f>Loss_modulus_G!L18/1000000</f>
        <v>5.3135089287953202E-4</v>
      </c>
      <c r="N18" s="2">
        <f>Loss_modulus_G!M18/1000000</f>
        <v>5.3135089287953202E-4</v>
      </c>
      <c r="O18" s="2">
        <f>Loss_modulus_G!N18/1000000</f>
        <v>5.5742424331334803E-4</v>
      </c>
      <c r="P18" s="2">
        <f>Loss_modulus_G!O18/1000000</f>
        <v>5.4859398336119098E-4</v>
      </c>
      <c r="Q18" s="2">
        <f>Loss_modulus_G!P18/1000000</f>
        <v>6.4357500364405301E-4</v>
      </c>
      <c r="R18" s="2">
        <f>Loss_modulus_G!Q18/1000000</f>
        <v>6.2334652437496401E-4</v>
      </c>
      <c r="S18" s="2">
        <f>Loss_modulus_G!R18/1000000</f>
        <v>6.2334652437496401E-4</v>
      </c>
      <c r="T18" s="2">
        <f>Loss_modulus_G!S18/1000000</f>
        <v>6.5393409388793205E-4</v>
      </c>
      <c r="U18" s="2">
        <f>Loss_modulus_G!T18/1000000</f>
        <v>6.5393409388793205E-4</v>
      </c>
      <c r="V18" s="2">
        <f>Loss_modulus_G!U18/1000000</f>
        <v>7.1968567300115206E-4</v>
      </c>
      <c r="W18" s="2">
        <f>Loss_modulus_G!V18/1000000</f>
        <v>7.7950143843900108E-4</v>
      </c>
      <c r="X18" s="2">
        <f>Loss_modulus_G!W18/1000000</f>
        <v>8.5787852716619401E-4</v>
      </c>
      <c r="Y18" s="2">
        <f>Loss_modulus_G!X18/1000000</f>
        <v>8.17751518452873E-4</v>
      </c>
      <c r="Z18" s="2">
        <f>Loss_modulus_G!Y18/1000000</f>
        <v>8.44288715648088E-4</v>
      </c>
      <c r="AA18" s="2">
        <f>Loss_modulus_G!Z18/1000000</f>
        <v>9.4413625309869103E-4</v>
      </c>
      <c r="AB18" s="2">
        <f>Loss_modulus_G!AA18/1000000</f>
        <v>1.0226069449233799E-3</v>
      </c>
      <c r="AC18" s="2">
        <f>Loss_modulus_G!AB18/1000000</f>
        <v>1.1075996291567301E-3</v>
      </c>
      <c r="AD18" s="2">
        <f>Loss_modulus_G!AC18/1000000</f>
        <v>1.21896624136269E-3</v>
      </c>
      <c r="AE18" s="2">
        <f>Loss_modulus_G!AD18/1000000</f>
        <v>1.3202790804330499E-3</v>
      </c>
      <c r="AF18" s="2">
        <f>Loss_modulus_G!AE18/1000000</f>
        <v>1.4300124081209002E-3</v>
      </c>
      <c r="AG18" s="2">
        <f>Loss_modulus_G!AF18/1000000</f>
        <v>1.59912898498415E-3</v>
      </c>
      <c r="AH18" s="2">
        <f>Loss_modulus_G!AG18/1000000</f>
        <v>1.7882456796138799E-3</v>
      </c>
      <c r="AI18" s="2">
        <f>Loss_modulus_G!AH18/1000000</f>
        <v>1.9680496971379502E-3</v>
      </c>
      <c r="AJ18" s="2">
        <f>Loss_modulus_G!AI18/1000000</f>
        <v>2.1316216612193299E-3</v>
      </c>
      <c r="AK18" s="2">
        <f>Loss_modulus_G!AJ18/1000000</f>
        <v>2.3459513491911298E-3</v>
      </c>
      <c r="AL18" s="2">
        <f>Loss_modulus_G!AK18/1000000</f>
        <v>2.5409321316300203E-3</v>
      </c>
      <c r="AM18" s="2">
        <f>Loss_modulus_G!AL18/1000000</f>
        <v>2.79641705225999E-3</v>
      </c>
      <c r="AN18" s="2">
        <f>Loss_modulus_G!AM18/1000000</f>
        <v>2.8871647538310998E-3</v>
      </c>
      <c r="AO18" s="2">
        <f>Loss_modulus_G!AN18/1000000</f>
        <v>3.1271278046105097E-3</v>
      </c>
      <c r="AP18" s="2">
        <f>Loss_modulus_G!AO18/1000000</f>
        <v>3.1774625735942101E-3</v>
      </c>
      <c r="AQ18" s="2">
        <f>Loss_modulus_G!AP18/1000000</f>
        <v>3.1774625735942101E-3</v>
      </c>
      <c r="AR18" s="2">
        <f>Loss_modulus_G!AQ18/1000000</f>
        <v>2.9808573470927399E-3</v>
      </c>
      <c r="AS18" s="2">
        <f>Loss_modulus_G!AR18/1000000</f>
        <v>3.61043013896385E-3</v>
      </c>
      <c r="AT18" s="208">
        <f>Loss_modulus_G!AS18/1000000</f>
        <v>4.7364260695383596E-3</v>
      </c>
      <c r="AU18" s="2"/>
    </row>
    <row r="19" spans="1:47">
      <c r="A19" s="174">
        <v>5</v>
      </c>
      <c r="B19" s="179">
        <v>3</v>
      </c>
      <c r="C19" s="178" t="s">
        <v>563</v>
      </c>
      <c r="D19" s="2">
        <f>Loss_modulus_G!C19/1000000</f>
        <v>1.8819955200992199E-4</v>
      </c>
      <c r="E19" s="2">
        <f>Loss_modulus_G!D19/1000000</f>
        <v>2.2078355039276701E-4</v>
      </c>
      <c r="F19" s="2">
        <f>Loss_modulus_G!E19/1000000</f>
        <v>2.5900899127255002E-4</v>
      </c>
      <c r="G19" s="2">
        <f>Loss_modulus_G!F19/1000000</f>
        <v>2.99039222821119E-4</v>
      </c>
      <c r="H19" s="2">
        <f>Loss_modulus_G!G19/1000000</f>
        <v>3.5081348821520904E-4</v>
      </c>
      <c r="I19" s="2">
        <f>Loss_modulus_G!H19/1000000</f>
        <v>3.8608698296026299E-4</v>
      </c>
      <c r="J19" s="2">
        <f>Loss_modulus_G!I19/1000000</f>
        <v>4.8280586609810702E-4</v>
      </c>
      <c r="K19" s="2">
        <f>Loss_modulus_G!J19/1000000</f>
        <v>5.3990360518087698E-4</v>
      </c>
      <c r="L19" s="2">
        <f>Loss_modulus_G!K19/1000000</f>
        <v>6.0375385502891904E-4</v>
      </c>
      <c r="M19" s="2">
        <f>Loss_modulus_G!L19/1000000</f>
        <v>6.6445992577042793E-4</v>
      </c>
      <c r="N19" s="2">
        <f>Loss_modulus_G!M19/1000000</f>
        <v>7.3126985323132305E-4</v>
      </c>
      <c r="O19" s="2">
        <f>Loss_modulus_G!N19/1000000</f>
        <v>8.3091418283349192E-4</v>
      </c>
      <c r="P19" s="2">
        <f>Loss_modulus_G!O19/1000000</f>
        <v>9.2918001708074908E-4</v>
      </c>
      <c r="Q19" s="2">
        <f>Loss_modulus_G!P19/1000000</f>
        <v>1.0557919914054301E-3</v>
      </c>
      <c r="R19" s="2">
        <f>Loss_modulus_G!Q19/1000000</f>
        <v>1.1806523957292999E-3</v>
      </c>
      <c r="S19" s="2">
        <f>Loss_modulus_G!R19/1000000</f>
        <v>1.4073593185755602E-3</v>
      </c>
      <c r="T19" s="2">
        <f>Loss_modulus_G!S19/1000000</f>
        <v>1.5488660826989602E-3</v>
      </c>
      <c r="U19" s="2">
        <f>Loss_modulus_G!T19/1000000</f>
        <v>1.7599177509334699E-3</v>
      </c>
      <c r="V19" s="2">
        <f>Loss_modulus_G!U19/1000000</f>
        <v>1.99972775222345E-3</v>
      </c>
      <c r="W19" s="2">
        <f>Loss_modulus_G!V19/1000000</f>
        <v>2.23622018417296E-3</v>
      </c>
      <c r="X19" s="2">
        <f>Loss_modulus_G!W19/1000000</f>
        <v>2.5006807584394401E-3</v>
      </c>
      <c r="Y19" s="2">
        <f>Loss_modulus_G!X19/1000000</f>
        <v>2.7521184954564302E-3</v>
      </c>
      <c r="Z19" s="2">
        <f>Loss_modulus_G!Y19/1000000</f>
        <v>3.2286075393869003E-3</v>
      </c>
      <c r="AA19" s="2">
        <f>Loss_modulus_G!Z19/1000000</f>
        <v>3.5532366511516699E-3</v>
      </c>
      <c r="AB19" s="2">
        <f>Loss_modulus_G!AA19/1000000</f>
        <v>3.9734506407753303E-3</v>
      </c>
      <c r="AC19" s="2">
        <f>Loss_modulus_G!AB19/1000000</f>
        <v>4.4433601093134701E-3</v>
      </c>
      <c r="AD19" s="2">
        <f>Loss_modulus_G!AC19/1000000</f>
        <v>4.8901298166689E-3</v>
      </c>
      <c r="AE19" s="2">
        <f>Loss_modulus_G!AD19/1000000</f>
        <v>5.2965667780366602E-3</v>
      </c>
      <c r="AF19" s="2">
        <f>Loss_modulus_G!AE19/1000000</f>
        <v>6.5184902164031897E-3</v>
      </c>
      <c r="AG19" s="2">
        <f>Loss_modulus_G!AF19/1000000</f>
        <v>7.0602662950728402E-3</v>
      </c>
      <c r="AH19" s="2">
        <f>Loss_modulus_G!AG19/1000000</f>
        <v>7.7701599406248901E-3</v>
      </c>
      <c r="AI19" s="2">
        <f>Loss_modulus_G!AH19/1000000</f>
        <v>8.9710499177042009E-3</v>
      </c>
      <c r="AJ19" s="2">
        <f>Loss_modulus_G!AI19/1000000</f>
        <v>1.0193463573794598E-2</v>
      </c>
      <c r="AK19" s="2">
        <f>Loss_modulus_G!AJ19/1000000</f>
        <v>1.10406804199863E-2</v>
      </c>
      <c r="AL19" s="2">
        <f>Loss_modulus_G!AK19/1000000</f>
        <v>1.1768878794463601E-2</v>
      </c>
      <c r="AM19" s="2">
        <f>Loss_modulus_G!AL19/1000000</f>
        <v>1.2952212669177699E-2</v>
      </c>
      <c r="AN19" s="2">
        <f>Loss_modulus_G!AM19/1000000</f>
        <v>1.35877768214965E-2</v>
      </c>
      <c r="AO19" s="2">
        <f>Loss_modulus_G!AN19/1000000</f>
        <v>1.51946987546096E-2</v>
      </c>
      <c r="AP19" s="2">
        <f>Loss_modulus_G!AO19/1000000</f>
        <v>1.61968792827E-2</v>
      </c>
      <c r="AQ19" s="2">
        <f>Loss_modulus_G!AP19/1000000</f>
        <v>1.7265159562230299E-2</v>
      </c>
      <c r="AR19" s="2">
        <f>Loss_modulus_G!AQ19/1000000</f>
        <v>1.7543062440632102E-2</v>
      </c>
      <c r="AS19" s="2">
        <f>Loss_modulus_G!AR19/1000000</f>
        <v>1.69916589944334E-2</v>
      </c>
      <c r="AT19" s="208">
        <f>Loss_modulus_G!AS19/1000000</f>
        <v>1.27470342862918E-2</v>
      </c>
      <c r="AU19" s="2"/>
    </row>
    <row r="20" spans="1:47" ht="15.75" customHeight="1">
      <c r="A20" s="174">
        <v>5</v>
      </c>
      <c r="B20" s="179">
        <v>4</v>
      </c>
      <c r="C20" s="178" t="s">
        <v>563</v>
      </c>
      <c r="D20" s="2">
        <f>Loss_modulus_G!C20/1000000</f>
        <v>3.8986037025490701E-5</v>
      </c>
      <c r="E20" s="2">
        <f>Loss_modulus_G!D20/1000000</f>
        <v>4.4435213657817998E-5</v>
      </c>
      <c r="F20" s="2">
        <f>Loss_modulus_G!E20/1000000</f>
        <v>4.9824526692653401E-5</v>
      </c>
      <c r="G20" s="2">
        <f>Loss_modulus_G!F20/1000000</f>
        <v>5.4961277427812098E-5</v>
      </c>
      <c r="H20" s="2">
        <f>Loss_modulus_G!G20/1000000</f>
        <v>6.1627241299031196E-5</v>
      </c>
      <c r="I20" s="2">
        <f>Loss_modulus_G!H20/1000000</f>
        <v>7.0241036104127806E-5</v>
      </c>
      <c r="J20" s="2">
        <f>Loss_modulus_G!I20/1000000</f>
        <v>7.6225849440713701E-5</v>
      </c>
      <c r="K20" s="2">
        <f>Loss_modulus_G!J20/1000000</f>
        <v>8.4084492846761506E-5</v>
      </c>
      <c r="L20" s="2">
        <f>Loss_modulus_G!K20/1000000</f>
        <v>9.4282658131083393E-5</v>
      </c>
      <c r="M20" s="2">
        <f>Loss_modulus_G!L20/1000000</f>
        <v>1.02315912494746E-4</v>
      </c>
      <c r="N20" s="2">
        <f>Loss_modulus_G!M20/1000000</f>
        <v>1.1472527064761201E-4</v>
      </c>
      <c r="O20" s="2">
        <f>Loss_modulus_G!N20/1000000</f>
        <v>1.2450031623204E-4</v>
      </c>
      <c r="P20" s="2">
        <f>Loss_modulus_G!O20/1000000</f>
        <v>1.3960030387421499E-4</v>
      </c>
      <c r="Q20" s="2">
        <f>Loss_modulus_G!P20/1000000</f>
        <v>1.51494800407257E-4</v>
      </c>
      <c r="R20" s="2">
        <f>Loss_modulus_G!Q20/1000000</f>
        <v>1.6711343402047799E-4</v>
      </c>
      <c r="S20" s="2">
        <f>Loss_modulus_G!R20/1000000</f>
        <v>1.93611798033083E-4</v>
      </c>
      <c r="T20" s="2">
        <f>Loss_modulus_G!S20/1000000</f>
        <v>2.1010828691276002E-4</v>
      </c>
      <c r="U20" s="2">
        <f>Loss_modulus_G!T20/1000000</f>
        <v>2.3559121444194199E-4</v>
      </c>
      <c r="V20" s="2">
        <f>Loss_modulus_G!U20/1000000</f>
        <v>2.6852039212879499E-4</v>
      </c>
      <c r="W20" s="2">
        <f>Loss_modulus_G!V20/1000000</f>
        <v>3.0108781625693901E-4</v>
      </c>
      <c r="X20" s="2">
        <f>Loss_modulus_G!W20/1000000</f>
        <v>3.3212901552503397E-4</v>
      </c>
      <c r="Y20" s="2">
        <f>Loss_modulus_G!X20/1000000</f>
        <v>3.8479309728552201E-4</v>
      </c>
      <c r="Z20" s="2">
        <f>Loss_modulus_G!Y20/1000000</f>
        <v>4.3857659809731699E-4</v>
      </c>
      <c r="AA20" s="2">
        <f>Loss_modulus_G!Z20/1000000</f>
        <v>4.7594505418780103E-4</v>
      </c>
      <c r="AB20" s="2">
        <f>Loss_modulus_G!AA20/1000000</f>
        <v>5.3366992312062992E-4</v>
      </c>
      <c r="AC20" s="2">
        <f>Loss_modulus_G!AB20/1000000</f>
        <v>5.8868960021324194E-4</v>
      </c>
      <c r="AD20" s="2">
        <f>Loss_modulus_G!AC20/1000000</f>
        <v>6.2848577808521998E-4</v>
      </c>
      <c r="AE20" s="2">
        <f>Loss_modulus_G!AD20/1000000</f>
        <v>7.4014733853775602E-4</v>
      </c>
      <c r="AF20" s="2">
        <f>Loss_modulus_G!AE20/1000000</f>
        <v>8.4359959707334801E-4</v>
      </c>
      <c r="AG20" s="2">
        <f>Loss_modulus_G!AF20/1000000</f>
        <v>9.1547761025952005E-4</v>
      </c>
      <c r="AH20" s="2">
        <f>Loss_modulus_G!AG20/1000000</f>
        <v>1.0606404399520299E-3</v>
      </c>
      <c r="AI20" s="2">
        <f>Loss_modulus_G!AH20/1000000</f>
        <v>1.16998910658906E-3</v>
      </c>
      <c r="AJ20" s="2">
        <f>Loss_modulus_G!AI20/1000000</f>
        <v>1.2696767934049899E-3</v>
      </c>
      <c r="AK20" s="2">
        <f>Loss_modulus_G!AJ20/1000000</f>
        <v>1.51991108295293E-3</v>
      </c>
      <c r="AL20" s="2">
        <f>Loss_modulus_G!AK20/1000000</f>
        <v>1.6226590366875901E-3</v>
      </c>
      <c r="AM20" s="2">
        <f>Loss_modulus_G!AL20/1000000</f>
        <v>1.7323528848992801E-3</v>
      </c>
      <c r="AN20" s="2">
        <f>Loss_modulus_G!AM20/1000000</f>
        <v>1.9744882128159297E-3</v>
      </c>
      <c r="AO20" s="2">
        <f>Loss_modulus_G!AN20/1000000</f>
        <v>2.0070436517512303E-3</v>
      </c>
      <c r="AP20" s="2">
        <f>Loss_modulus_G!AO20/1000000</f>
        <v>2.10796616808282E-3</v>
      </c>
      <c r="AQ20" s="2">
        <f>Loss_modulus_G!AP20/1000000</f>
        <v>1.78995003878849E-3</v>
      </c>
      <c r="AR20" s="2">
        <f>Loss_modulus_G!AQ20/1000000</f>
        <v>1.2490818824377099E-3</v>
      </c>
      <c r="AS20" s="2">
        <f>Loss_modulus_G!AR20/1000000</f>
        <v>6.6008866133473803E-4</v>
      </c>
      <c r="AT20" s="208">
        <f>Loss_modulus_G!AS20/1000000</f>
        <v>6.6225115937785708E-3</v>
      </c>
      <c r="AU20" s="2"/>
    </row>
    <row r="21" spans="1:47" ht="15.75" customHeight="1">
      <c r="A21" s="174">
        <v>5</v>
      </c>
      <c r="B21" s="179">
        <v>5</v>
      </c>
      <c r="C21" s="178" t="s">
        <v>563</v>
      </c>
      <c r="D21" s="2">
        <f>Loss_modulus_G!C21/1000000</f>
        <v>6.04296390238132E-6</v>
      </c>
      <c r="E21" s="2">
        <f>Loss_modulus_G!D21/1000000</f>
        <v>6.8876041941176492E-6</v>
      </c>
      <c r="F21" s="2">
        <f>Loss_modulus_G!E21/1000000</f>
        <v>7.8503019877601694E-6</v>
      </c>
      <c r="G21" s="2">
        <f>Loss_modulus_G!F21/1000000</f>
        <v>8.245047876757839E-6</v>
      </c>
      <c r="H21" s="2">
        <f>Loss_modulus_G!G21/1000000</f>
        <v>9.7099257531189892E-6</v>
      </c>
      <c r="I21" s="2">
        <f>Loss_modulus_G!H21/1000000</f>
        <v>1.1249581428616499E-5</v>
      </c>
      <c r="J21" s="2">
        <f>Loss_modulus_G!I21/1000000</f>
        <v>1.28219637716641E-5</v>
      </c>
      <c r="K21" s="2">
        <f>Loss_modulus_G!J21/1000000</f>
        <v>1.34667055275396E-5</v>
      </c>
      <c r="L21" s="2">
        <f>Loss_modulus_G!K21/1000000</f>
        <v>1.5348980892617601E-5</v>
      </c>
      <c r="M21" s="2">
        <f>Loss_modulus_G!L21/1000000</f>
        <v>1.8075997505543198E-5</v>
      </c>
      <c r="N21" s="2">
        <f>Loss_modulus_G!M21/1000000</f>
        <v>1.9939575539070598E-5</v>
      </c>
      <c r="O21" s="2">
        <f>Loss_modulus_G!N21/1000000</f>
        <v>2.23579416391938E-5</v>
      </c>
      <c r="P21" s="2">
        <f>Loss_modulus_G!O21/1000000</f>
        <v>2.59031316450154E-5</v>
      </c>
      <c r="Q21" s="2">
        <f>Loss_modulus_G!P21/1000000</f>
        <v>2.8110180634136399E-5</v>
      </c>
      <c r="R21" s="2">
        <f>Loss_modulus_G!Q21/1000000</f>
        <v>3.3104448990969099E-5</v>
      </c>
      <c r="S21" s="2">
        <f>Loss_modulus_G!R21/1000000</f>
        <v>3.5925078623023096E-5</v>
      </c>
      <c r="T21" s="2">
        <f>Loss_modulus_G!S21/1000000</f>
        <v>4.0946417386414199E-5</v>
      </c>
      <c r="U21" s="2">
        <f>Loss_modulus_G!T21/1000000</f>
        <v>4.5912592696152801E-5</v>
      </c>
      <c r="V21" s="2">
        <f>Loss_modulus_G!U21/1000000</f>
        <v>5.3192729096653299E-5</v>
      </c>
      <c r="W21" s="2">
        <f>Loss_modulus_G!V21/1000000</f>
        <v>6.3676219732818304E-5</v>
      </c>
      <c r="X21" s="2">
        <f>Loss_modulus_G!W21/1000000</f>
        <v>7.13991730566795E-5</v>
      </c>
      <c r="Y21" s="2">
        <f>Loss_modulus_G!X21/1000000</f>
        <v>8.1378815386921007E-5</v>
      </c>
      <c r="Z21" s="2">
        <f>Loss_modulus_G!Y21/1000000</f>
        <v>8.9768713244731395E-5</v>
      </c>
      <c r="AA21" s="2">
        <f>Loss_modulus_G!Z21/1000000</f>
        <v>1.0065628768368301E-4</v>
      </c>
      <c r="AB21" s="2">
        <f>Loss_modulus_G!AA21/1000000</f>
        <v>1.16616865400451E-4</v>
      </c>
      <c r="AC21" s="2">
        <f>Loss_modulus_G!AB21/1000000</f>
        <v>1.2863969449369698E-4</v>
      </c>
      <c r="AD21" s="2">
        <f>Loss_modulus_G!AC21/1000000</f>
        <v>1.51494800407257E-4</v>
      </c>
      <c r="AE21" s="2">
        <f>Loss_modulus_G!AD21/1000000</f>
        <v>1.6711343402047799E-4</v>
      </c>
      <c r="AF21" s="2">
        <f>Loss_modulus_G!AE21/1000000</f>
        <v>1.87381742286038E-4</v>
      </c>
      <c r="AG21" s="2">
        <f>Loss_modulus_G!AF21/1000000</f>
        <v>2.24311878678825E-4</v>
      </c>
      <c r="AH21" s="2">
        <f>Loss_modulus_G!AG21/1000000</f>
        <v>2.55664515184323E-4</v>
      </c>
      <c r="AI21" s="2">
        <f>Loss_modulus_G!AH21/1000000</f>
        <v>2.9139938869677504E-4</v>
      </c>
      <c r="AJ21" s="2">
        <f>Loss_modulus_G!AI21/1000000</f>
        <v>3.2674168582040602E-4</v>
      </c>
      <c r="AK21" s="2">
        <f>Loss_modulus_G!AJ21/1000000</f>
        <v>3.6637046402267296E-4</v>
      </c>
      <c r="AL21" s="2">
        <f>Loss_modulus_G!AK21/1000000</f>
        <v>4.0414209729914901E-4</v>
      </c>
      <c r="AM21" s="2">
        <f>Loss_modulus_G!AL21/1000000</f>
        <v>4.0414209729914901E-4</v>
      </c>
      <c r="AN21" s="2">
        <f>Loss_modulus_G!AM21/1000000</f>
        <v>4.1757898696184601E-4</v>
      </c>
      <c r="AO21" s="2">
        <f>Loss_modulus_G!AN21/1000000</f>
        <v>3.7855152492586301E-4</v>
      </c>
      <c r="AP21" s="2">
        <f>Loss_modulus_G!AO21/1000000</f>
        <v>2.24311878678825E-4</v>
      </c>
      <c r="AQ21" s="2">
        <f>Loss_modulus_G!AP21/1000000</f>
        <v>2.55664515184323E-4</v>
      </c>
      <c r="AR21" s="2">
        <f>Loss_modulus_G!AQ21/1000000</f>
        <v>1.02651106800466E-3</v>
      </c>
      <c r="AS21" s="2">
        <f>Loss_modulus_G!AR21/1000000</f>
        <v>3.1211754468334304E-3</v>
      </c>
      <c r="AT21" s="208">
        <f>Loss_modulus_G!AS21/1000000</f>
        <v>9.6466161991119893E-3</v>
      </c>
      <c r="AU21" s="2"/>
    </row>
    <row r="22" spans="1:47" ht="15.75" customHeight="1">
      <c r="A22" s="175">
        <v>5</v>
      </c>
      <c r="B22" s="180">
        <v>6</v>
      </c>
      <c r="C22" s="178" t="s">
        <v>563</v>
      </c>
      <c r="D22" s="30">
        <f>Loss_modulus_G!C22/1000000</f>
        <v>7.9797380741988205E-6</v>
      </c>
      <c r="E22" s="30">
        <f>Loss_modulus_G!D22/1000000</f>
        <v>6.5578482628834199E-6</v>
      </c>
      <c r="F22" s="30">
        <f>Loss_modulus_G!E22/1000000</f>
        <v>6.1426005277281995E-6</v>
      </c>
      <c r="G22" s="30">
        <f>Loss_modulus_G!F22/1000000</f>
        <v>5.8485129320805299E-6</v>
      </c>
      <c r="H22" s="30">
        <f>Loss_modulus_G!G22/1000000</f>
        <v>6.2438799656536203E-6</v>
      </c>
      <c r="I22" s="30">
        <f>Loss_modulus_G!H22/1000000</f>
        <v>6.6659743217190705E-6</v>
      </c>
      <c r="J22" s="30">
        <f>Loss_modulus_G!I22/1000000</f>
        <v>7.4744552390961401E-6</v>
      </c>
      <c r="K22" s="30">
        <f>Loss_modulus_G!J22/1000000</f>
        <v>8.245047876757839E-6</v>
      </c>
      <c r="L22" s="30">
        <f>Loss_modulus_G!K22/1000000</f>
        <v>8.9475584778323807E-6</v>
      </c>
      <c r="M22" s="30">
        <f>Loss_modulus_G!L22/1000000</f>
        <v>1.10671065427676E-5</v>
      </c>
      <c r="N22" s="30">
        <f>Loss_modulus_G!M22/1000000</f>
        <v>1.34667055275396E-5</v>
      </c>
      <c r="O22" s="30">
        <f>Loss_modulus_G!N22/1000000</f>
        <v>1.48550801717277E-5</v>
      </c>
      <c r="P22" s="30">
        <f>Loss_modulus_G!O22/1000000</f>
        <v>1.7494346628442599E-5</v>
      </c>
      <c r="Q22" s="30">
        <f>Loss_modulus_G!P22/1000000</f>
        <v>2.09422204672121E-5</v>
      </c>
      <c r="R22" s="30">
        <f>Loss_modulus_G!Q22/1000000</f>
        <v>2.3869367392260201E-5</v>
      </c>
      <c r="S22" s="30">
        <f>Loss_modulus_G!R22/1000000</f>
        <v>2.85736623926776E-5</v>
      </c>
      <c r="T22" s="30">
        <f>Loss_modulus_G!S22/1000000</f>
        <v>3.2039211413589098E-5</v>
      </c>
      <c r="U22" s="30">
        <f>Loss_modulus_G!T22/1000000</f>
        <v>3.7119513255809999E-5</v>
      </c>
      <c r="V22" s="30">
        <f>Loss_modulus_G!U22/1000000</f>
        <v>4.5167863199823004E-5</v>
      </c>
      <c r="W22" s="30">
        <f>Loss_modulus_G!V22/1000000</f>
        <v>5.3192729096653299E-5</v>
      </c>
      <c r="X22" s="30">
        <f>Loss_modulus_G!W22/1000000</f>
        <v>6.3676219732818304E-5</v>
      </c>
      <c r="Y22" s="30">
        <f>Loss_modulus_G!X22/1000000</f>
        <v>7.2576405416634797E-5</v>
      </c>
      <c r="Z22" s="30">
        <f>Loss_modulus_G!Y22/1000000</f>
        <v>8.4084492846761506E-5</v>
      </c>
      <c r="AA22" s="30">
        <f>Loss_modulus_G!Z22/1000000</f>
        <v>1.0065628768368301E-4</v>
      </c>
      <c r="AB22" s="30">
        <f>Loss_modulus_G!AA22/1000000</f>
        <v>1.2248084722897101E-4</v>
      </c>
      <c r="AC22" s="30">
        <f>Loss_modulus_G!AB22/1000000</f>
        <v>1.3733590411182801E-4</v>
      </c>
      <c r="AD22" s="30">
        <f>Loss_modulus_G!AC22/1000000</f>
        <v>1.5911259011248502E-4</v>
      </c>
      <c r="AE22" s="30">
        <f>Loss_modulus_G!AD22/1000000</f>
        <v>1.9680407693710799E-4</v>
      </c>
      <c r="AF22" s="30">
        <f>Loss_modulus_G!AE22/1000000</f>
        <v>2.2801034171415199E-4</v>
      </c>
      <c r="AG22" s="30">
        <f>Loss_modulus_G!AF22/1000000</f>
        <v>2.55664515184323E-4</v>
      </c>
      <c r="AH22" s="30">
        <f>Loss_modulus_G!AG22/1000000</f>
        <v>2.9620399322311501E-4</v>
      </c>
      <c r="AI22" s="30">
        <f>Loss_modulus_G!AH22/1000000</f>
        <v>3.4317161901824701E-4</v>
      </c>
      <c r="AJ22" s="30">
        <f>Loss_modulus_G!AI22/1000000</f>
        <v>4.1080560801772702E-4</v>
      </c>
      <c r="AK22" s="30">
        <f>Loss_modulus_G!AJ22/1000000</f>
        <v>4.6063005659858602E-4</v>
      </c>
      <c r="AL22" s="30">
        <f>Loss_modulus_G!AK22/1000000</f>
        <v>5.1649745013427608E-4</v>
      </c>
      <c r="AM22" s="30">
        <f>Loss_modulus_G!AL22/1000000</f>
        <v>5.5141334535056797E-4</v>
      </c>
      <c r="AN22" s="30">
        <f>Loss_modulus_G!AM22/1000000</f>
        <v>5.8868960021324194E-4</v>
      </c>
      <c r="AO22" s="30">
        <f>Loss_modulus_G!AN22/1000000</f>
        <v>5.8868960021324194E-4</v>
      </c>
      <c r="AP22" s="30">
        <f>Loss_modulus_G!AO22/1000000</f>
        <v>4.7594505418780103E-4</v>
      </c>
      <c r="AQ22" s="30">
        <f>Loss_modulus_G!AP22/1000000</f>
        <v>5.0811955502302105E-4</v>
      </c>
      <c r="AR22" s="30">
        <f>Loss_modulus_G!AQ22/1000000</f>
        <v>7.1633081895081899E-4</v>
      </c>
      <c r="AS22" s="30">
        <f>Loss_modulus_G!AR22/1000000</f>
        <v>2.92354034102362E-3</v>
      </c>
      <c r="AT22" s="209">
        <f>Loss_modulus_G!AS22/1000000</f>
        <v>9.3362066202466402E-3</v>
      </c>
      <c r="AU22" s="2"/>
    </row>
    <row r="23" spans="1:47" ht="15.75" customHeight="1">
      <c r="A23" s="182">
        <v>6</v>
      </c>
      <c r="B23" s="179">
        <v>1</v>
      </c>
      <c r="C23" s="179" t="s">
        <v>564</v>
      </c>
      <c r="D23" s="2">
        <v>7.7097756251931328E-5</v>
      </c>
      <c r="E23" s="2">
        <v>7.4301277949819484E-5</v>
      </c>
      <c r="F23" s="2">
        <v>8.9829508502218004E-5</v>
      </c>
      <c r="G23" s="2">
        <v>1.0538435405332749E-4</v>
      </c>
      <c r="H23" s="2">
        <v>1.1590325518432298E-4</v>
      </c>
      <c r="I23" s="2">
        <v>1.4525885937070136E-4</v>
      </c>
      <c r="J23" s="2">
        <v>1.6699309939469204E-4</v>
      </c>
      <c r="K23" s="2">
        <v>2.0701514762173982E-4</v>
      </c>
      <c r="L23" s="2">
        <v>2.3428977303633025E-4</v>
      </c>
      <c r="M23" s="2">
        <v>3.0231780063666333E-4</v>
      </c>
      <c r="N23" s="2">
        <v>3.6733501816273422E-4</v>
      </c>
      <c r="O23" s="2">
        <v>4.7027304811497121E-4</v>
      </c>
      <c r="P23" s="2">
        <v>6.3649837392632685E-4</v>
      </c>
      <c r="Q23" s="2">
        <v>7.546347555730758E-4</v>
      </c>
      <c r="R23" s="2">
        <v>9.6409654469174592E-4</v>
      </c>
      <c r="S23" s="2">
        <v>1.2042518671190668E-3</v>
      </c>
      <c r="T23" s="2">
        <v>1.540785124243376E-3</v>
      </c>
      <c r="U23" s="2">
        <v>1.9487468102587651E-3</v>
      </c>
      <c r="V23" s="2">
        <v>2.4928801503782926E-3</v>
      </c>
      <c r="W23" s="2">
        <v>3.032336470176083E-3</v>
      </c>
      <c r="X23" s="2">
        <v>3.658859913128375E-3</v>
      </c>
      <c r="Y23" s="2">
        <v>4.7241517293333778E-3</v>
      </c>
      <c r="Z23" s="2">
        <v>5.8405069742716318E-3</v>
      </c>
      <c r="AA23" s="2">
        <v>6.9601765354635973E-3</v>
      </c>
      <c r="AB23" s="2">
        <v>8.3297526348450959E-3</v>
      </c>
      <c r="AC23" s="2">
        <v>1.0235973993405596E-2</v>
      </c>
      <c r="AD23" s="2">
        <v>1.2399998021731843E-2</v>
      </c>
      <c r="AE23" s="2">
        <v>1.421605842134905E-2</v>
      </c>
      <c r="AF23" s="2">
        <v>1.8216286453464025E-2</v>
      </c>
      <c r="AG23" s="2">
        <v>2.0690852147001372E-2</v>
      </c>
      <c r="AH23" s="2">
        <v>2.2839782636875857E-2</v>
      </c>
      <c r="AI23" s="2">
        <v>2.6024117145889224E-2</v>
      </c>
      <c r="AJ23" s="2">
        <v>3.0159919420582465E-2</v>
      </c>
      <c r="AK23" s="2">
        <v>3.233575576081648E-2</v>
      </c>
      <c r="AL23" s="2">
        <v>3.3043843104940136E-2</v>
      </c>
      <c r="AM23" s="2"/>
      <c r="AN23" s="2"/>
      <c r="AO23" s="2"/>
      <c r="AP23" s="2"/>
      <c r="AQ23" s="2"/>
      <c r="AR23" s="2"/>
      <c r="AS23" s="2"/>
      <c r="AT23" s="2"/>
    </row>
    <row r="24" spans="1:47" ht="15.75" customHeight="1">
      <c r="A24" s="182">
        <v>6</v>
      </c>
      <c r="B24" s="179">
        <v>2</v>
      </c>
      <c r="C24" s="179" t="s">
        <v>564</v>
      </c>
      <c r="D24">
        <v>7.6298619908954075E-4</v>
      </c>
      <c r="E24">
        <v>8.6227928459018928E-4</v>
      </c>
      <c r="F24">
        <v>8.9658189546068241E-4</v>
      </c>
      <c r="G24">
        <v>9.1698795501858534E-4</v>
      </c>
      <c r="H24">
        <v>1.2851753957311826E-3</v>
      </c>
      <c r="I24">
        <v>1.2351647845503899E-3</v>
      </c>
      <c r="J24">
        <v>1.0529805390372259E-3</v>
      </c>
      <c r="K24">
        <v>1.5391109538527769E-3</v>
      </c>
      <c r="L24">
        <v>1.7036965481562738E-3</v>
      </c>
      <c r="M24">
        <v>2.0051723571249181E-3</v>
      </c>
      <c r="N24">
        <v>2.5075190495628978E-3</v>
      </c>
      <c r="O24">
        <v>2.4961807372433694E-3</v>
      </c>
      <c r="P24">
        <v>3.5933229954509009E-3</v>
      </c>
      <c r="Q24">
        <v>3.7385061975720797E-3</v>
      </c>
      <c r="R24">
        <v>4.3510515734735385E-3</v>
      </c>
      <c r="S24">
        <v>5.0714209927531315E-3</v>
      </c>
      <c r="T24">
        <v>5.6669143818179604E-3</v>
      </c>
      <c r="U24">
        <v>6.9027518851761307E-3</v>
      </c>
      <c r="V24">
        <v>8.4336757215223001E-3</v>
      </c>
      <c r="W24">
        <v>9.8296168106420442E-3</v>
      </c>
      <c r="X24">
        <v>1.1300705682693547E-2</v>
      </c>
      <c r="Y24">
        <v>1.3116520438857136E-2</v>
      </c>
      <c r="Z24">
        <v>1.5717025171918333E-2</v>
      </c>
      <c r="AA24">
        <v>1.7085824460399697E-2</v>
      </c>
      <c r="AB24">
        <v>2.1429430708017741E-2</v>
      </c>
      <c r="AC24">
        <v>2.3862782039612715E-2</v>
      </c>
      <c r="AD24">
        <v>2.8027712325952581E-2</v>
      </c>
      <c r="AE24">
        <v>3.3552013307132034E-2</v>
      </c>
      <c r="AF24">
        <v>4.0022823350406134E-2</v>
      </c>
      <c r="AG24">
        <v>4.0021809100714963E-2</v>
      </c>
      <c r="AH24">
        <v>4.5536681038610444E-2</v>
      </c>
      <c r="AI24">
        <v>5.1210938983228926E-2</v>
      </c>
      <c r="AJ24">
        <v>5.9315334677557112E-2</v>
      </c>
      <c r="AK24">
        <v>6.9588296992176404E-2</v>
      </c>
      <c r="AL24">
        <v>6.1150008905014173E-2</v>
      </c>
    </row>
    <row r="25" spans="1:47" ht="15.75" customHeight="1">
      <c r="A25" s="182">
        <v>6</v>
      </c>
      <c r="B25" s="179">
        <v>3</v>
      </c>
      <c r="C25" s="179" t="s">
        <v>564</v>
      </c>
      <c r="D25">
        <v>4.6500130751126077E-3</v>
      </c>
      <c r="E25">
        <v>4.9586773171626883E-3</v>
      </c>
      <c r="F25">
        <v>5.4968114936209513E-3</v>
      </c>
      <c r="G25">
        <v>5.732512352587444E-3</v>
      </c>
      <c r="H25">
        <v>6.2653075756948298E-3</v>
      </c>
      <c r="I25">
        <v>6.4211417651510068E-3</v>
      </c>
      <c r="J25">
        <v>6.4738833071626102E-3</v>
      </c>
      <c r="K25">
        <v>9.0725801650982547E-3</v>
      </c>
      <c r="L25">
        <v>9.5405461869338473E-3</v>
      </c>
      <c r="M25">
        <v>1.0416979954268026E-2</v>
      </c>
      <c r="N25">
        <v>9.1971469952164282E-3</v>
      </c>
      <c r="O25">
        <v>1.0781971736025507E-2</v>
      </c>
      <c r="P25">
        <v>1.1363086508159382E-2</v>
      </c>
      <c r="Q25">
        <v>1.3700242872478655E-2</v>
      </c>
      <c r="R25">
        <v>1.4666420138620757E-2</v>
      </c>
      <c r="S25">
        <v>1.6291478191647561E-2</v>
      </c>
      <c r="T25">
        <v>1.9431610392136842E-2</v>
      </c>
      <c r="U25">
        <v>2.1521291727125202E-2</v>
      </c>
      <c r="V25">
        <v>2.5711561391270132E-2</v>
      </c>
      <c r="W25">
        <v>3.0307663456037189E-2</v>
      </c>
      <c r="X25">
        <v>3.1311147887313186E-2</v>
      </c>
      <c r="Y25">
        <v>3.6724490508040594E-2</v>
      </c>
      <c r="Z25">
        <v>4.0776741879088196E-2</v>
      </c>
      <c r="AA25">
        <v>4.4171991082745533E-2</v>
      </c>
      <c r="AB25">
        <v>5.0554367156078812E-2</v>
      </c>
      <c r="AC25">
        <v>6.1803600908388573E-2</v>
      </c>
      <c r="AD25">
        <v>6.3463676951026254E-2</v>
      </c>
      <c r="AE25">
        <v>7.7303857080810168E-2</v>
      </c>
      <c r="AF25">
        <v>8.3650546375070911E-2</v>
      </c>
      <c r="AG25">
        <v>8.7771916391485377E-2</v>
      </c>
      <c r="AH25">
        <v>0.10052897718988323</v>
      </c>
      <c r="AI25">
        <v>9.5245920321615787E-2</v>
      </c>
      <c r="AJ25">
        <v>0.13007388703942413</v>
      </c>
      <c r="AK25">
        <v>0.15482401362280018</v>
      </c>
      <c r="AL25">
        <v>0.13841202007711093</v>
      </c>
    </row>
    <row r="26" spans="1:47" ht="15.75" customHeight="1">
      <c r="A26" s="182">
        <v>6</v>
      </c>
      <c r="B26" s="179">
        <v>4</v>
      </c>
      <c r="C26" s="179" t="s">
        <v>564</v>
      </c>
      <c r="D26" s="2">
        <v>1.3990956112877029E-2</v>
      </c>
      <c r="E26" s="2">
        <v>1.4669240617049769E-2</v>
      </c>
      <c r="F26" s="2">
        <v>1.2072506258791407E-2</v>
      </c>
      <c r="G26" s="2">
        <v>1.5266342415643203E-2</v>
      </c>
      <c r="H26" s="2">
        <v>1.601215961164577E-2</v>
      </c>
      <c r="I26" s="2">
        <v>1.708036567006288E-2</v>
      </c>
      <c r="J26" s="2">
        <v>1.6159117589499287E-2</v>
      </c>
      <c r="K26" s="2">
        <v>1.8724734051528063E-2</v>
      </c>
      <c r="L26" s="2">
        <v>2.1395050017843857E-2</v>
      </c>
      <c r="M26" s="2">
        <v>2.3493449079138272E-2</v>
      </c>
      <c r="N26" s="2">
        <v>2.420477104509948E-2</v>
      </c>
      <c r="O26" s="2">
        <v>2.2233202918375099E-2</v>
      </c>
      <c r="P26" s="2">
        <v>2.7971877261254739E-2</v>
      </c>
      <c r="Q26" s="2">
        <v>3.1190030743540091E-2</v>
      </c>
      <c r="R26" s="2">
        <v>3.6601522809982585E-2</v>
      </c>
      <c r="S26" s="2">
        <v>3.4349702728568986E-2</v>
      </c>
      <c r="T26" s="2">
        <v>4.2411199998898724E-2</v>
      </c>
      <c r="U26" s="2">
        <v>4.9082994594519661E-2</v>
      </c>
      <c r="V26" s="2">
        <v>4.8222833037843575E-2</v>
      </c>
      <c r="W26" s="2">
        <v>5.7367491837493394E-2</v>
      </c>
      <c r="X26" s="2">
        <v>5.5704659238318015E-2</v>
      </c>
      <c r="Y26" s="2">
        <v>6.7046771108005263E-2</v>
      </c>
      <c r="Z26">
        <v>6.4396749317459381E-2</v>
      </c>
      <c r="AA26">
        <v>6.6938633149328797E-2</v>
      </c>
      <c r="AB26">
        <v>7.8683958785781286E-2</v>
      </c>
      <c r="AC26">
        <v>9.5588751577683387E-2</v>
      </c>
      <c r="AD26">
        <v>0.10495803712275786</v>
      </c>
      <c r="AE26">
        <v>0.10408099067587727</v>
      </c>
      <c r="AF26">
        <v>0.10681457575238751</v>
      </c>
      <c r="AG26">
        <v>0.12411321882036785</v>
      </c>
      <c r="AH26">
        <v>0.12095653198139049</v>
      </c>
      <c r="AI26">
        <v>0.1306255715498959</v>
      </c>
      <c r="AJ26">
        <v>0.15545063902520909</v>
      </c>
      <c r="AK26">
        <v>0.1816744426589442</v>
      </c>
      <c r="AL26">
        <v>0.21589408713299024</v>
      </c>
    </row>
    <row r="27" spans="1:47" ht="15.75" customHeight="1">
      <c r="A27" s="177">
        <v>7</v>
      </c>
      <c r="B27" s="178">
        <v>1</v>
      </c>
      <c r="C27" s="178" t="s">
        <v>563</v>
      </c>
      <c r="D27" s="206">
        <f>Loss_modulus_G!C27/1000000</f>
        <v>3.9483219301735999E-5</v>
      </c>
      <c r="E27" s="206">
        <f>Loss_modulus_G!D27/1000000</f>
        <v>1.1319093808077599E-4</v>
      </c>
      <c r="F27" s="206">
        <f>Loss_modulus_G!E27/1000000</f>
        <v>3.1786459154047996E-4</v>
      </c>
      <c r="G27" s="206">
        <f>Loss_modulus_G!F27/1000000</f>
        <v>7.5670005723424904E-4</v>
      </c>
      <c r="H27" s="206">
        <f>Loss_modulus_G!G27/1000000</f>
        <v>1.4652754811771999E-3</v>
      </c>
      <c r="I27" s="206">
        <f>Loss_modulus_G!H27/1000000</f>
        <v>2.5067044904611398E-3</v>
      </c>
      <c r="J27" s="206">
        <f>Loss_modulus_G!I27/1000000</f>
        <v>4.0307064091391603E-3</v>
      </c>
      <c r="K27" s="206">
        <f>Loss_modulus_G!J27/1000000</f>
        <v>6.0919083819704302E-3</v>
      </c>
      <c r="L27" s="206">
        <f>Loss_modulus_G!K27/1000000</f>
        <v>8.4771744611583395E-3</v>
      </c>
      <c r="M27" s="206">
        <f>Loss_modulus_G!L27/1000000</f>
        <v>1.1796383389086899E-2</v>
      </c>
      <c r="N27" s="206">
        <f>Loss_modulus_G!M27/1000000</f>
        <v>1.60797031500018E-2</v>
      </c>
      <c r="O27" s="206">
        <f>Loss_modulus_G!N27/1000000</f>
        <v>2.1031485800943703E-2</v>
      </c>
      <c r="P27" s="206">
        <f>Loss_modulus_G!O27/1000000</f>
        <v>2.6395182169172301E-2</v>
      </c>
      <c r="Q27" s="206">
        <f>Loss_modulus_G!P27/1000000</f>
        <v>3.3126791342175693E-2</v>
      </c>
      <c r="R27" s="206">
        <f>Loss_modulus_G!Q27/1000000</f>
        <v>4.0725410527238305E-2</v>
      </c>
      <c r="S27" s="206">
        <f>Loss_modulus_G!R27/1000000</f>
        <v>4.0725410527238305E-2</v>
      </c>
      <c r="T27" s="206">
        <f>Loss_modulus_G!S27/1000000</f>
        <v>4.6097474213028296E-2</v>
      </c>
      <c r="U27" s="206">
        <f>Loss_modulus_G!T27/1000000</f>
        <v>5.00670000145918E-2</v>
      </c>
      <c r="V27" s="206">
        <f>Loss_modulus_G!U27/1000000</f>
        <v>5.9060952731354401E-2</v>
      </c>
      <c r="W27" s="206">
        <f>Loss_modulus_G!V27/1000000</f>
        <v>6.41467839994323E-2</v>
      </c>
      <c r="X27" s="206">
        <f>Loss_modulus_G!W27/1000000</f>
        <v>6.6851646436063991E-2</v>
      </c>
      <c r="Y27" s="207">
        <f>Loss_modulus_G!X27/1000000</f>
        <v>7.1124288878254199E-2</v>
      </c>
      <c r="Z27" s="2"/>
    </row>
    <row r="28" spans="1:47" ht="15.75" customHeight="1">
      <c r="A28" s="175">
        <v>7</v>
      </c>
      <c r="B28" s="180">
        <v>2</v>
      </c>
      <c r="C28" s="180" t="s">
        <v>563</v>
      </c>
      <c r="D28" s="30">
        <f>Loss_modulus_G!C28/1000000</f>
        <v>7.1862486844915304E-3</v>
      </c>
      <c r="E28" s="30">
        <f>Loss_modulus_G!D28/1000000</f>
        <v>1.1087740404707299E-2</v>
      </c>
      <c r="F28" s="30">
        <f>Loss_modulus_G!E28/1000000</f>
        <v>1.9364019695370601E-2</v>
      </c>
      <c r="G28" s="30">
        <f>Loss_modulus_G!F28/1000000</f>
        <v>3.3818004848265401E-2</v>
      </c>
      <c r="H28" s="30">
        <f>Loss_modulus_G!G28/1000000</f>
        <v>5.6671306985418904E-2</v>
      </c>
      <c r="I28" s="30">
        <f>Loss_modulus_G!H28/1000000</f>
        <v>9.1125779344815999E-2</v>
      </c>
      <c r="J28" s="30">
        <f>Loss_modulus_G!I28/1000000</f>
        <v>0.12945165982558901</v>
      </c>
      <c r="K28" s="30">
        <f>Loss_modulus_G!J28/1000000</f>
        <v>0.15270614096563101</v>
      </c>
      <c r="L28" s="30">
        <f>Loss_modulus_G!K28/1000000</f>
        <v>0.180138018469853</v>
      </c>
      <c r="M28" s="30">
        <f>Loss_modulus_G!L28/1000000</f>
        <v>0.22145805423683998</v>
      </c>
      <c r="N28" s="30">
        <f>Loss_modulus_G!M28/1000000</f>
        <v>0.277936886615473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209"/>
      <c r="Z28" s="2"/>
    </row>
    <row r="29" spans="1:47" ht="15.75" customHeight="1">
      <c r="A29" s="182">
        <v>8</v>
      </c>
      <c r="B29" s="179">
        <v>1</v>
      </c>
      <c r="C29" s="179" t="s">
        <v>565</v>
      </c>
      <c r="D29" s="2">
        <v>436.89377981666581</v>
      </c>
      <c r="E29" s="2">
        <v>406.85419077671042</v>
      </c>
      <c r="F29" s="2">
        <v>365.762765488014</v>
      </c>
      <c r="G29" s="2">
        <v>306.683928764705</v>
      </c>
      <c r="H29" s="2">
        <v>217.67894162802085</v>
      </c>
      <c r="I29" s="2">
        <v>146.84973648935491</v>
      </c>
      <c r="J29" s="2">
        <v>120.04096279213033</v>
      </c>
      <c r="K29" s="2">
        <v>108.16966255651099</v>
      </c>
      <c r="L29" s="2">
        <v>91.410302308735638</v>
      </c>
      <c r="M29" s="2">
        <v>74.13557685102667</v>
      </c>
      <c r="N29" s="2">
        <v>60.215928864614611</v>
      </c>
      <c r="O29" s="2">
        <v>45.874996877835862</v>
      </c>
      <c r="P29" s="2">
        <v>35.090626014703261</v>
      </c>
      <c r="Q29" s="2">
        <v>19.390720095912855</v>
      </c>
      <c r="R29" s="2"/>
      <c r="S29" s="2"/>
      <c r="T29" s="2"/>
      <c r="U29" s="2"/>
      <c r="V29" s="2"/>
      <c r="W29" s="2"/>
      <c r="X29" s="2"/>
      <c r="Y29" s="2"/>
    </row>
    <row r="30" spans="1:47" ht="15.75" customHeight="1">
      <c r="A30" s="182">
        <v>8</v>
      </c>
      <c r="B30" s="179">
        <v>2</v>
      </c>
      <c r="C30" s="179" t="s">
        <v>565</v>
      </c>
      <c r="D30">
        <v>459.88622834258848</v>
      </c>
      <c r="E30">
        <v>430.41945233079889</v>
      </c>
      <c r="F30">
        <v>382.55751026151188</v>
      </c>
      <c r="G30">
        <v>329.0569399462147</v>
      </c>
      <c r="H30">
        <v>245.05574103522582</v>
      </c>
      <c r="I30">
        <v>173.58357824975613</v>
      </c>
      <c r="J30">
        <v>145.67101549425908</v>
      </c>
      <c r="K30">
        <v>124.12808365734415</v>
      </c>
      <c r="L30">
        <v>99.464861084514453</v>
      </c>
      <c r="M30">
        <v>79.324197187554276</v>
      </c>
      <c r="N30">
        <v>66.106203531791863</v>
      </c>
      <c r="O30">
        <v>57.082316895486528</v>
      </c>
      <c r="P30">
        <v>48.03470181252019</v>
      </c>
      <c r="Q30">
        <v>37.198294882148645</v>
      </c>
    </row>
    <row r="31" spans="1:47" ht="15.75" customHeight="1">
      <c r="A31" s="182">
        <v>8</v>
      </c>
      <c r="B31" s="179">
        <v>3</v>
      </c>
      <c r="C31" s="179" t="s">
        <v>565</v>
      </c>
      <c r="D31">
        <v>404.28610678633532</v>
      </c>
      <c r="E31">
        <v>386.28412525289502</v>
      </c>
      <c r="F31">
        <v>383.73373352538033</v>
      </c>
      <c r="G31">
        <v>343.16912138141151</v>
      </c>
      <c r="H31">
        <v>281.01765895977792</v>
      </c>
      <c r="I31">
        <v>204.15518404116185</v>
      </c>
      <c r="J31">
        <v>169.90941561414999</v>
      </c>
      <c r="K31">
        <v>172.13260455086603</v>
      </c>
      <c r="L31">
        <v>157.7042519711255</v>
      </c>
      <c r="M31">
        <v>124.77541233379604</v>
      </c>
      <c r="N31">
        <v>108.03561764730313</v>
      </c>
      <c r="O31">
        <v>92.494525805726411</v>
      </c>
      <c r="P31">
        <v>79.994629877860802</v>
      </c>
      <c r="Q31">
        <v>58.363653015177654</v>
      </c>
    </row>
    <row r="32" spans="1:47" ht="15.75" customHeight="1">
      <c r="A32" s="182">
        <v>8</v>
      </c>
      <c r="B32" s="179">
        <v>4</v>
      </c>
      <c r="C32" s="179" t="s">
        <v>565</v>
      </c>
      <c r="D32">
        <v>232.29857879093106</v>
      </c>
      <c r="E32">
        <v>217.00039131122551</v>
      </c>
      <c r="F32">
        <v>200.09075090126461</v>
      </c>
      <c r="G32">
        <v>172.3120249107055</v>
      </c>
      <c r="H32">
        <v>137.40352513133857</v>
      </c>
      <c r="I32">
        <v>103.23289678541936</v>
      </c>
      <c r="J32">
        <v>79.925942269105391</v>
      </c>
      <c r="K32">
        <v>64.687908483127359</v>
      </c>
      <c r="L32">
        <v>51.474077712744126</v>
      </c>
      <c r="M32">
        <v>46.257982332714448</v>
      </c>
      <c r="N32">
        <v>41.999350589880777</v>
      </c>
      <c r="O32">
        <v>40.792946407013559</v>
      </c>
      <c r="P32">
        <v>31.957638478382091</v>
      </c>
      <c r="Q32">
        <v>20.279912412891587</v>
      </c>
    </row>
    <row r="33" spans="1:28" ht="15.75" customHeight="1">
      <c r="A33" s="181">
        <v>9</v>
      </c>
      <c r="B33" s="178">
        <v>1</v>
      </c>
      <c r="C33" s="179" t="s">
        <v>565</v>
      </c>
      <c r="D33">
        <v>283.09237553029448</v>
      </c>
      <c r="E33">
        <v>294.90260951850019</v>
      </c>
      <c r="F33">
        <v>292.99551875106505</v>
      </c>
      <c r="G33">
        <v>295.83917485705405</v>
      </c>
      <c r="H33">
        <v>301.9300065817859</v>
      </c>
      <c r="I33">
        <v>357.7130635039245</v>
      </c>
      <c r="J33">
        <v>296.11061785752116</v>
      </c>
      <c r="K33">
        <v>152.38977550468726</v>
      </c>
      <c r="L33">
        <v>83.102066501383163</v>
      </c>
      <c r="M33">
        <v>48.48973753759379</v>
      </c>
      <c r="N33">
        <v>36.043600838765421</v>
      </c>
      <c r="O33">
        <v>27.553080271498846</v>
      </c>
      <c r="P33">
        <v>22.302895399055995</v>
      </c>
      <c r="Q33">
        <v>18.822434807324218</v>
      </c>
    </row>
    <row r="34" spans="1:28" ht="15.75" customHeight="1">
      <c r="A34" s="182">
        <v>9</v>
      </c>
      <c r="B34" s="179">
        <v>2</v>
      </c>
      <c r="C34" s="179" t="s">
        <v>565</v>
      </c>
      <c r="D34">
        <v>69.919072104369818</v>
      </c>
      <c r="E34">
        <v>67.324820321106188</v>
      </c>
      <c r="F34">
        <v>76.942651795549779</v>
      </c>
      <c r="G34">
        <v>78.418249974426374</v>
      </c>
      <c r="H34">
        <v>108.72240577144653</v>
      </c>
      <c r="I34">
        <v>199.01624052457814</v>
      </c>
      <c r="J34">
        <v>240.43269320009279</v>
      </c>
      <c r="K34">
        <v>128.19886462910756</v>
      </c>
      <c r="L34">
        <v>66.331965374698839</v>
      </c>
      <c r="M34">
        <v>32.854227853260205</v>
      </c>
      <c r="N34">
        <v>25.296133633266635</v>
      </c>
      <c r="O34">
        <v>22.42674203428264</v>
      </c>
      <c r="P34">
        <v>20.014431401296633</v>
      </c>
      <c r="Q34">
        <v>17.673496816074184</v>
      </c>
    </row>
    <row r="35" spans="1:28" ht="15.75" customHeight="1">
      <c r="A35" s="182">
        <v>9</v>
      </c>
      <c r="B35" s="179">
        <v>3</v>
      </c>
      <c r="C35" s="179" t="s">
        <v>565</v>
      </c>
      <c r="D35">
        <v>207.87029491809548</v>
      </c>
      <c r="E35">
        <v>198.26532172752141</v>
      </c>
      <c r="F35">
        <v>195.23844770090386</v>
      </c>
      <c r="G35">
        <v>200.12212085949332</v>
      </c>
      <c r="H35">
        <v>212.00584898440383</v>
      </c>
      <c r="I35">
        <v>288.37340392811615</v>
      </c>
      <c r="J35">
        <v>305.12381286253782</v>
      </c>
      <c r="K35">
        <v>177.64324379695677</v>
      </c>
      <c r="L35">
        <v>97.288200956031091</v>
      </c>
      <c r="M35">
        <v>60.300663742177846</v>
      </c>
      <c r="N35">
        <v>45.903155632977125</v>
      </c>
      <c r="O35">
        <v>33.703875682929947</v>
      </c>
      <c r="P35">
        <v>28.102759519777521</v>
      </c>
      <c r="Q35">
        <v>22.246355067499639</v>
      </c>
    </row>
    <row r="36" spans="1:28" ht="15.75" customHeight="1">
      <c r="A36" s="183">
        <v>9</v>
      </c>
      <c r="B36" s="180">
        <v>4</v>
      </c>
      <c r="C36" s="179" t="s">
        <v>565</v>
      </c>
      <c r="D36">
        <v>187.59881136441211</v>
      </c>
      <c r="E36">
        <v>189.95217162026404</v>
      </c>
      <c r="F36">
        <v>182.58577605985872</v>
      </c>
      <c r="G36">
        <v>192.8574402851217</v>
      </c>
      <c r="H36">
        <v>220.00184315655997</v>
      </c>
      <c r="I36">
        <v>299.39389808383726</v>
      </c>
      <c r="J36">
        <v>327.84949673246672</v>
      </c>
      <c r="K36">
        <v>186.17748184361892</v>
      </c>
      <c r="L36">
        <v>99.155228002247355</v>
      </c>
      <c r="M36">
        <v>61.295702105468287</v>
      </c>
      <c r="N36">
        <v>44.948003072950307</v>
      </c>
      <c r="O36">
        <v>39.458195921478826</v>
      </c>
      <c r="P36">
        <v>19.143782114671577</v>
      </c>
    </row>
    <row r="37" spans="1:28" ht="15.75" customHeight="1">
      <c r="A37" s="181">
        <v>11</v>
      </c>
      <c r="B37" s="178" t="s">
        <v>220</v>
      </c>
      <c r="C37" s="179"/>
    </row>
    <row r="38" spans="1:28" ht="15.75" customHeight="1">
      <c r="A38" s="182">
        <v>11</v>
      </c>
      <c r="B38" s="179" t="s">
        <v>221</v>
      </c>
      <c r="C38" s="179"/>
    </row>
    <row r="39" spans="1:28" ht="15.75" customHeight="1">
      <c r="A39" s="182">
        <v>11</v>
      </c>
      <c r="B39" s="179" t="s">
        <v>222</v>
      </c>
      <c r="C39" s="179"/>
    </row>
    <row r="40" spans="1:28" ht="15.75" customHeight="1">
      <c r="A40" s="182">
        <v>11</v>
      </c>
      <c r="B40" s="179" t="s">
        <v>223</v>
      </c>
      <c r="C40" s="179"/>
    </row>
    <row r="41" spans="1:28" ht="15.75" customHeight="1">
      <c r="A41" s="182">
        <v>11</v>
      </c>
      <c r="B41" s="179" t="s">
        <v>224</v>
      </c>
      <c r="C41" s="179" t="s">
        <v>565</v>
      </c>
      <c r="D41">
        <v>55.42960734906562</v>
      </c>
      <c r="E41">
        <v>61.250932983919846</v>
      </c>
      <c r="F41">
        <v>75.832896792330473</v>
      </c>
      <c r="G41">
        <v>89.910856651109754</v>
      </c>
      <c r="H41">
        <v>82.183209612638251</v>
      </c>
      <c r="I41">
        <v>66.227111187130788</v>
      </c>
      <c r="J41">
        <v>63.504842127676739</v>
      </c>
      <c r="K41">
        <v>68.991076752342039</v>
      </c>
      <c r="L41">
        <v>79.464772340004771</v>
      </c>
      <c r="M41">
        <v>90.229077912266746</v>
      </c>
      <c r="N41">
        <v>91.237135288109926</v>
      </c>
      <c r="O41">
        <v>81.509794405121326</v>
      </c>
      <c r="P41">
        <v>74.219059700022711</v>
      </c>
    </row>
    <row r="42" spans="1:28" ht="15.75" customHeight="1">
      <c r="A42" s="182">
        <v>11</v>
      </c>
      <c r="B42" s="179" t="s">
        <v>225</v>
      </c>
      <c r="C42" s="179" t="s">
        <v>565</v>
      </c>
      <c r="D42">
        <v>41.866770811095158</v>
      </c>
      <c r="E42">
        <v>53.416224827949151</v>
      </c>
      <c r="F42">
        <v>62.839108548321356</v>
      </c>
      <c r="G42">
        <v>80.643802368328849</v>
      </c>
      <c r="H42">
        <v>74.787556920928964</v>
      </c>
      <c r="I42">
        <v>66.319708688811673</v>
      </c>
      <c r="J42">
        <v>62.426820082013428</v>
      </c>
      <c r="K42">
        <v>64.920138028418606</v>
      </c>
      <c r="L42">
        <v>69.873232126133757</v>
      </c>
      <c r="M42">
        <v>69.022044652377716</v>
      </c>
      <c r="N42">
        <v>62.707121824249803</v>
      </c>
      <c r="O42">
        <v>57.134769774441132</v>
      </c>
      <c r="P42">
        <v>52.099700391069682</v>
      </c>
    </row>
    <row r="43" spans="1:28" ht="15.75" customHeight="1">
      <c r="A43" s="182">
        <v>11</v>
      </c>
      <c r="B43" s="179" t="s">
        <v>226</v>
      </c>
      <c r="C43" s="179" t="s">
        <v>565</v>
      </c>
      <c r="D43">
        <v>39.545737965918526</v>
      </c>
      <c r="E43">
        <v>47.973943085277405</v>
      </c>
      <c r="F43">
        <v>58.448441248872058</v>
      </c>
      <c r="G43">
        <v>72.468258544444083</v>
      </c>
      <c r="H43">
        <v>62.762359757014984</v>
      </c>
      <c r="I43">
        <v>52.998935036578757</v>
      </c>
      <c r="J43">
        <v>49.581641416622901</v>
      </c>
      <c r="K43">
        <v>53.728713142328921</v>
      </c>
      <c r="L43">
        <v>60.088082222353265</v>
      </c>
      <c r="M43">
        <v>59.54983390780064</v>
      </c>
      <c r="N43">
        <v>54.76295169725492</v>
      </c>
      <c r="O43">
        <v>49.385881833629028</v>
      </c>
      <c r="P43">
        <v>44.649194965615962</v>
      </c>
    </row>
    <row r="44" spans="1:28" ht="15.75" customHeight="1">
      <c r="A44" s="183">
        <v>11</v>
      </c>
      <c r="B44" s="180" t="s">
        <v>227</v>
      </c>
      <c r="C44" s="179" t="s">
        <v>565</v>
      </c>
      <c r="D44">
        <v>32.230482091965889</v>
      </c>
      <c r="E44">
        <v>34.755547459991092</v>
      </c>
      <c r="F44">
        <v>41.648292805849302</v>
      </c>
      <c r="G44">
        <v>49.32709774230355</v>
      </c>
      <c r="H44">
        <v>46.986565646126877</v>
      </c>
      <c r="I44">
        <v>47.383439548272115</v>
      </c>
      <c r="J44">
        <v>49.212263804906385</v>
      </c>
      <c r="K44">
        <v>46.518648326734478</v>
      </c>
      <c r="L44">
        <v>49.283790782171742</v>
      </c>
      <c r="M44">
        <v>47.811206161856042</v>
      </c>
      <c r="N44">
        <v>42.740345872854839</v>
      </c>
      <c r="O44">
        <v>38.275280623120601</v>
      </c>
      <c r="P44">
        <v>35.943067895966884</v>
      </c>
    </row>
    <row r="45" spans="1:28" ht="15.75" customHeight="1">
      <c r="A45" s="181">
        <v>12</v>
      </c>
      <c r="B45" s="178" t="s">
        <v>220</v>
      </c>
      <c r="C45" s="179" t="s">
        <v>564</v>
      </c>
      <c r="D45">
        <v>2.7684108459327682E-2</v>
      </c>
      <c r="E45">
        <v>2.9826824754397428E-2</v>
      </c>
      <c r="F45">
        <v>2.4147129559361536E-2</v>
      </c>
      <c r="G45">
        <v>2.5749039385919797E-2</v>
      </c>
      <c r="H45">
        <v>2.5943023276894222E-2</v>
      </c>
      <c r="I45">
        <v>2.7435086247965649E-2</v>
      </c>
      <c r="J45">
        <v>2.8538647721394608E-2</v>
      </c>
      <c r="K45">
        <v>3.088327418103947E-2</v>
      </c>
      <c r="L45">
        <v>3.3859824680082466E-2</v>
      </c>
      <c r="M45">
        <v>4.1576035954390855E-2</v>
      </c>
      <c r="N45">
        <v>4.8732942790458145E-2</v>
      </c>
      <c r="O45">
        <v>5.3027155187314864E-2</v>
      </c>
      <c r="P45">
        <v>6.4054329437303464E-2</v>
      </c>
      <c r="Q45">
        <v>7.3666220169586488E-2</v>
      </c>
      <c r="R45">
        <v>9.2206768807311684E-2</v>
      </c>
      <c r="S45">
        <v>0.10489132103206754</v>
      </c>
      <c r="T45">
        <v>0.14480911335641741</v>
      </c>
      <c r="U45">
        <v>0.13757016098362773</v>
      </c>
      <c r="V45">
        <v>0.17609396328486829</v>
      </c>
      <c r="W45">
        <v>0.21619224052973288</v>
      </c>
      <c r="X45">
        <v>0.22857081264058624</v>
      </c>
      <c r="Y45">
        <v>0.23752780260457368</v>
      </c>
      <c r="Z45">
        <v>0.28357411778533859</v>
      </c>
      <c r="AA45">
        <v>0.28422767037143959</v>
      </c>
      <c r="AB45">
        <v>0.34441677449738672</v>
      </c>
    </row>
    <row r="46" spans="1:28" ht="15.75" customHeight="1">
      <c r="A46" s="182">
        <v>12</v>
      </c>
      <c r="B46" s="179" t="s">
        <v>221</v>
      </c>
      <c r="C46" s="179" t="s">
        <v>564</v>
      </c>
      <c r="D46">
        <v>2.738054439749729E-4</v>
      </c>
      <c r="E46">
        <v>3.4612762401768919E-4</v>
      </c>
      <c r="F46">
        <v>4.1772344950381264E-4</v>
      </c>
      <c r="G46">
        <v>5.3943561579302324E-4</v>
      </c>
      <c r="H46">
        <v>7.0691897836490467E-4</v>
      </c>
      <c r="I46">
        <v>1.0045104376513237E-3</v>
      </c>
      <c r="J46">
        <v>1.4549167534787916E-3</v>
      </c>
      <c r="K46">
        <v>2.176933728825469E-3</v>
      </c>
      <c r="L46">
        <v>3.0703322918603964E-3</v>
      </c>
      <c r="M46">
        <v>4.6972746386320131E-3</v>
      </c>
      <c r="N46">
        <v>6.8737881287195381E-3</v>
      </c>
      <c r="O46">
        <v>9.6526801463456269E-3</v>
      </c>
      <c r="P46">
        <v>1.230492218534323E-2</v>
      </c>
      <c r="Q46">
        <v>1.5937274772799825E-2</v>
      </c>
      <c r="R46">
        <v>2.0934221192095516E-2</v>
      </c>
      <c r="S46">
        <v>2.7870796068676561E-2</v>
      </c>
      <c r="T46">
        <v>3.6171636793868076E-2</v>
      </c>
      <c r="U46">
        <v>4.0427324644614057E-2</v>
      </c>
      <c r="V46">
        <v>5.2232014867744335E-2</v>
      </c>
      <c r="W46">
        <v>5.3992965165796825E-2</v>
      </c>
      <c r="X46">
        <v>6.2581150726578924E-2</v>
      </c>
      <c r="Y46">
        <v>7.9663054830720101E-2</v>
      </c>
      <c r="Z46">
        <v>9.8770423741687277E-2</v>
      </c>
      <c r="AA46">
        <v>8.5837822881038583E-2</v>
      </c>
      <c r="AB46">
        <v>7.9077663755636823E-2</v>
      </c>
    </row>
    <row r="47" spans="1:28" ht="15.75" customHeight="1">
      <c r="A47" s="182">
        <v>12</v>
      </c>
      <c r="B47" s="179" t="s">
        <v>222</v>
      </c>
      <c r="C47" s="179" t="s">
        <v>564</v>
      </c>
      <c r="D47">
        <v>2.5414887670902757E-5</v>
      </c>
      <c r="E47">
        <v>4.7921516885621148E-5</v>
      </c>
      <c r="F47">
        <v>4.0863783436914638E-5</v>
      </c>
      <c r="G47">
        <v>4.6690700520303686E-5</v>
      </c>
      <c r="H47">
        <v>4.020242922984203E-5</v>
      </c>
      <c r="I47">
        <v>7.8037510850176612E-5</v>
      </c>
      <c r="J47">
        <v>9.3618612247114657E-5</v>
      </c>
      <c r="K47">
        <v>1.2631648920873663E-4</v>
      </c>
      <c r="L47">
        <v>1.5948943496573524E-4</v>
      </c>
      <c r="M47">
        <v>2.0579045376924629E-4</v>
      </c>
      <c r="N47">
        <v>2.8736291662277301E-4</v>
      </c>
      <c r="O47">
        <v>3.9117279026507773E-4</v>
      </c>
      <c r="P47">
        <v>5.2613090587223419E-4</v>
      </c>
      <c r="Q47">
        <v>6.8021166662060595E-4</v>
      </c>
      <c r="R47">
        <v>9.1140410867895439E-4</v>
      </c>
      <c r="S47">
        <v>1.2722089242870364E-3</v>
      </c>
      <c r="T47">
        <v>1.8066858980789018E-3</v>
      </c>
      <c r="U47">
        <v>2.3887956833405217E-3</v>
      </c>
      <c r="V47">
        <v>3.382949363309701E-3</v>
      </c>
      <c r="W47">
        <v>4.5699859162240553E-3</v>
      </c>
      <c r="X47">
        <v>6.3109678201666696E-3</v>
      </c>
      <c r="Y47">
        <v>8.5528321734984133E-3</v>
      </c>
      <c r="Z47">
        <v>1.1718118271071673E-2</v>
      </c>
      <c r="AA47">
        <v>8.699636071250327E-3</v>
      </c>
      <c r="AB47">
        <v>4.7019484955639207E-2</v>
      </c>
    </row>
    <row r="48" spans="1:28" ht="15.75" customHeight="1">
      <c r="A48" s="182">
        <v>12</v>
      </c>
      <c r="B48" s="179" t="s">
        <v>223</v>
      </c>
      <c r="C48" s="179" t="s">
        <v>564</v>
      </c>
      <c r="D48">
        <v>4.451756962164651E-5</v>
      </c>
      <c r="E48">
        <v>8.3134458230744508E-5</v>
      </c>
      <c r="F48">
        <v>1.2852684417408755E-4</v>
      </c>
      <c r="G48">
        <v>2.0273673055437464E-4</v>
      </c>
      <c r="H48">
        <v>2.9840394633586924E-4</v>
      </c>
      <c r="I48">
        <v>4.5840184917097772E-4</v>
      </c>
      <c r="J48">
        <v>6.574196723936062E-4</v>
      </c>
      <c r="K48">
        <v>9.1765947595793174E-4</v>
      </c>
      <c r="L48">
        <v>1.2642651599700701E-3</v>
      </c>
      <c r="M48">
        <v>1.8543997407213949E-3</v>
      </c>
      <c r="N48">
        <v>2.6056412685400211E-3</v>
      </c>
      <c r="O48">
        <v>3.7471716494631492E-3</v>
      </c>
      <c r="P48">
        <v>4.9070610345263921E-3</v>
      </c>
      <c r="Q48">
        <v>6.4567245200456503E-3</v>
      </c>
      <c r="R48">
        <v>9.2126041994884025E-3</v>
      </c>
      <c r="S48">
        <v>1.1793811993162111E-2</v>
      </c>
      <c r="T48">
        <v>1.6321900234434212E-2</v>
      </c>
      <c r="U48">
        <v>1.9667418442577706E-2</v>
      </c>
      <c r="V48">
        <v>2.5541035508804804E-2</v>
      </c>
      <c r="W48">
        <v>3.0029222497189079E-2</v>
      </c>
      <c r="X48">
        <v>3.5704541433969145E-2</v>
      </c>
      <c r="Y48">
        <v>4.1644756356531754E-2</v>
      </c>
      <c r="Z48">
        <v>4.4016339882947113E-2</v>
      </c>
      <c r="AA48">
        <v>4.8031463239778444E-2</v>
      </c>
    </row>
    <row r="49" spans="1:28" ht="15.75" customHeight="1">
      <c r="A49" s="183">
        <v>12</v>
      </c>
      <c r="B49" s="180" t="s">
        <v>228</v>
      </c>
      <c r="C49" s="179" t="s">
        <v>564</v>
      </c>
      <c r="D49">
        <v>3.9680560771921784E-5</v>
      </c>
      <c r="E49">
        <v>9.1799043788599733E-5</v>
      </c>
      <c r="F49">
        <v>1.3742963025707472E-4</v>
      </c>
      <c r="G49">
        <v>1.7651751683984688E-4</v>
      </c>
      <c r="H49">
        <v>1.6757495409780955E-4</v>
      </c>
      <c r="I49">
        <v>2.1410227845131485E-4</v>
      </c>
      <c r="J49">
        <v>2.5622398670293006E-4</v>
      </c>
      <c r="K49">
        <v>3.6683106138026624E-4</v>
      </c>
      <c r="L49">
        <v>5.9116677033839871E-4</v>
      </c>
      <c r="M49">
        <v>8.4426139825511228E-4</v>
      </c>
      <c r="N49">
        <v>1.1883702496281678E-3</v>
      </c>
      <c r="O49">
        <v>1.8006802331147439E-3</v>
      </c>
      <c r="P49">
        <v>2.6497411280636263E-3</v>
      </c>
      <c r="Q49">
        <v>3.4714031399018901E-3</v>
      </c>
      <c r="R49">
        <v>4.7920567527511152E-3</v>
      </c>
      <c r="S49">
        <v>6.6407600210671306E-3</v>
      </c>
      <c r="T49">
        <v>8.6219471610422156E-3</v>
      </c>
      <c r="U49">
        <v>1.1238996273486956E-2</v>
      </c>
      <c r="V49">
        <v>1.5403940998377575E-2</v>
      </c>
      <c r="W49">
        <v>1.9599583250410099E-2</v>
      </c>
      <c r="X49">
        <v>2.4447036724854466E-2</v>
      </c>
      <c r="Y49">
        <v>3.0111707392737674E-2</v>
      </c>
      <c r="Z49">
        <v>3.4525147641695023E-2</v>
      </c>
      <c r="AA49">
        <v>4.3116971852388088E-2</v>
      </c>
      <c r="AB49">
        <v>2.8398817876005265E-2</v>
      </c>
    </row>
    <row r="50" spans="1:28" ht="15.75" customHeight="1">
      <c r="A50" s="182">
        <v>12</v>
      </c>
      <c r="B50" s="179" t="s">
        <v>224</v>
      </c>
      <c r="C50" s="179" t="s">
        <v>565</v>
      </c>
      <c r="D50">
        <v>183.02564680068784</v>
      </c>
      <c r="E50">
        <v>184.96506015626994</v>
      </c>
      <c r="F50">
        <v>228.27857572116616</v>
      </c>
      <c r="G50">
        <v>523.65405024377412</v>
      </c>
      <c r="H50">
        <v>317.04298557541682</v>
      </c>
      <c r="I50">
        <v>171.25361711493977</v>
      </c>
      <c r="J50">
        <v>239.73645485213493</v>
      </c>
      <c r="K50">
        <v>209.45199671270328</v>
      </c>
    </row>
    <row r="51" spans="1:28" ht="15.75" customHeight="1">
      <c r="A51" s="182">
        <v>12</v>
      </c>
      <c r="B51" s="179" t="s">
        <v>225</v>
      </c>
      <c r="C51" s="179" t="s">
        <v>565</v>
      </c>
      <c r="D51">
        <v>188.97135653972396</v>
      </c>
      <c r="E51">
        <v>166.51878835881092</v>
      </c>
      <c r="F51">
        <v>231.82029352740156</v>
      </c>
      <c r="G51">
        <v>602.21315611235786</v>
      </c>
      <c r="H51">
        <v>195.83297200943636</v>
      </c>
      <c r="I51">
        <v>123.75192210165761</v>
      </c>
      <c r="J51">
        <v>150.75796711326637</v>
      </c>
      <c r="K51">
        <v>137.36836398118584</v>
      </c>
    </row>
    <row r="52" spans="1:28" ht="15.75" customHeight="1">
      <c r="A52" s="182">
        <v>12</v>
      </c>
      <c r="B52" s="179" t="s">
        <v>226</v>
      </c>
      <c r="C52" s="179" t="s">
        <v>565</v>
      </c>
      <c r="D52">
        <v>175.01351666531659</v>
      </c>
      <c r="E52">
        <v>142.81484256908044</v>
      </c>
      <c r="F52">
        <v>267.95324841484512</v>
      </c>
      <c r="G52">
        <v>643.01538334115889</v>
      </c>
      <c r="H52">
        <v>183.56604067293776</v>
      </c>
      <c r="I52">
        <v>134.42115767194514</v>
      </c>
      <c r="J52">
        <v>163.54831642442656</v>
      </c>
      <c r="K52">
        <v>136.34372644172069</v>
      </c>
    </row>
    <row r="53" spans="1:28" ht="15.75" customHeight="1">
      <c r="A53" s="182">
        <v>12</v>
      </c>
      <c r="B53" s="179" t="s">
        <v>227</v>
      </c>
      <c r="C53" s="179" t="s">
        <v>565</v>
      </c>
      <c r="D53">
        <v>221.09583379548189</v>
      </c>
      <c r="E53">
        <v>192.01793290011233</v>
      </c>
      <c r="F53">
        <v>269.41441758761442</v>
      </c>
      <c r="G53">
        <v>560.26605200144172</v>
      </c>
      <c r="H53">
        <v>343.99901744776309</v>
      </c>
      <c r="I53">
        <v>211.29417082526427</v>
      </c>
      <c r="J53">
        <v>311.66514408202062</v>
      </c>
      <c r="K53">
        <v>287.77203095005933</v>
      </c>
    </row>
    <row r="54" spans="1:28" ht="15.75" customHeight="1">
      <c r="A54" s="182">
        <v>12</v>
      </c>
      <c r="B54" s="179" t="s">
        <v>229</v>
      </c>
      <c r="C54" s="179" t="s">
        <v>565</v>
      </c>
      <c r="D54">
        <v>128.16711626263572</v>
      </c>
      <c r="E54">
        <v>176.55348625441255</v>
      </c>
      <c r="F54">
        <v>271.4331090118539</v>
      </c>
      <c r="G54">
        <v>570.8169755133847</v>
      </c>
      <c r="H54">
        <v>217.4177908357066</v>
      </c>
      <c r="I54">
        <v>150.79766775813391</v>
      </c>
      <c r="J54">
        <v>198.35443765537647</v>
      </c>
      <c r="K54">
        <v>190.12359444251049</v>
      </c>
    </row>
    <row r="55" spans="1:28" ht="15.75" customHeight="1">
      <c r="A55" s="181">
        <v>13</v>
      </c>
      <c r="B55" s="178">
        <v>1</v>
      </c>
      <c r="C55" s="179"/>
    </row>
    <row r="56" spans="1:28" ht="15.75" customHeight="1">
      <c r="A56" s="182">
        <v>13</v>
      </c>
      <c r="B56" s="179">
        <v>2</v>
      </c>
      <c r="C56" s="179"/>
    </row>
    <row r="57" spans="1:28" ht="15.75" customHeight="1">
      <c r="A57" s="182">
        <v>13</v>
      </c>
      <c r="B57" s="179">
        <v>3</v>
      </c>
      <c r="C57" s="179"/>
    </row>
    <row r="58" spans="1:28" ht="15.75" customHeight="1">
      <c r="A58" s="182">
        <v>13</v>
      </c>
      <c r="B58" s="179">
        <v>4</v>
      </c>
      <c r="C58" s="179"/>
    </row>
    <row r="59" spans="1:28" ht="15.75" customHeight="1">
      <c r="A59" s="182">
        <v>13</v>
      </c>
      <c r="B59" s="179">
        <v>5</v>
      </c>
      <c r="C59" s="179"/>
    </row>
    <row r="60" spans="1:28" ht="15.75" customHeight="1">
      <c r="A60" s="182">
        <v>13</v>
      </c>
      <c r="B60" s="179">
        <v>6</v>
      </c>
      <c r="C60" s="179"/>
    </row>
    <row r="61" spans="1:28" ht="15.75" customHeight="1">
      <c r="A61" s="182">
        <v>13</v>
      </c>
      <c r="B61" s="179">
        <v>7</v>
      </c>
      <c r="C61" s="179"/>
    </row>
    <row r="62" spans="1:28" ht="15.75" customHeight="1">
      <c r="A62" s="182">
        <v>13</v>
      </c>
      <c r="B62" s="179">
        <v>8</v>
      </c>
      <c r="C62" s="179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28" ht="15.75" customHeight="1">
      <c r="A63" s="177">
        <v>14</v>
      </c>
      <c r="B63" s="178">
        <v>1</v>
      </c>
      <c r="C63" s="495" t="s">
        <v>563</v>
      </c>
      <c r="D63" s="206">
        <f>Loss_modulus_G!C63/1000000</f>
        <v>1.2941039544084299E-3</v>
      </c>
      <c r="E63" s="206">
        <f>Loss_modulus_G!D63/1000000</f>
        <v>1.8632462436183701E-3</v>
      </c>
      <c r="F63" s="206">
        <f>Loss_modulus_G!E63/1000000</f>
        <v>2.7552085224235999E-3</v>
      </c>
      <c r="G63" s="206">
        <f>Loss_modulus_G!F63/1000000</f>
        <v>3.8625376794457502E-3</v>
      </c>
      <c r="H63" s="206">
        <f>Loss_modulus_G!G63/1000000</f>
        <v>5.4149031132843901E-3</v>
      </c>
      <c r="I63" s="206">
        <f>Loss_modulus_G!H63/1000000</f>
        <v>7.7273571086088396E-3</v>
      </c>
      <c r="J63" s="206">
        <f>Loss_modulus_G!I63/1000000</f>
        <v>1.02702964936111E-2</v>
      </c>
      <c r="K63" s="206">
        <f>Loss_modulus_G!J63/1000000</f>
        <v>1.40190346323277E-2</v>
      </c>
      <c r="L63" s="206">
        <f>Loss_modulus_G!K63/1000000</f>
        <v>1.7822360997015001E-2</v>
      </c>
      <c r="M63" s="206">
        <f>Loss_modulus_G!L63/1000000</f>
        <v>2.2258214688228001E-2</v>
      </c>
      <c r="N63" s="206">
        <f>Loss_modulus_G!M63/1000000</f>
        <v>2.7308219256962099E-2</v>
      </c>
      <c r="O63" s="206">
        <f>Loss_modulus_G!N63/1000000</f>
        <v>3.1763655150792401E-2</v>
      </c>
      <c r="P63" s="207">
        <f>Loss_modulus_G!O63/1000000</f>
        <v>3.6946011713350199E-2</v>
      </c>
      <c r="Q63" s="2"/>
    </row>
    <row r="64" spans="1:28" ht="15.75" customHeight="1">
      <c r="A64" s="174">
        <v>14</v>
      </c>
      <c r="B64" s="179">
        <v>2</v>
      </c>
      <c r="C64" s="495" t="s">
        <v>563</v>
      </c>
      <c r="D64" s="2">
        <f>Loss_modulus_G!C64/1000000</f>
        <v>1.10273454821906E-3</v>
      </c>
      <c r="E64" s="2">
        <f>Loss_modulus_G!D64/1000000</f>
        <v>1.4919187205819202E-3</v>
      </c>
      <c r="F64" s="2">
        <f>Loss_modulus_G!E64/1000000</f>
        <v>2.1480592362295302E-3</v>
      </c>
      <c r="G64" s="2">
        <f>Loss_modulus_G!F64/1000000</f>
        <v>2.9847197872225001E-3</v>
      </c>
      <c r="H64" s="2">
        <f>Loss_modulus_G!G64/1000000</f>
        <v>4.1472534907492304E-3</v>
      </c>
      <c r="I64" s="2">
        <f>Loss_modulus_G!H64/1000000</f>
        <v>5.9183511143303504E-3</v>
      </c>
      <c r="J64" s="2">
        <f>Loss_modulus_G!I64/1000000</f>
        <v>8.1507327085643903E-3</v>
      </c>
      <c r="K64" s="2">
        <f>Loss_modulus_G!J64/1000000</f>
        <v>1.1125813572304499E-2</v>
      </c>
      <c r="L64" s="2">
        <f>Loss_modulus_G!K64/1000000</f>
        <v>1.47871411621528E-2</v>
      </c>
      <c r="M64" s="2">
        <f>Loss_modulus_G!L64/1000000</f>
        <v>1.87988527610869E-2</v>
      </c>
      <c r="N64" s="2">
        <f>Loss_modulus_G!M64/1000000</f>
        <v>2.3063987843131902E-2</v>
      </c>
      <c r="O64" s="2">
        <f>Loss_modulus_G!N64/1000000</f>
        <v>2.9061661236835599E-2</v>
      </c>
      <c r="P64" s="208">
        <f>Loss_modulus_G!O64/1000000</f>
        <v>3.5339674528287304E-2</v>
      </c>
      <c r="Q64" s="2"/>
    </row>
    <row r="65" spans="1:17" ht="15.75" customHeight="1">
      <c r="A65" s="174">
        <v>14</v>
      </c>
      <c r="B65" s="179">
        <v>3</v>
      </c>
      <c r="C65" s="495" t="s">
        <v>563</v>
      </c>
      <c r="D65" s="2">
        <f>Loss_modulus_G!C65/1000000</f>
        <v>1.84675511099487E-3</v>
      </c>
      <c r="E65" s="2">
        <f>Loss_modulus_G!D65/1000000</f>
        <v>2.3269944377424701E-3</v>
      </c>
      <c r="F65" s="2">
        <f>Loss_modulus_G!E65/1000000</f>
        <v>3.0113727037689602E-3</v>
      </c>
      <c r="G65" s="2">
        <f>Loss_modulus_G!F65/1000000</f>
        <v>3.8625376794457502E-3</v>
      </c>
      <c r="H65" s="2">
        <f>Loss_modulus_G!G65/1000000</f>
        <v>5.2723939888692905E-3</v>
      </c>
      <c r="I65" s="2">
        <f>Loss_modulus_G!H65/1000000</f>
        <v>6.7027780146759492E-3</v>
      </c>
      <c r="J65" s="2">
        <f>Loss_modulus_G!I65/1000000</f>
        <v>8.9085431445664002E-3</v>
      </c>
      <c r="K65" s="2">
        <f>Loss_modulus_G!J65/1000000</f>
        <v>1.14265481623633E-2</v>
      </c>
      <c r="L65" s="2">
        <f>Loss_modulus_G!K65/1000000</f>
        <v>1.4526530072221299E-2</v>
      </c>
      <c r="M65" s="2">
        <f>Loss_modulus_G!L65/1000000</f>
        <v>1.7664619678672198E-2</v>
      </c>
      <c r="N65" s="2">
        <f>Loss_modulus_G!M65/1000000</f>
        <v>2.1672416859702302E-2</v>
      </c>
      <c r="O65" s="2">
        <f>Loss_modulus_G!N65/1000000</f>
        <v>2.6120913617840601E-2</v>
      </c>
      <c r="P65" s="208">
        <f>Loss_modulus_G!O65/1000000</f>
        <v>3.0927690520474799E-2</v>
      </c>
      <c r="Q65" s="2"/>
    </row>
    <row r="66" spans="1:17" ht="15.75" customHeight="1">
      <c r="A66" s="174">
        <v>14</v>
      </c>
      <c r="B66" s="179">
        <v>4</v>
      </c>
      <c r="C66" s="495" t="s">
        <v>563</v>
      </c>
      <c r="D66" s="2">
        <f>Loss_modulus_G!C66/1000000</f>
        <v>2.1672424209635602E-3</v>
      </c>
      <c r="E66" s="2">
        <f>Loss_modulus_G!D66/1000000</f>
        <v>2.4327661446037802E-3</v>
      </c>
      <c r="F66" s="2">
        <f>Loss_modulus_G!E66/1000000</f>
        <v>2.6354176790570798E-3</v>
      </c>
      <c r="G66" s="2">
        <f>Loss_modulus_G!F66/1000000</f>
        <v>3.3503982661319399E-3</v>
      </c>
      <c r="H66" s="2">
        <f>Loss_modulus_G!G66/1000000</f>
        <v>4.0381062998707598E-3</v>
      </c>
      <c r="I66" s="2">
        <f>Loss_modulus_G!H66/1000000</f>
        <v>4.6969365254071003E-3</v>
      </c>
      <c r="J66" s="2">
        <f>Loss_modulus_G!I66/1000000</f>
        <v>5.7115851169816899E-3</v>
      </c>
      <c r="K66" s="2">
        <f>Loss_modulus_G!J66/1000000</f>
        <v>7.0074475316398805E-3</v>
      </c>
      <c r="L66" s="2">
        <f>Loss_modulus_G!K66/1000000</f>
        <v>8.5973163753734205E-3</v>
      </c>
      <c r="M66" s="2">
        <f>Loss_modulus_G!L66/1000000</f>
        <v>1.04545421559491E-2</v>
      </c>
      <c r="N66" s="2">
        <f>Loss_modulus_G!M66/1000000</f>
        <v>1.26004536988144E-2</v>
      </c>
      <c r="O66" s="2">
        <f>Loss_modulus_G!N66/1000000</f>
        <v>1.5322447604745401E-2</v>
      </c>
      <c r="P66" s="208">
        <f>Loss_modulus_G!O66/1000000</f>
        <v>1.87988527610869E-2</v>
      </c>
      <c r="Q66" s="2"/>
    </row>
    <row r="67" spans="1:17" ht="15.75" customHeight="1">
      <c r="A67" s="174">
        <v>14</v>
      </c>
      <c r="B67" s="179">
        <v>5</v>
      </c>
      <c r="C67" s="495" t="s">
        <v>563</v>
      </c>
      <c r="D67" s="2">
        <f>Loss_modulus_G!C67/1000000</f>
        <v>3.3803189069540099E-3</v>
      </c>
      <c r="E67" s="2">
        <f>Loss_modulus_G!D67/1000000</f>
        <v>3.5339686513302698E-3</v>
      </c>
      <c r="F67" s="2">
        <f>Loss_modulus_G!E67/1000000</f>
        <v>4.8238947087242108E-3</v>
      </c>
      <c r="G67" s="2">
        <f>Loss_modulus_G!F67/1000000</f>
        <v>5.4149031132843901E-3</v>
      </c>
      <c r="H67" s="2">
        <f>Loss_modulus_G!G67/1000000</f>
        <v>6.7027780146759492E-3</v>
      </c>
      <c r="I67" s="2">
        <f>Loss_modulus_G!H67/1000000</f>
        <v>8.1507327085643903E-3</v>
      </c>
      <c r="J67" s="2">
        <f>Loss_modulus_G!I67/1000000</f>
        <v>1.0362011583673801E-2</v>
      </c>
      <c r="K67" s="2">
        <f>Loss_modulus_G!J67/1000000</f>
        <v>1.27129644629413E-2</v>
      </c>
      <c r="L67" s="2">
        <f>Loss_modulus_G!K67/1000000</f>
        <v>1.54592790645697E-2</v>
      </c>
      <c r="M67" s="2">
        <f>Loss_modulus_G!L67/1000000</f>
        <v>1.93069791596104E-2</v>
      </c>
      <c r="N67" s="2">
        <f>Loss_modulus_G!M67/1000000</f>
        <v>2.38989228145991E-2</v>
      </c>
      <c r="O67" s="2">
        <f>Loss_modulus_G!N67/1000000</f>
        <v>2.9321185670172598E-2</v>
      </c>
      <c r="P67" s="208">
        <f>Loss_modulus_G!O67/1000000</f>
        <v>3.4716865643580001E-2</v>
      </c>
      <c r="Q67" s="2"/>
    </row>
    <row r="68" spans="1:17" ht="15.75" customHeight="1">
      <c r="A68" s="174">
        <v>14</v>
      </c>
      <c r="B68" s="179">
        <v>6</v>
      </c>
      <c r="C68" s="495" t="s">
        <v>563</v>
      </c>
      <c r="D68" s="2">
        <f>Loss_modulus_G!C68/1000000</f>
        <v>3.1763655150792301E-3</v>
      </c>
      <c r="E68" s="2">
        <f>Loss_modulus_G!D68/1000000</f>
        <v>3.9318289719378402E-3</v>
      </c>
      <c r="F68" s="2">
        <f>Loss_modulus_G!E68/1000000</f>
        <v>4.3357636450445198E-3</v>
      </c>
      <c r="G68" s="2">
        <f>Loss_modulus_G!F68/1000000</f>
        <v>5.0431610588217296E-3</v>
      </c>
      <c r="H68" s="2">
        <f>Loss_modulus_G!G68/1000000</f>
        <v>6.1326022802940198E-3</v>
      </c>
      <c r="I68" s="2">
        <f>Loss_modulus_G!H68/1000000</f>
        <v>7.07002255629179E-3</v>
      </c>
      <c r="J68" s="2">
        <f>Loss_modulus_G!I68/1000000</f>
        <v>8.5212178703560001E-3</v>
      </c>
      <c r="K68" s="2">
        <f>Loss_modulus_G!J68/1000000</f>
        <v>9.8237649630279304E-3</v>
      </c>
      <c r="L68" s="2">
        <f>Loss_modulus_G!K68/1000000</f>
        <v>1.14265481623633E-2</v>
      </c>
      <c r="M68" s="2">
        <f>Loss_modulus_G!L68/1000000</f>
        <v>1.3173197437833999E-2</v>
      </c>
      <c r="N68" s="2">
        <f>Loss_modulus_G!M68/1000000</f>
        <v>1.4919187205819201E-2</v>
      </c>
      <c r="O68" s="2">
        <f>Loss_modulus_G!N68/1000000</f>
        <v>1.89667225410091E-2</v>
      </c>
      <c r="P68" s="208">
        <f>Loss_modulus_G!O68/1000000</f>
        <v>2.1672416859702302E-2</v>
      </c>
      <c r="Q68" s="2"/>
    </row>
    <row r="69" spans="1:17" ht="15.75" customHeight="1">
      <c r="A69" s="174">
        <v>14</v>
      </c>
      <c r="B69" s="179">
        <v>7</v>
      </c>
      <c r="C69" s="495" t="s">
        <v>563</v>
      </c>
      <c r="D69" s="2">
        <f>Loss_modulus_G!C69/1000000</f>
        <v>2.4112343319032002E-3</v>
      </c>
      <c r="E69" s="2">
        <f>Loss_modulus_G!D69/1000000</f>
        <v>2.7066530127698202E-3</v>
      </c>
      <c r="F69" s="2">
        <f>Loss_modulus_G!E69/1000000</f>
        <v>2.5889732638646403E-3</v>
      </c>
      <c r="G69" s="2">
        <f>Loss_modulus_G!F69/1000000</f>
        <v>2.8046350848154301E-3</v>
      </c>
      <c r="H69" s="2">
        <f>Loss_modulus_G!G69/1000000</f>
        <v>3.1203878839213199E-3</v>
      </c>
      <c r="I69" s="2">
        <f>Loss_modulus_G!H69/1000000</f>
        <v>3.5973656394762401E-3</v>
      </c>
      <c r="J69" s="2">
        <f>Loss_modulus_G!I69/1000000</f>
        <v>4.0381062998707598E-3</v>
      </c>
      <c r="K69" s="2">
        <f>Loss_modulus_G!J69/1000000</f>
        <v>4.7811963643028203E-3</v>
      </c>
      <c r="L69" s="2">
        <f>Loss_modulus_G!K69/1000000</f>
        <v>5.8659692493604398E-3</v>
      </c>
      <c r="M69" s="2">
        <f>Loss_modulus_G!L69/1000000</f>
        <v>7.1968563813365402E-3</v>
      </c>
      <c r="N69" s="2">
        <f>Loss_modulus_G!M69/1000000</f>
        <v>8.9881006474373214E-3</v>
      </c>
      <c r="O69" s="2">
        <f>Loss_modulus_G!N69/1000000</f>
        <v>1.1225172348577599E-2</v>
      </c>
      <c r="P69" s="208">
        <f>Loss_modulus_G!O69/1000000</f>
        <v>1.40190346323277E-2</v>
      </c>
      <c r="Q69" s="2"/>
    </row>
    <row r="70" spans="1:17" ht="15.75" customHeight="1">
      <c r="A70" s="174">
        <v>14</v>
      </c>
      <c r="B70" s="179">
        <v>8</v>
      </c>
      <c r="C70" s="495" t="s">
        <v>563</v>
      </c>
      <c r="D70" s="2">
        <f>Loss_modulus_G!C70/1000000</f>
        <v>4.4135472823130005E-3</v>
      </c>
      <c r="E70" s="2">
        <f>Loss_modulus_G!D70/1000000</f>
        <v>4.3357636450445198E-3</v>
      </c>
      <c r="F70" s="2">
        <f>Loss_modulus_G!E70/1000000</f>
        <v>4.3357636450445198E-3</v>
      </c>
      <c r="G70" s="2">
        <f>Loss_modulus_G!F70/1000000</f>
        <v>4.4135472823130005E-3</v>
      </c>
      <c r="H70" s="2">
        <f>Loss_modulus_G!G70/1000000</f>
        <v>4.3744810975475104E-3</v>
      </c>
      <c r="I70" s="2">
        <f>Loss_modulus_G!H70/1000000</f>
        <v>4.4135472823130005E-3</v>
      </c>
      <c r="J70" s="2">
        <f>Loss_modulus_G!I70/1000000</f>
        <v>4.9104320908685802E-3</v>
      </c>
      <c r="K70" s="2">
        <f>Loss_modulus_G!J70/1000000</f>
        <v>5.6610332868211998E-3</v>
      </c>
      <c r="L70" s="2">
        <f>Loss_modulus_G!K70/1000000</f>
        <v>6.1326022802940198E-3</v>
      </c>
      <c r="M70" s="2">
        <f>Loss_modulus_G!L70/1000000</f>
        <v>6.76263240496725E-3</v>
      </c>
      <c r="N70" s="2">
        <f>Loss_modulus_G!M70/1000000</f>
        <v>7.3913873925235398E-3</v>
      </c>
      <c r="O70" s="2">
        <f>Loss_modulus_G!N70/1000000</f>
        <v>8.9881006474373214E-3</v>
      </c>
      <c r="P70" s="208">
        <f>Loss_modulus_G!O70/1000000</f>
        <v>1.0929745169051699E-2</v>
      </c>
      <c r="Q70" s="2"/>
    </row>
    <row r="71" spans="1:17" ht="15.75" customHeight="1">
      <c r="A71" s="174">
        <v>14</v>
      </c>
      <c r="B71" s="179">
        <v>9</v>
      </c>
      <c r="C71" s="495" t="s">
        <v>563</v>
      </c>
      <c r="D71" s="2">
        <f>Loss_modulus_G!C71/1000000</f>
        <v>5.4632570530422702E-3</v>
      </c>
      <c r="E71" s="2">
        <f>Loss_modulus_G!D71/1000000</f>
        <v>5.6610332868211998E-3</v>
      </c>
      <c r="F71" s="2">
        <f>Loss_modulus_G!E71/1000000</f>
        <v>5.4149031132843901E-3</v>
      </c>
      <c r="G71" s="2">
        <f>Loss_modulus_G!F71/1000000</f>
        <v>5.4632570530422702E-3</v>
      </c>
      <c r="H71" s="2">
        <f>Loss_modulus_G!G71/1000000</f>
        <v>5.7625922729181807E-3</v>
      </c>
      <c r="I71" s="2">
        <f>Loss_modulus_G!H71/1000000</f>
        <v>6.4686069500604401E-3</v>
      </c>
      <c r="J71" s="2">
        <f>Loss_modulus_G!I71/1000000</f>
        <v>7.1331539435603199E-3</v>
      </c>
      <c r="K71" s="2">
        <f>Loss_modulus_G!J71/1000000</f>
        <v>7.9362248617426811E-3</v>
      </c>
      <c r="L71" s="2">
        <f>Loss_modulus_G!K71/1000000</f>
        <v>9.231048986955509E-3</v>
      </c>
      <c r="M71" s="2">
        <f>Loss_modulus_G!L71/1000000</f>
        <v>1.02702964936111E-2</v>
      </c>
      <c r="N71" s="2">
        <f>Loss_modulus_G!M71/1000000</f>
        <v>1.14265481623633E-2</v>
      </c>
      <c r="O71" s="2">
        <f>Loss_modulus_G!N71/1000000</f>
        <v>1.37719747942477E-2</v>
      </c>
      <c r="P71" s="208">
        <f>Loss_modulus_G!O71/1000000</f>
        <v>1.7047481115060801E-2</v>
      </c>
      <c r="Q71" s="2"/>
    </row>
    <row r="72" spans="1:17" ht="15.75" customHeight="1">
      <c r="A72" s="175">
        <v>14</v>
      </c>
      <c r="B72" s="180">
        <v>10</v>
      </c>
      <c r="C72" s="495" t="s">
        <v>563</v>
      </c>
      <c r="D72" s="30">
        <f>Loss_modulus_G!C72/1000000</f>
        <v>1.00893013070457E-2</v>
      </c>
      <c r="E72" s="30">
        <f>Loss_modulus_G!D72/1000000</f>
        <v>1.02702964936111E-2</v>
      </c>
      <c r="F72" s="30">
        <f>Loss_modulus_G!E72/1000000</f>
        <v>1.0642085905190401E-2</v>
      </c>
      <c r="G72" s="30">
        <f>Loss_modulus_G!F72/1000000</f>
        <v>9.8237649630279304E-3</v>
      </c>
      <c r="H72" s="30">
        <f>Loss_modulus_G!G72/1000000</f>
        <v>1.0547902583858201E-2</v>
      </c>
      <c r="I72" s="30">
        <f>Loss_modulus_G!H72/1000000</f>
        <v>1.0642085905190401E-2</v>
      </c>
      <c r="J72" s="30">
        <f>Loss_modulus_G!I72/1000000</f>
        <v>1.1631528701088901E-2</v>
      </c>
      <c r="K72" s="30">
        <f>Loss_modulus_G!J72/1000000</f>
        <v>1.1945932946041E-2</v>
      </c>
      <c r="L72" s="30">
        <f>Loss_modulus_G!K72/1000000</f>
        <v>1.42705313951309E-2</v>
      </c>
      <c r="M72" s="30">
        <f>Loss_modulus_G!L72/1000000</f>
        <v>1.46562588549381E-2</v>
      </c>
      <c r="N72" s="30">
        <f>Loss_modulus_G!M72/1000000</f>
        <v>1.55973271575734E-2</v>
      </c>
      <c r="O72" s="30">
        <f>Loss_modulus_G!N72/1000000</f>
        <v>1.9136091362568001E-2</v>
      </c>
      <c r="P72" s="209">
        <f>Loss_modulus_G!O72/1000000</f>
        <v>2.2258214688228001E-2</v>
      </c>
      <c r="Q72" s="2"/>
    </row>
    <row r="73" spans="1:17" ht="15.75" customHeight="1">
      <c r="A73" s="182">
        <v>15</v>
      </c>
      <c r="B73" s="179">
        <v>1</v>
      </c>
      <c r="C73" s="17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7" ht="15.75" customHeight="1">
      <c r="A74" s="182">
        <v>15</v>
      </c>
      <c r="B74" s="179">
        <v>2</v>
      </c>
      <c r="C74" s="179"/>
    </row>
    <row r="75" spans="1:17" ht="15.75" customHeight="1">
      <c r="A75" s="182">
        <v>15</v>
      </c>
      <c r="B75" s="179">
        <v>3</v>
      </c>
      <c r="C75" s="179"/>
    </row>
    <row r="76" spans="1:17" ht="15.75" customHeight="1">
      <c r="A76" s="182">
        <v>15</v>
      </c>
      <c r="B76" s="179">
        <v>4</v>
      </c>
      <c r="C76" s="179"/>
    </row>
    <row r="77" spans="1:17" ht="15.75" customHeight="1">
      <c r="A77" s="182">
        <v>15</v>
      </c>
      <c r="B77" s="179">
        <v>5</v>
      </c>
      <c r="C77" s="179"/>
    </row>
    <row r="78" spans="1:17" ht="15.75" customHeight="1">
      <c r="A78" s="183">
        <v>15</v>
      </c>
      <c r="B78" s="180">
        <v>6</v>
      </c>
      <c r="C78" s="179"/>
    </row>
    <row r="79" spans="1:17" ht="15.75" customHeight="1">
      <c r="A79" s="182">
        <v>16</v>
      </c>
      <c r="B79" s="179">
        <v>1</v>
      </c>
      <c r="C79" s="179"/>
    </row>
    <row r="80" spans="1:17" ht="15.75" customHeight="1">
      <c r="A80" s="182">
        <v>16</v>
      </c>
      <c r="B80" s="179">
        <v>2</v>
      </c>
      <c r="C80" s="179"/>
    </row>
    <row r="81" spans="1:24" ht="15.75" customHeight="1">
      <c r="A81" s="182">
        <v>16</v>
      </c>
      <c r="B81" s="179">
        <v>3</v>
      </c>
      <c r="C81" s="179"/>
    </row>
    <row r="82" spans="1:24" ht="15.75" customHeight="1">
      <c r="A82" s="201">
        <v>17</v>
      </c>
      <c r="B82" s="58">
        <v>1</v>
      </c>
      <c r="C82" s="59"/>
    </row>
    <row r="83" spans="1:24" ht="15.75" customHeight="1">
      <c r="A83" s="200">
        <v>17</v>
      </c>
      <c r="B83" s="59">
        <v>2</v>
      </c>
      <c r="C83" s="59"/>
    </row>
    <row r="84" spans="1:24" ht="15.75" customHeight="1">
      <c r="A84" s="200">
        <v>17</v>
      </c>
      <c r="B84" s="59">
        <v>3</v>
      </c>
      <c r="C84" s="59"/>
    </row>
    <row r="85" spans="1:24" ht="15.75" customHeight="1">
      <c r="A85" s="200">
        <v>17</v>
      </c>
      <c r="B85" s="59">
        <v>4</v>
      </c>
      <c r="C85" s="59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4" ht="15.75" customHeight="1">
      <c r="A86" s="201">
        <v>18</v>
      </c>
      <c r="B86" s="58">
        <v>1</v>
      </c>
      <c r="C86" s="496" t="s">
        <v>563</v>
      </c>
      <c r="D86" s="206">
        <f>Loss_modulus_G!C86/1000000</f>
        <v>8.0566999999999998E-4</v>
      </c>
      <c r="E86" s="206">
        <f>Loss_modulus_G!D86/1000000</f>
        <v>8.0566999999999998E-4</v>
      </c>
      <c r="F86" s="206">
        <f>Loss_modulus_G!E86/1000000</f>
        <v>8.7367E-4</v>
      </c>
      <c r="G86" s="206">
        <f>Loss_modulus_G!F86/1000000</f>
        <v>9.2840999999999996E-4</v>
      </c>
      <c r="H86" s="206">
        <f>Loss_modulus_G!G86/1000000</f>
        <v>9.2840999999999996E-4</v>
      </c>
      <c r="I86" s="206">
        <f>Loss_modulus_G!H86/1000000</f>
        <v>1.0067799999999999E-3</v>
      </c>
      <c r="J86" s="206">
        <f>Loss_modulus_G!I86/1000000</f>
        <v>1.0484000000000001E-3</v>
      </c>
      <c r="K86" s="206">
        <f>Loss_modulus_G!J86/1000000</f>
        <v>1.0917500000000001E-3</v>
      </c>
      <c r="L86" s="206">
        <f>Loss_modulus_G!K86/1000000</f>
        <v>1.1140899999999999E-3</v>
      </c>
      <c r="M86" s="206">
        <f>Loss_modulus_G!L86/1000000</f>
        <v>1.1839000000000001E-3</v>
      </c>
      <c r="N86" s="206">
        <f>Loss_modulus_G!M86/1000000</f>
        <v>1.28382E-3</v>
      </c>
      <c r="O86" s="206">
        <f>Loss_modulus_G!N86/1000000</f>
        <v>1.50968E-3</v>
      </c>
      <c r="P86" s="206">
        <f>Loss_modulus_G!O86/1000000</f>
        <v>1.47941E-3</v>
      </c>
      <c r="Q86" s="206">
        <f>Loss_modulus_G!P86/1000000</f>
        <v>1.6370999999999998E-3</v>
      </c>
      <c r="R86" s="206">
        <f>Loss_modulus_G!Q86/1000000</f>
        <v>1.73968E-3</v>
      </c>
      <c r="S86" s="206">
        <f>Loss_modulus_G!R86/1000000</f>
        <v>2.0875999999999998E-3</v>
      </c>
      <c r="T86" s="206">
        <f>Loss_modulus_G!S86/1000000</f>
        <v>2.3101300000000001E-3</v>
      </c>
      <c r="U86" s="206">
        <f>Loss_modulus_G!T86/1000000</f>
        <v>2.7165500000000003E-3</v>
      </c>
      <c r="V86" s="206">
        <f>Loss_modulus_G!U86/1000000</f>
        <v>2.8867600000000004E-3</v>
      </c>
      <c r="W86" s="207">
        <f>Loss_modulus_G!V86/1000000</f>
        <v>2.8867600000000004E-3</v>
      </c>
      <c r="X86" s="2"/>
    </row>
    <row r="87" spans="1:24" ht="15.75" customHeight="1">
      <c r="A87" s="200">
        <v>18</v>
      </c>
      <c r="B87" s="59">
        <v>2</v>
      </c>
      <c r="C87" s="496" t="s">
        <v>563</v>
      </c>
      <c r="D87" s="2">
        <f>Loss_modulus_G!C87/1000000</f>
        <v>1.11516E-3</v>
      </c>
      <c r="E87" s="2">
        <f>Loss_modulus_G!D87/1000000</f>
        <v>1.48456E-3</v>
      </c>
      <c r="F87" s="2">
        <f>Loss_modulus_G!E87/1000000</f>
        <v>2.0171300000000002E-3</v>
      </c>
      <c r="G87" s="2">
        <f>Loss_modulus_G!F87/1000000</f>
        <v>2.5777600000000001E-3</v>
      </c>
      <c r="H87" s="2">
        <f>Loss_modulus_G!G87/1000000</f>
        <v>3.4316500000000001E-3</v>
      </c>
      <c r="I87" s="2">
        <f>Loss_modulus_G!H87/1000000</f>
        <v>4.7589899999999994E-3</v>
      </c>
      <c r="J87" s="2">
        <f>Loss_modulus_G!I87/1000000</f>
        <v>6.2072500000000001E-3</v>
      </c>
      <c r="K87" s="2">
        <f>Loss_modulus_G!J87/1000000</f>
        <v>7.9324700000000005E-3</v>
      </c>
      <c r="L87" s="2">
        <f>Loss_modulus_G!K87/1000000</f>
        <v>1.034649E-2</v>
      </c>
      <c r="M87" s="2">
        <f>Loss_modulus_G!L87/1000000</f>
        <v>1.3495139999999999E-2</v>
      </c>
      <c r="N87" s="2">
        <f>Loss_modulus_G!M87/1000000</f>
        <v>1.6897040000000002E-2</v>
      </c>
      <c r="O87" s="2">
        <f>Loss_modulus_G!N87/1000000</f>
        <v>2.1156500000000002E-2</v>
      </c>
      <c r="P87" s="30">
        <f>Loss_modulus_G!O87/1000000</f>
        <v>2.5953810000000001E-2</v>
      </c>
      <c r="Q87" s="30">
        <f>Loss_modulus_G!P87/1000000</f>
        <v>3.0563779999999999E-2</v>
      </c>
      <c r="R87" s="30">
        <f>Loss_modulus_G!Q87/1000000</f>
        <v>3.5264459999999997E-2</v>
      </c>
      <c r="S87" s="30">
        <f>Loss_modulus_G!R87/1000000</f>
        <v>4.1528209999999996E-2</v>
      </c>
      <c r="T87" s="30">
        <f>Loss_modulus_G!S87/1000000</f>
        <v>4.4154039999999999E-2</v>
      </c>
      <c r="U87" s="30"/>
      <c r="V87" s="30"/>
      <c r="W87" s="209"/>
      <c r="X87" s="2"/>
    </row>
    <row r="88" spans="1:24" ht="15.75" customHeight="1">
      <c r="A88" s="201">
        <v>19</v>
      </c>
      <c r="B88" s="58">
        <v>1</v>
      </c>
      <c r="C88" s="496" t="s">
        <v>563</v>
      </c>
      <c r="D88" s="221">
        <v>234.94</v>
      </c>
      <c r="E88" s="221">
        <v>234.1</v>
      </c>
      <c r="F88" s="221">
        <v>243.31</v>
      </c>
      <c r="G88" s="221">
        <v>243.72</v>
      </c>
      <c r="H88" s="221">
        <v>215.69</v>
      </c>
      <c r="I88" s="221">
        <v>165.48</v>
      </c>
      <c r="J88" s="221">
        <v>147.49</v>
      </c>
      <c r="K88" s="221">
        <v>148.33000000000001</v>
      </c>
      <c r="L88" s="221">
        <v>146.22999999999999</v>
      </c>
      <c r="M88" s="221">
        <v>141.63</v>
      </c>
      <c r="N88" s="221">
        <v>132.85</v>
      </c>
      <c r="O88" s="115">
        <v>117.78</v>
      </c>
      <c r="P88" s="2"/>
      <c r="Q88" s="2"/>
      <c r="R88" s="2"/>
      <c r="S88" s="2"/>
      <c r="T88" s="2"/>
      <c r="U88" s="2"/>
      <c r="V88" s="2"/>
      <c r="W88" s="2"/>
    </row>
    <row r="89" spans="1:24" ht="15.75" customHeight="1">
      <c r="A89" s="200">
        <v>19</v>
      </c>
      <c r="B89" s="59">
        <v>2</v>
      </c>
      <c r="C89" s="496" t="s">
        <v>563</v>
      </c>
      <c r="D89" s="239">
        <v>208.16</v>
      </c>
      <c r="E89" s="239">
        <v>209</v>
      </c>
      <c r="F89" s="239">
        <v>219.87</v>
      </c>
      <c r="G89" s="239">
        <v>211.09</v>
      </c>
      <c r="H89" s="239">
        <v>176.78</v>
      </c>
      <c r="I89" s="239">
        <v>126.15</v>
      </c>
      <c r="J89" s="239">
        <v>106.49</v>
      </c>
      <c r="K89" s="239">
        <v>102.72</v>
      </c>
      <c r="L89" s="239">
        <v>98.95</v>
      </c>
      <c r="M89" s="239">
        <v>93.1</v>
      </c>
      <c r="N89" s="239">
        <v>81.38</v>
      </c>
      <c r="O89" s="116">
        <v>66.319999999999993</v>
      </c>
      <c r="P89" s="2"/>
    </row>
    <row r="90" spans="1:24" ht="15.75" customHeight="1">
      <c r="A90" s="200">
        <v>19</v>
      </c>
      <c r="B90" s="59">
        <v>3</v>
      </c>
      <c r="C90" s="496" t="s">
        <v>563</v>
      </c>
      <c r="D90" s="283">
        <v>200.21</v>
      </c>
      <c r="E90" s="283">
        <v>203.97</v>
      </c>
      <c r="F90" s="283">
        <v>211.51</v>
      </c>
      <c r="G90" s="283">
        <v>201.46</v>
      </c>
      <c r="H90" s="283">
        <v>164.64</v>
      </c>
      <c r="I90" s="283">
        <v>114.02</v>
      </c>
      <c r="J90" s="283">
        <v>93.1</v>
      </c>
      <c r="K90" s="283">
        <v>85.15</v>
      </c>
      <c r="L90" s="283">
        <v>80.540000000000006</v>
      </c>
      <c r="M90" s="283">
        <v>74.69</v>
      </c>
      <c r="N90" s="283">
        <v>63.39</v>
      </c>
      <c r="O90" s="117">
        <v>50.84</v>
      </c>
      <c r="P90" s="2"/>
    </row>
    <row r="91" spans="1:24" ht="15.75" customHeight="1">
      <c r="A91" s="200">
        <v>19</v>
      </c>
      <c r="B91" s="59">
        <v>4</v>
      </c>
      <c r="C91" s="496" t="s">
        <v>563</v>
      </c>
      <c r="D91" s="239">
        <v>197.7</v>
      </c>
      <c r="E91" s="239">
        <v>206.07</v>
      </c>
      <c r="F91" s="239">
        <v>215.69</v>
      </c>
      <c r="G91" s="239">
        <v>187.24</v>
      </c>
      <c r="H91" s="239">
        <v>140.38</v>
      </c>
      <c r="I91" s="239">
        <v>79.709999999999994</v>
      </c>
      <c r="J91" s="239">
        <v>66.319999999999993</v>
      </c>
      <c r="K91" s="239">
        <v>58.37</v>
      </c>
      <c r="L91" s="239">
        <v>55.02</v>
      </c>
      <c r="M91" s="239">
        <v>51.67</v>
      </c>
      <c r="N91" s="239"/>
      <c r="O91" s="116"/>
      <c r="P91" s="2"/>
    </row>
    <row r="92" spans="1:24" ht="15.75" customHeight="1">
      <c r="A92" s="202">
        <v>19</v>
      </c>
      <c r="B92" s="203">
        <v>5</v>
      </c>
      <c r="C92" s="496" t="s">
        <v>563</v>
      </c>
      <c r="D92" s="284">
        <v>170.5</v>
      </c>
      <c r="E92" s="284">
        <v>162.97</v>
      </c>
      <c r="F92" s="284">
        <v>166.74</v>
      </c>
      <c r="G92" s="284">
        <v>149.58000000000001</v>
      </c>
      <c r="H92" s="284">
        <v>110.67</v>
      </c>
      <c r="I92" s="284">
        <v>73.010000000000005</v>
      </c>
      <c r="J92" s="284">
        <v>54.18</v>
      </c>
      <c r="K92" s="284"/>
      <c r="L92" s="284"/>
      <c r="M92" s="284"/>
      <c r="N92" s="284"/>
      <c r="O92" s="133"/>
      <c r="P92" s="2"/>
    </row>
    <row r="93" spans="1:24" ht="15.75" customHeight="1">
      <c r="A93" s="200">
        <v>20</v>
      </c>
      <c r="B93" s="59" t="s">
        <v>220</v>
      </c>
      <c r="C93" s="59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24" ht="15.75" customHeight="1">
      <c r="A94" s="200">
        <v>20</v>
      </c>
      <c r="B94" s="59" t="s">
        <v>221</v>
      </c>
      <c r="C94" s="59"/>
    </row>
    <row r="95" spans="1:24" ht="15.75" customHeight="1">
      <c r="A95" s="200">
        <v>20</v>
      </c>
      <c r="B95" s="59" t="s">
        <v>222</v>
      </c>
      <c r="C95" s="59"/>
    </row>
    <row r="96" spans="1:24" ht="15.75" customHeight="1">
      <c r="A96" s="200">
        <v>20</v>
      </c>
      <c r="B96" s="59" t="s">
        <v>223</v>
      </c>
      <c r="C96" s="59"/>
    </row>
    <row r="97" spans="1:11" ht="15.75" customHeight="1">
      <c r="A97" s="200">
        <v>20</v>
      </c>
      <c r="B97" s="59" t="s">
        <v>224</v>
      </c>
      <c r="C97" s="59"/>
    </row>
    <row r="98" spans="1:11" ht="15.75" customHeight="1">
      <c r="A98" s="200">
        <v>20</v>
      </c>
      <c r="B98" s="59" t="s">
        <v>225</v>
      </c>
      <c r="C98" s="59"/>
    </row>
    <row r="99" spans="1:11" ht="15.75" customHeight="1">
      <c r="A99" s="200">
        <v>20</v>
      </c>
      <c r="B99" s="59" t="s">
        <v>226</v>
      </c>
      <c r="C99" s="59"/>
    </row>
    <row r="100" spans="1:11" ht="15.75" customHeight="1">
      <c r="A100" s="200">
        <v>20</v>
      </c>
      <c r="B100" s="59" t="s">
        <v>227</v>
      </c>
      <c r="C100" s="59"/>
    </row>
    <row r="101" spans="1:11" ht="15.75" customHeight="1">
      <c r="A101" s="200">
        <v>20</v>
      </c>
      <c r="B101" s="59" t="s">
        <v>230</v>
      </c>
      <c r="C101" s="59"/>
    </row>
    <row r="102" spans="1:11" ht="15.75" customHeight="1">
      <c r="A102" s="200">
        <v>20</v>
      </c>
      <c r="B102" s="59" t="s">
        <v>231</v>
      </c>
      <c r="C102" s="59"/>
    </row>
    <row r="103" spans="1:11" ht="15.75" customHeight="1">
      <c r="A103" s="200">
        <v>20</v>
      </c>
      <c r="B103" s="59" t="s">
        <v>232</v>
      </c>
      <c r="C103" s="59"/>
    </row>
    <row r="104" spans="1:11" ht="15.75" customHeight="1">
      <c r="A104" s="200">
        <v>20</v>
      </c>
      <c r="B104" s="59" t="s">
        <v>233</v>
      </c>
      <c r="C104" s="59"/>
    </row>
    <row r="105" spans="1:11" ht="15.75" customHeight="1">
      <c r="A105" s="200">
        <v>20</v>
      </c>
      <c r="B105" s="59" t="s">
        <v>234</v>
      </c>
      <c r="C105" s="59"/>
    </row>
    <row r="106" spans="1:11" ht="15.75" customHeight="1">
      <c r="A106" s="200">
        <v>20</v>
      </c>
      <c r="B106" s="59" t="s">
        <v>235</v>
      </c>
      <c r="C106" s="59"/>
    </row>
    <row r="107" spans="1:11" ht="15.75" customHeight="1">
      <c r="A107" s="200">
        <v>20</v>
      </c>
      <c r="B107" s="59" t="s">
        <v>236</v>
      </c>
      <c r="C107" s="59"/>
    </row>
    <row r="108" spans="1:11" ht="15.75" customHeight="1">
      <c r="A108" s="200">
        <v>20</v>
      </c>
      <c r="B108" s="59" t="s">
        <v>237</v>
      </c>
      <c r="C108" s="59"/>
    </row>
    <row r="109" spans="1:11" ht="15.75" customHeight="1">
      <c r="A109" s="200">
        <v>20</v>
      </c>
      <c r="B109" s="59" t="s">
        <v>238</v>
      </c>
      <c r="C109" s="59"/>
    </row>
    <row r="110" spans="1:11" ht="15.75" customHeight="1">
      <c r="A110" s="200">
        <v>20</v>
      </c>
      <c r="B110" s="59" t="s">
        <v>239</v>
      </c>
      <c r="C110" s="59"/>
    </row>
    <row r="111" spans="1:11" ht="15.75" customHeight="1">
      <c r="A111" s="200">
        <v>20</v>
      </c>
      <c r="B111" s="59" t="s">
        <v>240</v>
      </c>
      <c r="C111" s="59"/>
    </row>
    <row r="112" spans="1:11" ht="15.75" customHeight="1">
      <c r="A112" s="200">
        <v>20</v>
      </c>
      <c r="B112" s="59" t="s">
        <v>241</v>
      </c>
      <c r="C112" s="59"/>
      <c r="D112" s="2"/>
      <c r="E112" s="2"/>
      <c r="F112" s="2"/>
      <c r="G112" s="2"/>
      <c r="H112" s="2"/>
      <c r="I112" s="2"/>
      <c r="J112" s="2"/>
      <c r="K112" s="2"/>
    </row>
    <row r="113" spans="1:12" ht="15.75" customHeight="1">
      <c r="A113" s="201">
        <v>21</v>
      </c>
      <c r="B113" s="58" t="s">
        <v>220</v>
      </c>
      <c r="C113" s="496" t="s">
        <v>563</v>
      </c>
      <c r="D113" s="2">
        <v>57.31</v>
      </c>
      <c r="E113" s="2">
        <v>53.72</v>
      </c>
      <c r="F113" s="2">
        <v>68.77</v>
      </c>
      <c r="G113" s="2">
        <v>113.9</v>
      </c>
      <c r="H113" s="2">
        <v>108.88</v>
      </c>
      <c r="I113" s="2">
        <v>59.46</v>
      </c>
      <c r="J113" s="2">
        <v>57.31</v>
      </c>
      <c r="K113" s="2">
        <v>80.95</v>
      </c>
      <c r="L113" s="2"/>
    </row>
    <row r="114" spans="1:12" ht="15.75" customHeight="1">
      <c r="A114" s="200">
        <v>21</v>
      </c>
      <c r="B114" s="59" t="s">
        <v>221</v>
      </c>
      <c r="C114" s="496" t="s">
        <v>563</v>
      </c>
      <c r="D114" s="8">
        <v>76.650000000000006</v>
      </c>
      <c r="E114" s="8">
        <v>74.5</v>
      </c>
      <c r="F114" s="8">
        <v>89.54</v>
      </c>
      <c r="G114" s="8">
        <v>105.3</v>
      </c>
      <c r="H114" s="8">
        <v>95.99</v>
      </c>
      <c r="I114" s="8">
        <v>52.29</v>
      </c>
      <c r="J114" s="8">
        <v>51.58</v>
      </c>
      <c r="K114" s="8">
        <v>66.62</v>
      </c>
      <c r="L114" s="2"/>
    </row>
    <row r="115" spans="1:12" ht="15.75" customHeight="1">
      <c r="A115" s="200">
        <v>21</v>
      </c>
      <c r="B115" s="59" t="s">
        <v>222</v>
      </c>
      <c r="C115" s="496" t="s">
        <v>563</v>
      </c>
      <c r="D115" s="8">
        <v>83.09</v>
      </c>
      <c r="E115" s="8">
        <v>88.83</v>
      </c>
      <c r="F115" s="8">
        <v>84.53</v>
      </c>
      <c r="G115" s="8">
        <v>85.96</v>
      </c>
      <c r="H115" s="8">
        <v>68.77</v>
      </c>
      <c r="I115" s="8">
        <v>43.7</v>
      </c>
      <c r="J115" s="8">
        <v>44.41</v>
      </c>
      <c r="K115" s="8">
        <v>53.72</v>
      </c>
      <c r="L115" s="2"/>
    </row>
    <row r="116" spans="1:12" ht="15.75" customHeight="1">
      <c r="A116" s="200">
        <v>21</v>
      </c>
      <c r="B116" s="59" t="s">
        <v>223</v>
      </c>
      <c r="C116" s="496" t="s">
        <v>563</v>
      </c>
      <c r="D116" s="8">
        <v>121.06</v>
      </c>
      <c r="E116" s="8">
        <v>135.38999999999999</v>
      </c>
      <c r="F116" s="8">
        <v>115.33</v>
      </c>
      <c r="G116" s="8">
        <v>81.66</v>
      </c>
      <c r="H116" s="8">
        <v>53.01</v>
      </c>
      <c r="I116" s="8">
        <v>34.380000000000003</v>
      </c>
      <c r="J116" s="8">
        <v>37.25</v>
      </c>
      <c r="K116" s="8">
        <v>45.85</v>
      </c>
      <c r="L116" s="2"/>
    </row>
    <row r="117" spans="1:12" ht="15.75" customHeight="1">
      <c r="A117" s="200">
        <v>21</v>
      </c>
      <c r="B117" s="59" t="s">
        <v>228</v>
      </c>
      <c r="C117" s="496" t="s">
        <v>563</v>
      </c>
      <c r="D117" s="8">
        <v>51.49</v>
      </c>
      <c r="E117" s="8">
        <v>52.24</v>
      </c>
      <c r="F117" s="8">
        <v>64.180000000000007</v>
      </c>
      <c r="G117" s="8">
        <v>84.33</v>
      </c>
      <c r="H117" s="8">
        <v>97.01</v>
      </c>
      <c r="I117" s="8">
        <v>49.25</v>
      </c>
      <c r="J117" s="8">
        <v>47.01</v>
      </c>
      <c r="K117" s="8">
        <v>63.43</v>
      </c>
      <c r="L117" s="2"/>
    </row>
    <row r="118" spans="1:12" ht="15.75" customHeight="1">
      <c r="A118" s="200">
        <v>21</v>
      </c>
      <c r="B118" s="59" t="s">
        <v>242</v>
      </c>
      <c r="C118" s="496" t="s">
        <v>563</v>
      </c>
      <c r="D118" s="8">
        <v>75.37</v>
      </c>
      <c r="E118" s="8">
        <v>85.07</v>
      </c>
      <c r="F118" s="8">
        <v>102.99</v>
      </c>
      <c r="G118" s="8">
        <v>118.66</v>
      </c>
      <c r="H118" s="8">
        <v>108.21</v>
      </c>
      <c r="I118" s="8">
        <v>61.19</v>
      </c>
      <c r="J118" s="8">
        <v>62.69</v>
      </c>
      <c r="K118" s="8">
        <v>77.61</v>
      </c>
      <c r="L118" s="2"/>
    </row>
    <row r="119" spans="1:12" ht="15.75" customHeight="1">
      <c r="A119" s="200">
        <v>21</v>
      </c>
      <c r="B119" s="59" t="s">
        <v>243</v>
      </c>
      <c r="C119" s="496" t="s">
        <v>563</v>
      </c>
      <c r="D119" s="8">
        <v>81.34</v>
      </c>
      <c r="E119" s="8">
        <v>98.51</v>
      </c>
      <c r="F119" s="8">
        <v>93.28</v>
      </c>
      <c r="G119" s="8">
        <v>89.55</v>
      </c>
      <c r="H119" s="8">
        <v>64.930000000000007</v>
      </c>
      <c r="I119" s="8">
        <v>42.54</v>
      </c>
      <c r="J119" s="8">
        <v>42.54</v>
      </c>
      <c r="K119" s="8">
        <v>57.46</v>
      </c>
      <c r="L119" s="2"/>
    </row>
    <row r="120" spans="1:12" ht="15.75" customHeight="1">
      <c r="A120" s="202">
        <v>21</v>
      </c>
      <c r="B120" s="203" t="s">
        <v>244</v>
      </c>
      <c r="C120" s="496" t="s">
        <v>563</v>
      </c>
      <c r="D120" s="8">
        <v>115.67</v>
      </c>
      <c r="E120" s="8">
        <v>125.37</v>
      </c>
      <c r="F120" s="8">
        <v>97.76</v>
      </c>
      <c r="G120" s="8">
        <v>72.39</v>
      </c>
      <c r="H120" s="8">
        <v>40.299999999999997</v>
      </c>
      <c r="I120" s="8">
        <v>28.36</v>
      </c>
      <c r="J120" s="8">
        <v>35.82</v>
      </c>
      <c r="K120" s="8">
        <v>43.28</v>
      </c>
      <c r="L120" s="2"/>
    </row>
    <row r="121" spans="1:12" ht="15.75" customHeight="1">
      <c r="A121" s="200">
        <v>21</v>
      </c>
      <c r="B121" s="59" t="s">
        <v>224</v>
      </c>
      <c r="C121" s="59"/>
      <c r="D121" s="2"/>
      <c r="E121" s="2"/>
      <c r="F121" s="2"/>
      <c r="G121" s="2"/>
      <c r="H121" s="2"/>
      <c r="I121" s="2"/>
      <c r="J121" s="2"/>
      <c r="K121" s="2"/>
    </row>
    <row r="122" spans="1:12" ht="15.75" customHeight="1">
      <c r="A122" s="200">
        <v>21</v>
      </c>
      <c r="B122" s="59" t="s">
        <v>225</v>
      </c>
      <c r="C122" s="59"/>
    </row>
    <row r="123" spans="1:12" ht="15.75" customHeight="1">
      <c r="A123" s="200">
        <v>21</v>
      </c>
      <c r="B123" s="59" t="s">
        <v>226</v>
      </c>
      <c r="C123" s="59"/>
    </row>
    <row r="124" spans="1:12" ht="15.75" customHeight="1">
      <c r="A124" s="200">
        <v>21</v>
      </c>
      <c r="B124" s="59" t="s">
        <v>227</v>
      </c>
      <c r="C124" s="59"/>
    </row>
    <row r="125" spans="1:12" ht="15.75" customHeight="1">
      <c r="A125" s="200">
        <v>21</v>
      </c>
      <c r="B125" s="59" t="s">
        <v>229</v>
      </c>
      <c r="C125" s="59"/>
    </row>
    <row r="126" spans="1:12" ht="15.75" customHeight="1">
      <c r="A126" s="200">
        <v>21</v>
      </c>
      <c r="B126" s="59" t="s">
        <v>245</v>
      </c>
      <c r="C126" s="59"/>
    </row>
    <row r="127" spans="1:12" ht="15.75" customHeight="1">
      <c r="A127" s="200">
        <v>21</v>
      </c>
      <c r="B127" s="59" t="s">
        <v>246</v>
      </c>
      <c r="C127" s="59"/>
    </row>
    <row r="128" spans="1:12" ht="15.75" customHeight="1">
      <c r="A128" s="200">
        <v>21</v>
      </c>
      <c r="B128" s="59" t="s">
        <v>247</v>
      </c>
      <c r="C128" s="59"/>
    </row>
    <row r="129" spans="1:37" ht="15.75" customHeight="1">
      <c r="A129" s="201">
        <v>22</v>
      </c>
      <c r="B129" s="58">
        <v>1</v>
      </c>
      <c r="C129" s="59"/>
    </row>
    <row r="130" spans="1:37" ht="15.75" customHeight="1">
      <c r="A130" s="200">
        <v>22</v>
      </c>
      <c r="B130" s="59">
        <v>2</v>
      </c>
      <c r="C130" s="59"/>
    </row>
    <row r="131" spans="1:37" ht="15.75" customHeight="1">
      <c r="A131" s="200">
        <v>22</v>
      </c>
      <c r="B131" s="59">
        <v>3</v>
      </c>
      <c r="C131" s="59"/>
    </row>
    <row r="132" spans="1:37" ht="15.75" customHeight="1">
      <c r="A132" s="200">
        <v>22</v>
      </c>
      <c r="B132" s="59">
        <v>4</v>
      </c>
      <c r="C132" s="59"/>
    </row>
    <row r="133" spans="1:37" ht="15.75" customHeight="1">
      <c r="A133" s="200">
        <v>22</v>
      </c>
      <c r="B133" s="59">
        <v>5</v>
      </c>
      <c r="C133" s="59"/>
    </row>
    <row r="134" spans="1:37" ht="15.75" customHeight="1">
      <c r="A134" s="200">
        <v>22</v>
      </c>
      <c r="B134" s="59">
        <v>6</v>
      </c>
      <c r="C134" s="59"/>
    </row>
    <row r="135" spans="1:37" ht="15.75" customHeight="1">
      <c r="A135" s="200">
        <v>22</v>
      </c>
      <c r="B135" s="59">
        <v>7</v>
      </c>
      <c r="C135" s="59"/>
    </row>
    <row r="136" spans="1:37" ht="15.75" customHeight="1">
      <c r="A136" s="200">
        <v>22</v>
      </c>
      <c r="B136" s="59">
        <v>8</v>
      </c>
      <c r="C136" s="59"/>
      <c r="D136" s="2"/>
      <c r="E136" s="2"/>
      <c r="F136" s="2"/>
      <c r="G136" s="2"/>
      <c r="H136" s="2"/>
      <c r="I136" s="2"/>
      <c r="J136" s="2"/>
    </row>
    <row r="137" spans="1:37" ht="15.75" customHeight="1">
      <c r="A137" s="201">
        <v>23</v>
      </c>
      <c r="B137" s="58">
        <v>1</v>
      </c>
      <c r="C137" s="496" t="s">
        <v>563</v>
      </c>
      <c r="D137" s="127">
        <f>Loss_modulus_G!C137*1000</f>
        <v>90</v>
      </c>
      <c r="E137" s="206">
        <f>Loss_modulus_G!D137*1000</f>
        <v>110</v>
      </c>
      <c r="F137" s="206">
        <f>Loss_modulus_G!E137*1000</f>
        <v>140</v>
      </c>
      <c r="G137" s="206">
        <f>Loss_modulus_G!F137*1000</f>
        <v>120</v>
      </c>
      <c r="H137" s="206">
        <f>Loss_modulus_G!G137*1000</f>
        <v>100</v>
      </c>
      <c r="I137" s="206">
        <f>Loss_modulus_G!H137*1000</f>
        <v>100</v>
      </c>
      <c r="J137" s="207">
        <f>Loss_modulus_G!I137*1000</f>
        <v>110</v>
      </c>
      <c r="K137" s="2"/>
    </row>
    <row r="138" spans="1:37" ht="15.75" customHeight="1">
      <c r="A138" s="200">
        <v>23</v>
      </c>
      <c r="B138" s="59">
        <v>2</v>
      </c>
      <c r="C138" s="496" t="s">
        <v>563</v>
      </c>
      <c r="D138" s="48">
        <f>Loss_modulus_G!C138*1000</f>
        <v>100</v>
      </c>
      <c r="E138" s="2">
        <f>Loss_modulus_G!D138*1000</f>
        <v>140</v>
      </c>
      <c r="F138" s="2">
        <f>Loss_modulus_G!E138*1000</f>
        <v>190</v>
      </c>
      <c r="G138" s="2">
        <f>Loss_modulus_G!F138*1000</f>
        <v>110</v>
      </c>
      <c r="H138" s="2">
        <f>Loss_modulus_G!G138*1000</f>
        <v>100</v>
      </c>
      <c r="I138" s="2">
        <f>Loss_modulus_G!H138*1000</f>
        <v>110</v>
      </c>
      <c r="J138" s="208">
        <f>Loss_modulus_G!I138*1000</f>
        <v>130</v>
      </c>
      <c r="K138" s="2"/>
    </row>
    <row r="139" spans="1:37" ht="15.75" customHeight="1">
      <c r="A139" s="200">
        <v>23</v>
      </c>
      <c r="B139" s="59">
        <v>3</v>
      </c>
      <c r="C139" s="496" t="s">
        <v>563</v>
      </c>
      <c r="D139" s="48">
        <f>Loss_modulus_G!C139*1000</f>
        <v>140</v>
      </c>
      <c r="E139" s="2">
        <f>Loss_modulus_G!D139*1000</f>
        <v>190</v>
      </c>
      <c r="F139" s="2">
        <f>Loss_modulus_G!E139*1000</f>
        <v>300</v>
      </c>
      <c r="G139" s="2">
        <f>Loss_modulus_G!F139*1000</f>
        <v>150</v>
      </c>
      <c r="H139" s="2">
        <f>Loss_modulus_G!G139*1000</f>
        <v>120</v>
      </c>
      <c r="I139" s="2">
        <f>Loss_modulus_G!H139*1000</f>
        <v>130</v>
      </c>
      <c r="J139" s="208">
        <f>Loss_modulus_G!I139*1000</f>
        <v>150</v>
      </c>
      <c r="K139" s="2"/>
    </row>
    <row r="140" spans="1:37" ht="15.75" customHeight="1">
      <c r="A140" s="200">
        <v>23</v>
      </c>
      <c r="B140" s="59">
        <v>4</v>
      </c>
      <c r="C140" s="496" t="s">
        <v>563</v>
      </c>
      <c r="D140" s="48">
        <f>Loss_modulus_G!C140*1000</f>
        <v>160</v>
      </c>
      <c r="E140" s="2">
        <f>Loss_modulus_G!D140*1000</f>
        <v>200</v>
      </c>
      <c r="F140" s="2">
        <f>Loss_modulus_G!E140*1000</f>
        <v>320</v>
      </c>
      <c r="G140" s="2">
        <f>Loss_modulus_G!F140*1000</f>
        <v>180</v>
      </c>
      <c r="H140" s="2">
        <f>Loss_modulus_G!G140*1000</f>
        <v>150</v>
      </c>
      <c r="I140" s="2">
        <f>Loss_modulus_G!H140*1000</f>
        <v>150</v>
      </c>
      <c r="J140" s="208">
        <f>Loss_modulus_G!I140*1000</f>
        <v>180</v>
      </c>
      <c r="K140" s="2"/>
    </row>
    <row r="141" spans="1:37" ht="15.75" customHeight="1">
      <c r="A141" s="202">
        <v>23</v>
      </c>
      <c r="B141" s="203">
        <v>5</v>
      </c>
      <c r="C141" s="496" t="s">
        <v>563</v>
      </c>
      <c r="D141" s="128">
        <f>Loss_modulus_G!C141*1000</f>
        <v>120</v>
      </c>
      <c r="E141" s="30">
        <f>Loss_modulus_G!D141*1000</f>
        <v>150</v>
      </c>
      <c r="F141" s="30">
        <f>Loss_modulus_G!E141*1000</f>
        <v>220</v>
      </c>
      <c r="G141" s="30">
        <f>Loss_modulus_G!F141*1000</f>
        <v>140</v>
      </c>
      <c r="H141" s="30">
        <f>Loss_modulus_G!G141*1000</f>
        <v>110</v>
      </c>
      <c r="I141" s="30">
        <f>Loss_modulus_G!H141*1000</f>
        <v>120</v>
      </c>
      <c r="J141" s="209">
        <f>Loss_modulus_G!I141*1000</f>
        <v>130</v>
      </c>
      <c r="K141" s="2"/>
    </row>
    <row r="142" spans="1:37" ht="15.75" customHeight="1">
      <c r="A142" s="210">
        <v>24</v>
      </c>
      <c r="B142" s="211">
        <v>1</v>
      </c>
      <c r="C142" s="497" t="s">
        <v>564</v>
      </c>
      <c r="D142" s="2">
        <v>1.8282778481401564E-5</v>
      </c>
      <c r="E142" s="2">
        <v>2.0374503062406211E-5</v>
      </c>
      <c r="F142" s="2">
        <v>2.3650195564730536E-5</v>
      </c>
      <c r="G142" s="2">
        <v>2.8338154178598157E-5</v>
      </c>
      <c r="H142" s="2">
        <v>3.2452653342985683E-5</v>
      </c>
      <c r="I142" s="2">
        <v>3.737405751801643E-5</v>
      </c>
      <c r="J142" s="2">
        <v>4.5860106413417755E-5</v>
      </c>
      <c r="K142">
        <v>5.2321849563638327E-5</v>
      </c>
      <c r="L142">
        <v>6.0974557112290703E-5</v>
      </c>
      <c r="M142">
        <v>8.0030777781113702E-5</v>
      </c>
      <c r="N142">
        <v>9.4381109465824768E-5</v>
      </c>
      <c r="O142">
        <v>1.1509877975026494E-4</v>
      </c>
      <c r="P142">
        <v>1.4042092288544465E-4</v>
      </c>
      <c r="Q142">
        <v>1.7610172545719135E-4</v>
      </c>
      <c r="R142">
        <v>2.1128942556524215E-4</v>
      </c>
      <c r="S142">
        <v>2.528946572898684E-4</v>
      </c>
      <c r="T142">
        <v>3.0142581480032527E-4</v>
      </c>
      <c r="U142">
        <v>3.7249304342799482E-4</v>
      </c>
      <c r="V142">
        <v>4.2092409601333111E-4</v>
      </c>
      <c r="W142">
        <v>4.948237536830664E-4</v>
      </c>
      <c r="X142">
        <v>6.0984986766150892E-4</v>
      </c>
      <c r="Y142">
        <v>7.1580356253933249E-4</v>
      </c>
      <c r="Z142">
        <v>8.3874757488942397E-4</v>
      </c>
      <c r="AA142">
        <v>9.500597494100883E-4</v>
      </c>
      <c r="AB142">
        <v>1.1133374273141273E-3</v>
      </c>
      <c r="AC142">
        <v>1.3526283595312349E-3</v>
      </c>
      <c r="AD142">
        <v>1.4469305594887959E-3</v>
      </c>
      <c r="AE142">
        <v>1.6599954219937625E-3</v>
      </c>
      <c r="AF142">
        <v>1.8718295227033895E-3</v>
      </c>
      <c r="AG142">
        <v>1.9667693686701957E-3</v>
      </c>
      <c r="AH142">
        <v>2.2165931568693996E-3</v>
      </c>
      <c r="AI142">
        <v>2.1545261164599605E-3</v>
      </c>
      <c r="AJ142">
        <v>2.1899545712082912E-3</v>
      </c>
      <c r="AK142">
        <v>1.9565509489844215E-3</v>
      </c>
    </row>
    <row r="143" spans="1:37" ht="15.75" customHeight="1">
      <c r="A143" s="210">
        <v>24</v>
      </c>
      <c r="B143" s="211">
        <v>2</v>
      </c>
      <c r="C143" s="497" t="s">
        <v>564</v>
      </c>
      <c r="D143">
        <v>1.6517460412847975E-4</v>
      </c>
      <c r="E143">
        <v>1.7090348825509675E-4</v>
      </c>
      <c r="F143">
        <v>1.7102740410823055E-4</v>
      </c>
      <c r="G143">
        <v>1.8341352952192487E-4</v>
      </c>
      <c r="H143">
        <v>1.6500770541308062E-4</v>
      </c>
      <c r="I143">
        <v>1.8658134552671659E-4</v>
      </c>
      <c r="J143">
        <v>1.902037822547175E-4</v>
      </c>
      <c r="K143">
        <v>2.0917420060571521E-4</v>
      </c>
      <c r="L143">
        <v>2.1397863068297265E-4</v>
      </c>
      <c r="M143">
        <v>2.4213853699948303E-4</v>
      </c>
      <c r="N143">
        <v>2.3283047301940523E-4</v>
      </c>
      <c r="O143">
        <v>2.2708177734023484E-4</v>
      </c>
      <c r="P143">
        <v>2.4322536763717717E-4</v>
      </c>
      <c r="Q143">
        <v>2.7834906027146924E-4</v>
      </c>
      <c r="R143">
        <v>3.1595975923096601E-4</v>
      </c>
      <c r="S143">
        <v>3.6463932100770478E-4</v>
      </c>
      <c r="T143">
        <v>4.1886014504724609E-4</v>
      </c>
      <c r="U143">
        <v>4.8091136537022078E-4</v>
      </c>
      <c r="V143">
        <v>5.3325026553767418E-4</v>
      </c>
      <c r="W143">
        <v>6.0428422189314184E-4</v>
      </c>
      <c r="X143">
        <v>7.7330531711349308E-4</v>
      </c>
      <c r="Y143">
        <v>8.7520292908308418E-4</v>
      </c>
      <c r="Z143">
        <v>1.0448839512007494E-3</v>
      </c>
      <c r="AA143">
        <v>1.1393218442582412E-3</v>
      </c>
      <c r="AB143">
        <v>1.412803093428451E-3</v>
      </c>
      <c r="AC143">
        <v>1.7179176449183355E-3</v>
      </c>
      <c r="AD143">
        <v>2.0549399676744232E-3</v>
      </c>
      <c r="AE143">
        <v>2.4466583463164607E-3</v>
      </c>
      <c r="AF143">
        <v>2.8668958298194509E-3</v>
      </c>
      <c r="AG143">
        <v>3.3075182487973306E-3</v>
      </c>
      <c r="AH143">
        <v>3.8734759062151137E-3</v>
      </c>
      <c r="AI143">
        <v>4.7199492773015083E-3</v>
      </c>
      <c r="AJ143">
        <v>5.9247245289870886E-3</v>
      </c>
      <c r="AK143">
        <v>6.8494811784500119E-3</v>
      </c>
    </row>
    <row r="144" spans="1:37" ht="15.75" customHeight="1">
      <c r="A144" s="210">
        <v>24</v>
      </c>
      <c r="B144" s="211">
        <v>3</v>
      </c>
      <c r="C144" s="497" t="s">
        <v>564</v>
      </c>
      <c r="D144">
        <v>2.4072342521865212E-4</v>
      </c>
      <c r="E144">
        <v>2.409756319577563E-4</v>
      </c>
      <c r="F144">
        <v>2.316025364331099E-4</v>
      </c>
      <c r="G144">
        <v>2.4594675495553914E-4</v>
      </c>
      <c r="H144">
        <v>2.4170462350068937E-4</v>
      </c>
      <c r="I144">
        <v>2.329216272984542E-4</v>
      </c>
      <c r="J144">
        <v>2.5944669396429009E-4</v>
      </c>
      <c r="K144">
        <v>2.5580570154122838E-4</v>
      </c>
      <c r="L144">
        <v>2.7579147395088202E-4</v>
      </c>
      <c r="M144">
        <v>2.9607556576151302E-4</v>
      </c>
      <c r="N144">
        <v>3.256859759857031E-4</v>
      </c>
      <c r="O144">
        <v>3.4382656965394629E-4</v>
      </c>
      <c r="P144">
        <v>3.7109401212070237E-4</v>
      </c>
      <c r="Q144">
        <v>4.1811934817900977E-4</v>
      </c>
      <c r="R144">
        <v>4.4780093765003443E-4</v>
      </c>
      <c r="S144">
        <v>5.0914773434656473E-4</v>
      </c>
      <c r="T144">
        <v>5.7599306956556339E-4</v>
      </c>
      <c r="U144">
        <v>6.4980258637239194E-4</v>
      </c>
      <c r="V144">
        <v>7.5044363667409436E-4</v>
      </c>
      <c r="W144">
        <v>8.5120179566937012E-4</v>
      </c>
      <c r="X144">
        <v>9.9499200566687982E-4</v>
      </c>
      <c r="Y144">
        <v>1.1705466355694206E-3</v>
      </c>
      <c r="Z144">
        <v>1.3725349385942823E-3</v>
      </c>
      <c r="AA144">
        <v>1.5550539517298297E-3</v>
      </c>
      <c r="AB144">
        <v>1.8590699993088614E-3</v>
      </c>
      <c r="AC144">
        <v>2.2628850414039507E-3</v>
      </c>
      <c r="AD144">
        <v>2.6076054012975202E-3</v>
      </c>
      <c r="AE144">
        <v>3.1057356619651729E-3</v>
      </c>
      <c r="AF144">
        <v>3.7778567948284964E-3</v>
      </c>
      <c r="AG144">
        <v>4.3625679024880569E-3</v>
      </c>
      <c r="AH144">
        <v>5.4055962617598667E-3</v>
      </c>
      <c r="AI144">
        <v>6.2315935426632699E-3</v>
      </c>
      <c r="AJ144">
        <v>7.9695876291386719E-3</v>
      </c>
      <c r="AK144">
        <v>9.2070606633624392E-3</v>
      </c>
    </row>
    <row r="145" spans="1:37" ht="15.75" customHeight="1">
      <c r="A145" s="210">
        <v>24</v>
      </c>
      <c r="B145" s="211">
        <v>4</v>
      </c>
      <c r="C145" s="497" t="s">
        <v>564</v>
      </c>
      <c r="D145">
        <v>7.8633300884548918E-4</v>
      </c>
      <c r="E145">
        <v>7.2404937352354634E-4</v>
      </c>
      <c r="F145">
        <v>8.1844992317932927E-4</v>
      </c>
      <c r="G145">
        <v>8.6397111072590864E-4</v>
      </c>
      <c r="H145">
        <v>8.8264500136598528E-4</v>
      </c>
      <c r="I145">
        <v>8.9356057097067585E-4</v>
      </c>
      <c r="J145">
        <v>9.1219224862977761E-4</v>
      </c>
      <c r="K145">
        <v>9.1628270079629896E-4</v>
      </c>
      <c r="L145">
        <v>9.3519316617853888E-4</v>
      </c>
      <c r="M145">
        <v>1.0447044557822514E-3</v>
      </c>
      <c r="N145">
        <v>1.1228171557135381E-3</v>
      </c>
      <c r="O145">
        <v>1.2780243359185302E-3</v>
      </c>
      <c r="P145">
        <v>1.3956807010430429E-3</v>
      </c>
      <c r="Q145">
        <v>1.5719932527317793E-3</v>
      </c>
      <c r="R145">
        <v>1.7864036043526142E-3</v>
      </c>
      <c r="S145">
        <v>2.0265849803285923E-3</v>
      </c>
      <c r="T145">
        <v>2.328576622182753E-3</v>
      </c>
      <c r="U145">
        <v>2.77787430220596E-3</v>
      </c>
      <c r="V145">
        <v>3.2043987058451013E-3</v>
      </c>
      <c r="W145">
        <v>3.7689419581147291E-3</v>
      </c>
      <c r="X145">
        <v>4.5613891712820353E-3</v>
      </c>
      <c r="Y145">
        <v>5.2594796965887234E-3</v>
      </c>
      <c r="Z145">
        <v>6.2855049530249349E-3</v>
      </c>
      <c r="AA145">
        <v>7.1234565201225156E-3</v>
      </c>
      <c r="AB145">
        <v>8.505517994233467E-3</v>
      </c>
      <c r="AC145">
        <v>1.0152130165194461E-2</v>
      </c>
      <c r="AD145">
        <v>1.1702794273537657E-2</v>
      </c>
      <c r="AE145">
        <v>1.4200697973080626E-2</v>
      </c>
      <c r="AF145">
        <v>1.6638910016053769E-2</v>
      </c>
      <c r="AG145">
        <v>1.9942087001023803E-2</v>
      </c>
      <c r="AH145">
        <v>2.3800563643625667E-2</v>
      </c>
      <c r="AI145">
        <v>2.6908571283276141E-2</v>
      </c>
      <c r="AJ145">
        <v>3.140542492215162E-2</v>
      </c>
      <c r="AK145">
        <v>3.5672763023154974E-2</v>
      </c>
    </row>
    <row r="146" spans="1:37" ht="15.75" customHeight="1">
      <c r="A146" s="210">
        <v>24</v>
      </c>
      <c r="B146" s="211">
        <v>5</v>
      </c>
      <c r="C146" s="497" t="s">
        <v>564</v>
      </c>
      <c r="D146">
        <v>4.8283193123773421E-3</v>
      </c>
      <c r="E146">
        <v>4.8029483672191852E-3</v>
      </c>
      <c r="F146">
        <v>4.9951964915246581E-3</v>
      </c>
      <c r="G146">
        <v>4.973445601976963E-3</v>
      </c>
      <c r="H146">
        <v>5.0152411190429553E-3</v>
      </c>
      <c r="I146">
        <v>4.7885263526475453E-3</v>
      </c>
      <c r="J146">
        <v>5.0696656315544122E-3</v>
      </c>
      <c r="K146">
        <v>4.9854626104805953E-3</v>
      </c>
      <c r="L146">
        <v>4.8232507596333825E-3</v>
      </c>
      <c r="M146">
        <v>5.3861299130341265E-3</v>
      </c>
      <c r="N146">
        <v>5.1667763874364862E-3</v>
      </c>
      <c r="O146">
        <v>5.3328175379249582E-3</v>
      </c>
      <c r="P146">
        <v>5.5064488485975097E-3</v>
      </c>
      <c r="Q146">
        <v>5.8555917795068881E-3</v>
      </c>
      <c r="R146">
        <v>5.9498628128470538E-3</v>
      </c>
      <c r="S146">
        <v>6.1514739678601776E-3</v>
      </c>
      <c r="T146">
        <v>6.6948482340634897E-3</v>
      </c>
      <c r="U146">
        <v>7.1324708910126119E-3</v>
      </c>
      <c r="V146">
        <v>7.6337113656877124E-3</v>
      </c>
      <c r="W146">
        <v>8.4928231973465957E-3</v>
      </c>
      <c r="X146">
        <v>9.5524263358616919E-3</v>
      </c>
      <c r="Y146">
        <v>1.0620648233213716E-2</v>
      </c>
      <c r="Z146">
        <v>1.177613753440274E-2</v>
      </c>
      <c r="AA146">
        <v>1.2862979635807441E-2</v>
      </c>
      <c r="AB146">
        <v>1.5080631759600099E-2</v>
      </c>
      <c r="AC146">
        <v>1.671466613383121E-2</v>
      </c>
      <c r="AD146">
        <v>1.8568600602750424E-2</v>
      </c>
      <c r="AE146">
        <v>2.1711453607779672E-2</v>
      </c>
      <c r="AF146">
        <v>2.5919382723584891E-2</v>
      </c>
      <c r="AG146">
        <v>2.8303410475810573E-2</v>
      </c>
      <c r="AH146">
        <v>3.2573018545254982E-2</v>
      </c>
      <c r="AI146">
        <v>3.483149722090615E-2</v>
      </c>
      <c r="AJ146">
        <v>4.1439363200704557E-2</v>
      </c>
      <c r="AK146">
        <v>4.4506328576113134E-2</v>
      </c>
    </row>
    <row r="147" spans="1:37" ht="15.75" customHeight="1">
      <c r="A147" s="210">
        <v>24</v>
      </c>
      <c r="B147" s="211">
        <v>6</v>
      </c>
      <c r="C147" s="497" t="s">
        <v>564</v>
      </c>
      <c r="D147">
        <v>1.5277317558084732E-2</v>
      </c>
      <c r="E147">
        <v>1.465734701784999E-2</v>
      </c>
      <c r="F147">
        <v>1.5238151816946174E-2</v>
      </c>
      <c r="G147">
        <v>1.5743635033020707E-2</v>
      </c>
      <c r="H147">
        <v>1.5852243516910156E-2</v>
      </c>
      <c r="I147">
        <v>1.5157963707034868E-2</v>
      </c>
      <c r="J147">
        <v>1.5769411911144973E-2</v>
      </c>
      <c r="K147">
        <v>1.5498669584961083E-2</v>
      </c>
      <c r="L147">
        <v>1.6175855152477814E-2</v>
      </c>
      <c r="M147">
        <v>1.6409943965260153E-2</v>
      </c>
      <c r="N147">
        <v>1.5484926364348709E-2</v>
      </c>
      <c r="O147">
        <v>1.5403973423987073E-2</v>
      </c>
      <c r="P147">
        <v>1.6219687035720947E-2</v>
      </c>
      <c r="Q147">
        <v>1.5666923107663981E-2</v>
      </c>
      <c r="R147">
        <v>1.6528981268777155E-2</v>
      </c>
      <c r="S147">
        <v>1.6726682467573292E-2</v>
      </c>
      <c r="T147">
        <v>1.6577449463198592E-2</v>
      </c>
      <c r="U147">
        <v>1.7356545789267083E-2</v>
      </c>
      <c r="V147">
        <v>1.7919789002719875E-2</v>
      </c>
      <c r="W147">
        <v>1.8822524852010272E-2</v>
      </c>
      <c r="X147">
        <v>2.1182099011979334E-2</v>
      </c>
      <c r="Y147">
        <v>2.1036072335107073E-2</v>
      </c>
      <c r="Z147">
        <v>2.2490632243934789E-2</v>
      </c>
      <c r="AA147">
        <v>2.2806078302258281E-2</v>
      </c>
      <c r="AB147">
        <v>2.529151033596919E-2</v>
      </c>
      <c r="AC147">
        <v>2.6002372070167687E-2</v>
      </c>
      <c r="AD147">
        <v>2.8353922611238744E-2</v>
      </c>
      <c r="AE147">
        <v>3.2584282924470437E-2</v>
      </c>
      <c r="AF147">
        <v>3.6141531472379647E-2</v>
      </c>
      <c r="AG147">
        <v>3.8028364877926019E-2</v>
      </c>
      <c r="AH147">
        <v>4.2940340943104567E-2</v>
      </c>
      <c r="AI147">
        <v>4.6799620456237472E-2</v>
      </c>
      <c r="AJ147">
        <v>5.362486026669816E-2</v>
      </c>
      <c r="AK147">
        <v>5.7634409965150665E-2</v>
      </c>
    </row>
    <row r="148" spans="1:37" ht="15.75" customHeight="1">
      <c r="A148" s="210">
        <v>24</v>
      </c>
      <c r="B148" s="211">
        <v>7</v>
      </c>
      <c r="C148" s="497" t="s">
        <v>564</v>
      </c>
      <c r="D148">
        <v>0.10527243007081355</v>
      </c>
      <c r="E148">
        <v>0.10303690242274499</v>
      </c>
      <c r="F148">
        <v>0.10127085790866427</v>
      </c>
      <c r="G148">
        <v>0.1086511909368596</v>
      </c>
      <c r="H148">
        <v>0.10341889709035361</v>
      </c>
      <c r="I148">
        <v>0.10260746678807765</v>
      </c>
      <c r="J148">
        <v>0.10274862894572913</v>
      </c>
      <c r="K148">
        <v>0.1029816554715558</v>
      </c>
      <c r="L148">
        <v>0.10547643820528535</v>
      </c>
      <c r="M148">
        <v>0.10681676645008839</v>
      </c>
      <c r="N148">
        <v>0.1046764473156124</v>
      </c>
      <c r="O148">
        <v>0.10028397157345387</v>
      </c>
      <c r="P148">
        <v>0.10168562785445354</v>
      </c>
      <c r="Q148">
        <v>0.10405265156831255</v>
      </c>
      <c r="R148">
        <v>0.10374520099650804</v>
      </c>
      <c r="S148">
        <v>0.10314772724270156</v>
      </c>
      <c r="T148">
        <v>0.10408443483269028</v>
      </c>
      <c r="U148">
        <v>0.10896644749046128</v>
      </c>
      <c r="V148">
        <v>0.10227792786278579</v>
      </c>
      <c r="W148">
        <v>0.10966959478897831</v>
      </c>
      <c r="X148">
        <v>0.11023364935642475</v>
      </c>
      <c r="Y148">
        <v>0.11583943553675027</v>
      </c>
      <c r="Z148">
        <v>0.11927225514734305</v>
      </c>
      <c r="AA148">
        <v>0.11647566999620981</v>
      </c>
      <c r="AB148">
        <v>0.11773049192376797</v>
      </c>
      <c r="AC148">
        <v>0.12341886455417928</v>
      </c>
      <c r="AD148">
        <v>0.1226316699531371</v>
      </c>
      <c r="AE148">
        <v>0.13319978363083454</v>
      </c>
      <c r="AF148">
        <v>0.13968320762748246</v>
      </c>
      <c r="AG148">
        <v>0.13398646024152255</v>
      </c>
      <c r="AH148">
        <v>0.14045607192935047</v>
      </c>
      <c r="AI148">
        <v>0.15600925118944239</v>
      </c>
      <c r="AJ148">
        <v>0.16293260795724807</v>
      </c>
      <c r="AK148">
        <v>0.16874513323771947</v>
      </c>
    </row>
    <row r="149" spans="1:37" ht="15.75" customHeight="1">
      <c r="A149" s="201">
        <v>25</v>
      </c>
      <c r="B149" s="58">
        <v>1</v>
      </c>
      <c r="C149" s="59"/>
    </row>
    <row r="150" spans="1:37" ht="15.75" customHeight="1">
      <c r="A150" s="200">
        <v>25</v>
      </c>
      <c r="B150" s="59">
        <v>2</v>
      </c>
      <c r="C150" s="59"/>
    </row>
    <row r="151" spans="1:37" ht="15.75" customHeight="1">
      <c r="A151" s="200">
        <v>25</v>
      </c>
      <c r="B151" s="59">
        <v>3</v>
      </c>
      <c r="C151" s="59"/>
    </row>
    <row r="152" spans="1:37" ht="15.75" customHeight="1">
      <c r="A152" s="200">
        <v>25</v>
      </c>
      <c r="B152" s="59">
        <v>4</v>
      </c>
      <c r="C152" s="59"/>
    </row>
    <row r="153" spans="1:37" ht="15.75" customHeight="1">
      <c r="A153" s="201">
        <v>26</v>
      </c>
      <c r="B153" s="178" t="s">
        <v>220</v>
      </c>
      <c r="C153" s="179" t="s">
        <v>564</v>
      </c>
      <c r="D153">
        <v>4.4780321825400402E-3</v>
      </c>
      <c r="E153">
        <v>1.0796671642009792E-2</v>
      </c>
      <c r="F153">
        <v>2.3525138812532757E-2</v>
      </c>
      <c r="G153">
        <v>4.3885746676723722E-2</v>
      </c>
      <c r="H153">
        <v>8.0058320182925427E-2</v>
      </c>
      <c r="I153">
        <v>0.14588589616970735</v>
      </c>
      <c r="J153">
        <v>0.23607880267261042</v>
      </c>
      <c r="K153">
        <v>0.38663555652566045</v>
      </c>
      <c r="L153">
        <v>0.55511508781277852</v>
      </c>
      <c r="M153">
        <v>0.80669384834459434</v>
      </c>
      <c r="N153">
        <v>1.1865829961146592</v>
      </c>
      <c r="O153">
        <v>1.7242098229510556</v>
      </c>
      <c r="P153">
        <v>2.4468144121986026</v>
      </c>
      <c r="Q153">
        <v>3.6863705774464095</v>
      </c>
      <c r="R153">
        <v>5.2947752344365098</v>
      </c>
      <c r="S153">
        <v>6.2047258428772238</v>
      </c>
      <c r="T153">
        <v>9.2361250523347476</v>
      </c>
      <c r="U153">
        <v>11.631035685548865</v>
      </c>
      <c r="V153">
        <v>8.0674397721776376</v>
      </c>
    </row>
    <row r="154" spans="1:37" ht="15.75" customHeight="1">
      <c r="A154" s="200">
        <v>26</v>
      </c>
      <c r="B154" s="179" t="s">
        <v>221</v>
      </c>
      <c r="C154" s="179" t="s">
        <v>564</v>
      </c>
      <c r="D154">
        <v>2.8798994834113915E-2</v>
      </c>
      <c r="E154">
        <v>4.6837700209348306E-2</v>
      </c>
      <c r="F154">
        <v>8.2332940351123665E-2</v>
      </c>
      <c r="G154">
        <v>0.13795352510040473</v>
      </c>
      <c r="H154">
        <v>0.24281289743724027</v>
      </c>
      <c r="I154">
        <v>0.36996307363381897</v>
      </c>
      <c r="J154">
        <v>0.5573320057051111</v>
      </c>
      <c r="K154">
        <v>0.84970994121669585</v>
      </c>
      <c r="L154">
        <v>1.3105090483776238</v>
      </c>
      <c r="M154">
        <v>1.9044331663479501</v>
      </c>
      <c r="N154">
        <v>2.7027823284016677</v>
      </c>
      <c r="O154">
        <v>3.7893002906499862</v>
      </c>
      <c r="P154">
        <v>5.3773702153654392</v>
      </c>
      <c r="Q154">
        <v>7.8167074340730638</v>
      </c>
      <c r="R154">
        <v>11.22722418006466</v>
      </c>
      <c r="S154">
        <v>14.133038725621899</v>
      </c>
      <c r="T154">
        <v>19.584598440750256</v>
      </c>
      <c r="U154">
        <v>26.493012707027123</v>
      </c>
      <c r="V154">
        <v>32.580167329673415</v>
      </c>
    </row>
    <row r="155" spans="1:37" ht="15.75" customHeight="1">
      <c r="A155" s="200">
        <v>26</v>
      </c>
      <c r="B155" s="179" t="s">
        <v>222</v>
      </c>
      <c r="C155" s="179" t="s">
        <v>564</v>
      </c>
      <c r="D155">
        <v>0.39272839533623033</v>
      </c>
      <c r="E155">
        <v>0.47968726283551677</v>
      </c>
      <c r="F155">
        <v>0.63326275039261926</v>
      </c>
      <c r="G155">
        <v>0.82591400997134556</v>
      </c>
      <c r="H155">
        <v>1.0533614057959697</v>
      </c>
      <c r="I155">
        <v>1.4415573234547066</v>
      </c>
      <c r="J155">
        <v>1.8157971169529696</v>
      </c>
      <c r="K155">
        <v>2.3990973911120421</v>
      </c>
      <c r="L155">
        <v>3.0938338721686534</v>
      </c>
      <c r="M155">
        <v>4.1853773801291645</v>
      </c>
      <c r="N155">
        <v>5.9399113046273069</v>
      </c>
      <c r="O155">
        <v>7.4798999416893066</v>
      </c>
      <c r="P155">
        <v>10.241478550036261</v>
      </c>
      <c r="Q155">
        <v>13.858891699771865</v>
      </c>
      <c r="R155">
        <v>19.205826401164693</v>
      </c>
      <c r="S155">
        <v>21.715209077562722</v>
      </c>
      <c r="T155">
        <v>28.012704896092153</v>
      </c>
      <c r="U155">
        <v>37.894112427946446</v>
      </c>
      <c r="V155">
        <v>48.298955864949974</v>
      </c>
    </row>
    <row r="156" spans="1:37" ht="15.75" customHeight="1">
      <c r="A156" s="200">
        <v>26</v>
      </c>
      <c r="B156" s="179" t="s">
        <v>223</v>
      </c>
      <c r="C156" s="179" t="s">
        <v>564</v>
      </c>
      <c r="D156">
        <v>2.5257039369613925</v>
      </c>
      <c r="E156">
        <v>2.7708703785116167</v>
      </c>
      <c r="F156">
        <v>2.7471956467447489</v>
      </c>
      <c r="G156">
        <v>3.2181654232836654</v>
      </c>
      <c r="H156">
        <v>4.408989088257905</v>
      </c>
      <c r="I156">
        <v>5.4195272559905012</v>
      </c>
      <c r="J156">
        <v>6.8264797736211325</v>
      </c>
      <c r="K156">
        <v>9.0193943290569649</v>
      </c>
      <c r="L156">
        <v>10.827754681375835</v>
      </c>
      <c r="M156">
        <v>14.132923294975079</v>
      </c>
      <c r="N156">
        <v>17.38205711775629</v>
      </c>
      <c r="O156">
        <v>21.888550516848831</v>
      </c>
      <c r="P156">
        <v>26.918555247822056</v>
      </c>
      <c r="Q156">
        <v>37.75388309639569</v>
      </c>
      <c r="R156">
        <v>46.993090505690716</v>
      </c>
      <c r="S156">
        <v>57.0759450601686</v>
      </c>
      <c r="T156">
        <v>68.541889739578181</v>
      </c>
      <c r="U156">
        <v>86.314675530237736</v>
      </c>
      <c r="V156">
        <v>181.57968300050027</v>
      </c>
    </row>
    <row r="157" spans="1:37" ht="15.75" customHeight="1">
      <c r="A157" s="200">
        <v>26</v>
      </c>
      <c r="B157" s="179" t="s">
        <v>228</v>
      </c>
      <c r="C157" s="179" t="s">
        <v>564</v>
      </c>
      <c r="D157">
        <v>8.5286405153992035</v>
      </c>
      <c r="E157">
        <v>8.7101472629747061</v>
      </c>
      <c r="F157">
        <v>8.9504101566759946</v>
      </c>
      <c r="G157">
        <v>9.7605352334258022</v>
      </c>
      <c r="H157">
        <v>10.787977711874627</v>
      </c>
      <c r="I157">
        <v>12.344523990115361</v>
      </c>
      <c r="J157">
        <v>13.475148895249706</v>
      </c>
      <c r="K157">
        <v>16.573950658303239</v>
      </c>
      <c r="L157">
        <v>18.522473918492995</v>
      </c>
      <c r="M157">
        <v>23.326445585451133</v>
      </c>
      <c r="N157">
        <v>28.689152995767248</v>
      </c>
      <c r="O157">
        <v>34.856961137728234</v>
      </c>
      <c r="P157">
        <v>39.905814707969583</v>
      </c>
      <c r="Q157">
        <v>52.102430789514649</v>
      </c>
      <c r="R157">
        <v>67.216269894239147</v>
      </c>
      <c r="S157">
        <v>75.998573342369824</v>
      </c>
      <c r="T157">
        <v>94.591570674469125</v>
      </c>
      <c r="U157">
        <v>123.45966388625911</v>
      </c>
      <c r="V157">
        <v>126.9482865627556</v>
      </c>
    </row>
    <row r="158" spans="1:37" ht="15.75" customHeight="1">
      <c r="A158" s="200">
        <v>26</v>
      </c>
      <c r="B158" s="179" t="s">
        <v>224</v>
      </c>
      <c r="C158" s="179" t="s">
        <v>565</v>
      </c>
      <c r="D158">
        <v>83.767264712642785</v>
      </c>
      <c r="E158">
        <v>138.78039636947346</v>
      </c>
      <c r="F158">
        <v>215.80127547509389</v>
      </c>
      <c r="G158">
        <v>348.65527695174853</v>
      </c>
      <c r="H158">
        <v>370.62770084073634</v>
      </c>
      <c r="I158">
        <v>250.77456332788643</v>
      </c>
      <c r="J158">
        <v>151.51181289197274</v>
      </c>
      <c r="K158">
        <v>89.389104941624566</v>
      </c>
      <c r="L158">
        <v>80.839113166348739</v>
      </c>
      <c r="M158">
        <v>108.49804358542106</v>
      </c>
      <c r="N158">
        <v>122.87501099222622</v>
      </c>
      <c r="O158">
        <v>130.60515560797359</v>
      </c>
    </row>
    <row r="159" spans="1:37" ht="15.75" customHeight="1">
      <c r="A159" s="200">
        <v>26</v>
      </c>
      <c r="B159" s="179" t="s">
        <v>225</v>
      </c>
      <c r="C159" s="179" t="s">
        <v>565</v>
      </c>
      <c r="D159">
        <v>54.158587417021934</v>
      </c>
      <c r="E159">
        <v>110.90964184982252</v>
      </c>
      <c r="F159">
        <v>255.58730527807927</v>
      </c>
      <c r="G159">
        <v>538.5059258544145</v>
      </c>
      <c r="H159">
        <v>585.3120352854927</v>
      </c>
      <c r="I159">
        <v>429.60065438109973</v>
      </c>
      <c r="J159">
        <v>265.05526451396588</v>
      </c>
      <c r="K159">
        <v>166.96238122146127</v>
      </c>
      <c r="L159">
        <v>134.14511211989625</v>
      </c>
      <c r="M159">
        <v>144.25212161765535</v>
      </c>
      <c r="N159">
        <v>166.19685492322662</v>
      </c>
      <c r="O159">
        <v>190.54560000000001</v>
      </c>
    </row>
    <row r="160" spans="1:37" ht="15.75" customHeight="1">
      <c r="A160" s="200">
        <v>26</v>
      </c>
      <c r="B160" s="179" t="s">
        <v>226</v>
      </c>
      <c r="C160" s="179" t="s">
        <v>565</v>
      </c>
      <c r="D160">
        <v>47.018872000000002</v>
      </c>
      <c r="E160">
        <v>68.349066000000008</v>
      </c>
      <c r="F160">
        <v>154.85849400000001</v>
      </c>
      <c r="G160">
        <v>278.15094900000003</v>
      </c>
      <c r="H160">
        <v>431.42460899999998</v>
      </c>
      <c r="I160">
        <v>399.09902099999994</v>
      </c>
      <c r="J160">
        <v>260.12266799999998</v>
      </c>
      <c r="K160">
        <v>159.58026000000001</v>
      </c>
      <c r="L160">
        <v>123.82077500000001</v>
      </c>
      <c r="M160">
        <v>130.75471200000001</v>
      </c>
      <c r="N160">
        <v>150.466995</v>
      </c>
      <c r="O160">
        <v>171.69834499999999</v>
      </c>
    </row>
    <row r="161" spans="1:21" ht="15.75" customHeight="1">
      <c r="A161" s="200">
        <v>26</v>
      </c>
      <c r="B161" s="179" t="s">
        <v>227</v>
      </c>
      <c r="C161" s="179" t="s">
        <v>565</v>
      </c>
      <c r="D161">
        <v>50.849060000000001</v>
      </c>
      <c r="E161">
        <v>87.136804999999995</v>
      </c>
      <c r="F161">
        <v>191.77360000000002</v>
      </c>
      <c r="G161">
        <v>370.47168400000004</v>
      </c>
      <c r="H161">
        <v>427.132068</v>
      </c>
      <c r="I161">
        <v>319.95281799999998</v>
      </c>
      <c r="J161">
        <v>182.264184</v>
      </c>
      <c r="K161">
        <v>120.650976</v>
      </c>
      <c r="L161">
        <v>126.396226</v>
      </c>
      <c r="M161">
        <v>153.63681300000002</v>
      </c>
      <c r="N161">
        <v>172.88686799999999</v>
      </c>
      <c r="O161">
        <v>192.30204000000001</v>
      </c>
    </row>
    <row r="162" spans="1:21" ht="15.75" customHeight="1">
      <c r="A162" s="200">
        <v>26</v>
      </c>
      <c r="B162" s="59" t="s">
        <v>229</v>
      </c>
      <c r="C162" s="59" t="s">
        <v>565</v>
      </c>
      <c r="D162">
        <v>60.259440000000005</v>
      </c>
      <c r="E162">
        <v>118.20755</v>
      </c>
      <c r="F162">
        <v>193.09434700000003</v>
      </c>
      <c r="G162">
        <v>367.50003500000003</v>
      </c>
      <c r="H162">
        <v>490.33011500000003</v>
      </c>
      <c r="I162">
        <v>377.20767899999998</v>
      </c>
      <c r="J162">
        <v>210.29718600000001</v>
      </c>
      <c r="K162">
        <v>119.95756500000002</v>
      </c>
      <c r="L162">
        <v>103.316073</v>
      </c>
      <c r="M162">
        <v>130.75471200000001</v>
      </c>
      <c r="N162">
        <v>158.292475</v>
      </c>
      <c r="O162">
        <v>170.443556</v>
      </c>
    </row>
    <row r="163" spans="1:21" ht="15.75" customHeight="1">
      <c r="A163" s="177">
        <v>27</v>
      </c>
      <c r="B163" s="178">
        <v>1</v>
      </c>
      <c r="C163" s="179" t="s">
        <v>565</v>
      </c>
      <c r="D163">
        <v>36.050409999999999</v>
      </c>
      <c r="E163">
        <v>35.659660000000002</v>
      </c>
      <c r="F163">
        <v>34.18488</v>
      </c>
      <c r="G163">
        <v>31.764696000000001</v>
      </c>
      <c r="H163">
        <v>24.453780000000002</v>
      </c>
      <c r="I163">
        <v>18.756304</v>
      </c>
      <c r="J163">
        <v>17.142864000000003</v>
      </c>
      <c r="K163">
        <v>17.243693999999998</v>
      </c>
      <c r="L163">
        <v>18.857146</v>
      </c>
      <c r="M163">
        <v>20.760515999999999</v>
      </c>
      <c r="N163">
        <v>23.999987999999998</v>
      </c>
      <c r="O163">
        <v>27.390747000000001</v>
      </c>
    </row>
    <row r="164" spans="1:21" ht="15.75" customHeight="1">
      <c r="A164" s="174">
        <v>27</v>
      </c>
      <c r="B164" s="179">
        <v>2</v>
      </c>
      <c r="C164" s="179" t="s">
        <v>565</v>
      </c>
      <c r="D164">
        <v>133.512608</v>
      </c>
      <c r="E164">
        <v>138.403368</v>
      </c>
      <c r="F164">
        <v>128.72270399999999</v>
      </c>
      <c r="G164">
        <v>117.529427</v>
      </c>
      <c r="H164">
        <v>91.563040000000001</v>
      </c>
      <c r="I164">
        <v>68.168074000000004</v>
      </c>
      <c r="J164">
        <v>58.386552000000002</v>
      </c>
      <c r="K164">
        <v>65.420159999999996</v>
      </c>
      <c r="L164">
        <v>70.789913999999996</v>
      </c>
      <c r="M164">
        <v>74.735290000000006</v>
      </c>
      <c r="N164">
        <v>76.878123000000002</v>
      </c>
      <c r="O164">
        <v>81.756306000000009</v>
      </c>
    </row>
    <row r="165" spans="1:21" ht="15.75" customHeight="1">
      <c r="A165" s="174">
        <v>27</v>
      </c>
      <c r="B165" s="179">
        <v>3</v>
      </c>
      <c r="C165" s="179" t="s">
        <v>565</v>
      </c>
      <c r="D165">
        <v>179.55882000000003</v>
      </c>
      <c r="E165">
        <v>179.62185799999997</v>
      </c>
      <c r="F165">
        <v>174.70588799999999</v>
      </c>
      <c r="G165">
        <v>151.94117400000002</v>
      </c>
      <c r="H165">
        <v>124.05882800000001</v>
      </c>
      <c r="I165">
        <v>89.24369999999999</v>
      </c>
      <c r="J165">
        <v>76.941171999999995</v>
      </c>
      <c r="K165">
        <v>82.941180000000003</v>
      </c>
      <c r="L165">
        <v>89.054639999999992</v>
      </c>
      <c r="M165">
        <v>99.075659999999999</v>
      </c>
      <c r="N165">
        <v>99.806685999999999</v>
      </c>
      <c r="O165">
        <v>104.268912</v>
      </c>
    </row>
    <row r="166" spans="1:21" ht="15.75" customHeight="1">
      <c r="A166" s="175">
        <v>27</v>
      </c>
      <c r="B166" s="180">
        <v>4</v>
      </c>
      <c r="C166" s="179" t="s">
        <v>565</v>
      </c>
      <c r="D166">
        <v>214.78992</v>
      </c>
      <c r="E166">
        <v>202.68907999999999</v>
      </c>
      <c r="F166">
        <v>190.58822999999998</v>
      </c>
      <c r="G166">
        <v>180.90755799999999</v>
      </c>
      <c r="H166">
        <v>160.613462</v>
      </c>
      <c r="I166">
        <v>136.58825299999998</v>
      </c>
      <c r="J166">
        <v>113.06724</v>
      </c>
      <c r="K166">
        <v>102.844523</v>
      </c>
      <c r="L166">
        <v>93.176467999999986</v>
      </c>
      <c r="M166">
        <v>93.529417999999993</v>
      </c>
      <c r="N166">
        <v>98.319325000000006</v>
      </c>
      <c r="O166">
        <v>106.462158</v>
      </c>
    </row>
    <row r="167" spans="1:21" ht="15.75" customHeight="1">
      <c r="A167" s="200">
        <v>28</v>
      </c>
      <c r="B167" s="59">
        <v>1</v>
      </c>
      <c r="C167" s="59"/>
    </row>
    <row r="168" spans="1:21" ht="15.75" customHeight="1">
      <c r="A168" s="200">
        <v>28</v>
      </c>
      <c r="B168" s="59">
        <v>2</v>
      </c>
      <c r="C168" s="59"/>
    </row>
    <row r="169" spans="1:21" ht="15.75" customHeight="1">
      <c r="A169" s="200">
        <v>28</v>
      </c>
      <c r="B169" s="59">
        <v>3</v>
      </c>
      <c r="C169" s="59"/>
    </row>
    <row r="170" spans="1:21" ht="15.75" customHeight="1">
      <c r="A170" s="200">
        <v>28</v>
      </c>
      <c r="B170" s="59">
        <v>4</v>
      </c>
      <c r="C170" s="59"/>
    </row>
    <row r="171" spans="1:21" ht="15.75" customHeight="1">
      <c r="A171" s="200">
        <v>28</v>
      </c>
      <c r="B171" s="59">
        <v>5</v>
      </c>
      <c r="C171" s="59"/>
    </row>
    <row r="172" spans="1:21" ht="15.75" customHeight="1">
      <c r="A172" s="200">
        <v>28</v>
      </c>
      <c r="B172" s="59">
        <v>6</v>
      </c>
      <c r="C172" s="59"/>
    </row>
    <row r="173" spans="1:21" ht="15.75" customHeight="1">
      <c r="A173" s="201">
        <v>29</v>
      </c>
      <c r="B173" s="58">
        <v>1</v>
      </c>
      <c r="C173" s="59" t="s">
        <v>564</v>
      </c>
      <c r="D173">
        <v>5.7530334863535437E-3</v>
      </c>
      <c r="E173">
        <v>1.0689674010558554E-2</v>
      </c>
      <c r="F173">
        <v>1.5158349492916078E-2</v>
      </c>
      <c r="G173">
        <v>2.1563788335744245E-2</v>
      </c>
      <c r="H173">
        <v>2.8662984436204911E-2</v>
      </c>
      <c r="I173">
        <v>4.3713274304167195E-2</v>
      </c>
      <c r="J173">
        <v>6.2600831586995448E-2</v>
      </c>
      <c r="K173">
        <v>7.6415433438582661E-2</v>
      </c>
      <c r="L173">
        <v>0.10201556049722266</v>
      </c>
      <c r="M173">
        <v>0.12451196774278686</v>
      </c>
      <c r="N173">
        <v>0.16997964582291789</v>
      </c>
      <c r="O173">
        <v>0.17843241061077075</v>
      </c>
      <c r="P173">
        <v>0.2266538855779423</v>
      </c>
      <c r="Q173">
        <v>0.29021631629385453</v>
      </c>
      <c r="R173">
        <v>0.37009003077356784</v>
      </c>
      <c r="S173">
        <v>0.31786351978187205</v>
      </c>
      <c r="T173">
        <v>0.24582794498317539</v>
      </c>
      <c r="U173">
        <v>0.33385936379883169</v>
      </c>
    </row>
    <row r="174" spans="1:21" ht="15.75" customHeight="1">
      <c r="A174" s="200">
        <v>29</v>
      </c>
      <c r="B174" s="59">
        <v>2</v>
      </c>
      <c r="C174" s="59" t="s">
        <v>564</v>
      </c>
      <c r="D174">
        <v>2.9521963713789467E-2</v>
      </c>
      <c r="E174">
        <v>4.0640126707235255E-2</v>
      </c>
      <c r="F174">
        <v>4.4453534806093313E-2</v>
      </c>
      <c r="G174">
        <v>5.4297431289946269E-2</v>
      </c>
      <c r="H174">
        <v>6.598574224594328E-2</v>
      </c>
      <c r="I174">
        <v>8.2418448626109059E-2</v>
      </c>
      <c r="J174">
        <v>0.1061929944227699</v>
      </c>
      <c r="K174">
        <v>0.11353869553249064</v>
      </c>
      <c r="L174">
        <v>0.14099294732947981</v>
      </c>
      <c r="M174">
        <v>0.16559735395812727</v>
      </c>
      <c r="N174">
        <v>0.21172712104335556</v>
      </c>
      <c r="O174">
        <v>0.23055665197322189</v>
      </c>
      <c r="P174">
        <v>0.26563319047909728</v>
      </c>
      <c r="Q174">
        <v>0.22224641841111881</v>
      </c>
      <c r="R174">
        <v>0.28905529810315439</v>
      </c>
      <c r="S174">
        <v>0.29530942850350961</v>
      </c>
      <c r="T174">
        <v>9.4421136017140597E-2</v>
      </c>
      <c r="U174">
        <v>9.8278805094346208E-2</v>
      </c>
    </row>
    <row r="175" spans="1:21" ht="15.75" customHeight="1">
      <c r="A175" s="200">
        <v>29</v>
      </c>
      <c r="B175" s="59">
        <v>3</v>
      </c>
      <c r="C175" s="59" t="s">
        <v>564</v>
      </c>
      <c r="D175">
        <v>6.8491806784856266E-2</v>
      </c>
      <c r="E175">
        <v>8.9428504428175584E-2</v>
      </c>
      <c r="F175">
        <v>8.1365025601226396E-2</v>
      </c>
      <c r="G175">
        <v>9.8954270064984973E-2</v>
      </c>
      <c r="H175">
        <v>0.10068404433198959</v>
      </c>
      <c r="I175">
        <v>0.13497828438369244</v>
      </c>
      <c r="J175">
        <v>0.15600463815978874</v>
      </c>
      <c r="K175">
        <v>0.16080420007462157</v>
      </c>
      <c r="L175">
        <v>0.17936711760167426</v>
      </c>
      <c r="M175">
        <v>0.21834709917158296</v>
      </c>
      <c r="N175">
        <v>0.27092117850047759</v>
      </c>
      <c r="O175">
        <v>0.33592792189081894</v>
      </c>
      <c r="P175">
        <v>0.36623432861143201</v>
      </c>
      <c r="Q175">
        <v>0.3467359194974059</v>
      </c>
      <c r="R175">
        <v>0.39846981540752574</v>
      </c>
      <c r="S175">
        <v>0.50126548057385367</v>
      </c>
      <c r="T175">
        <v>0.38378063158642667</v>
      </c>
      <c r="U175">
        <v>0.1488007726551927</v>
      </c>
    </row>
    <row r="176" spans="1:21" ht="15.75" customHeight="1">
      <c r="A176" s="200">
        <v>29</v>
      </c>
      <c r="B176" s="59">
        <v>4</v>
      </c>
      <c r="C176" s="59" t="s">
        <v>564</v>
      </c>
      <c r="D176">
        <v>0.37446219691122845</v>
      </c>
      <c r="E176">
        <v>0.44976824614460587</v>
      </c>
      <c r="F176">
        <v>0.39956384618950852</v>
      </c>
      <c r="G176">
        <v>0.44111298895332646</v>
      </c>
      <c r="H176">
        <v>0.39719531167214189</v>
      </c>
      <c r="I176">
        <v>0.47790410728953092</v>
      </c>
      <c r="J176">
        <v>0.41949418455143717</v>
      </c>
      <c r="K176">
        <v>0.39976381975437358</v>
      </c>
      <c r="L176">
        <v>0.39772433303429733</v>
      </c>
      <c r="M176">
        <v>0.34926127489983716</v>
      </c>
      <c r="N176">
        <v>0.37416871360016324</v>
      </c>
      <c r="O176">
        <v>0.34893624401832074</v>
      </c>
      <c r="P176">
        <v>0.39446855978106177</v>
      </c>
      <c r="Q176">
        <v>0.34936184358745587</v>
      </c>
      <c r="R176">
        <v>0.38370715013338391</v>
      </c>
      <c r="S176">
        <v>0.26217797956327143</v>
      </c>
      <c r="T176">
        <v>0.14534302728432474</v>
      </c>
      <c r="U176">
        <v>0.24440197031392938</v>
      </c>
    </row>
    <row r="177" spans="1:29" ht="15.75" customHeight="1">
      <c r="A177" s="200">
        <v>29</v>
      </c>
      <c r="B177" s="59">
        <v>5</v>
      </c>
      <c r="C177" s="59" t="s">
        <v>564</v>
      </c>
      <c r="D177" s="2">
        <v>0.14703195364785604</v>
      </c>
      <c r="E177" s="2">
        <v>0.16466178765568118</v>
      </c>
      <c r="F177" s="2">
        <v>0.16156915726756116</v>
      </c>
      <c r="G177" s="2">
        <v>0.16346259309400094</v>
      </c>
      <c r="H177" s="2">
        <v>0.16815141200573133</v>
      </c>
      <c r="I177" s="2">
        <v>0.20741797629673364</v>
      </c>
      <c r="J177" s="2">
        <v>0.22454428627050746</v>
      </c>
      <c r="K177" s="2">
        <v>0.21217463932953731</v>
      </c>
      <c r="L177" s="2">
        <v>0.23307605900666239</v>
      </c>
      <c r="M177" s="2">
        <v>0.274221302346977</v>
      </c>
      <c r="N177" s="2">
        <v>0.30711110514833928</v>
      </c>
      <c r="O177" s="2">
        <v>0.23699930364031593</v>
      </c>
      <c r="P177" s="2">
        <v>0.36103788232111506</v>
      </c>
      <c r="Q177">
        <v>0.35389659799969031</v>
      </c>
      <c r="R177">
        <v>0.38413603255963441</v>
      </c>
      <c r="S177">
        <v>0.29058729504874636</v>
      </c>
      <c r="T177">
        <v>0.17452340658134455</v>
      </c>
      <c r="U177">
        <v>0.15351971430952674</v>
      </c>
    </row>
    <row r="178" spans="1:29" ht="15.75" customHeight="1">
      <c r="A178" s="201">
        <v>30</v>
      </c>
      <c r="B178" s="58">
        <v>1</v>
      </c>
      <c r="C178" s="58" t="s">
        <v>563</v>
      </c>
      <c r="D178" s="206">
        <v>172.2</v>
      </c>
      <c r="E178" s="206">
        <v>164.08</v>
      </c>
      <c r="F178" s="206">
        <v>166.79</v>
      </c>
      <c r="G178" s="206">
        <v>149.46</v>
      </c>
      <c r="H178" s="206">
        <v>114.8</v>
      </c>
      <c r="I178" s="206">
        <v>72.02</v>
      </c>
      <c r="J178" s="206">
        <v>53.07</v>
      </c>
      <c r="K178" s="206">
        <v>46.03</v>
      </c>
      <c r="L178" s="206">
        <v>40.07</v>
      </c>
      <c r="M178" s="206">
        <v>36.28</v>
      </c>
      <c r="N178" s="206">
        <v>30.32</v>
      </c>
      <c r="O178" s="206">
        <v>24.91</v>
      </c>
      <c r="P178" s="207">
        <v>17.329999999999998</v>
      </c>
      <c r="Q178" s="2"/>
    </row>
    <row r="179" spans="1:29" ht="15.75" customHeight="1">
      <c r="A179" s="200">
        <v>30</v>
      </c>
      <c r="B179" s="59">
        <v>2</v>
      </c>
      <c r="C179" s="59" t="s">
        <v>563</v>
      </c>
      <c r="D179" s="2">
        <v>237.18</v>
      </c>
      <c r="E179" s="2">
        <v>237.18</v>
      </c>
      <c r="F179" s="2">
        <v>252.35</v>
      </c>
      <c r="G179" s="2">
        <v>235.56</v>
      </c>
      <c r="H179" s="2">
        <v>187.36</v>
      </c>
      <c r="I179" s="2">
        <v>150</v>
      </c>
      <c r="J179" s="2">
        <v>148.38</v>
      </c>
      <c r="K179" s="2">
        <v>145.13</v>
      </c>
      <c r="L179" s="2">
        <v>136.46</v>
      </c>
      <c r="M179" s="2">
        <v>131.05000000000001</v>
      </c>
      <c r="N179" s="2">
        <v>119.68</v>
      </c>
      <c r="O179" s="2">
        <v>104.51</v>
      </c>
      <c r="P179" s="208">
        <v>87.18</v>
      </c>
      <c r="Q179" s="2"/>
    </row>
    <row r="180" spans="1:29" ht="15.75" customHeight="1">
      <c r="A180" s="202">
        <v>30</v>
      </c>
      <c r="B180" s="203">
        <v>3</v>
      </c>
      <c r="C180" s="203" t="s">
        <v>563</v>
      </c>
      <c r="D180" s="30">
        <v>224.19</v>
      </c>
      <c r="E180" s="30">
        <v>227.44</v>
      </c>
      <c r="F180" s="30">
        <v>244.77</v>
      </c>
      <c r="G180" s="30">
        <v>232.85</v>
      </c>
      <c r="H180" s="30">
        <v>194.95</v>
      </c>
      <c r="I180" s="30">
        <v>165.7</v>
      </c>
      <c r="J180" s="30">
        <v>168.95</v>
      </c>
      <c r="K180" s="30">
        <v>164.08</v>
      </c>
      <c r="L180" s="30">
        <v>160.83000000000001</v>
      </c>
      <c r="M180" s="30">
        <v>153.79</v>
      </c>
      <c r="N180" s="30">
        <v>141.88</v>
      </c>
      <c r="O180" s="30">
        <v>124.55</v>
      </c>
      <c r="P180" s="209">
        <v>103.43</v>
      </c>
      <c r="Q180" s="2"/>
    </row>
    <row r="181" spans="1:29" ht="15.75" customHeight="1">
      <c r="A181" s="200">
        <v>31</v>
      </c>
      <c r="B181" s="59">
        <v>1</v>
      </c>
      <c r="C181" s="59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29" ht="15.75" customHeight="1">
      <c r="A182" s="200">
        <v>31</v>
      </c>
      <c r="B182" s="59">
        <v>2</v>
      </c>
      <c r="C182" s="59"/>
    </row>
    <row r="183" spans="1:29" ht="15.75" customHeight="1">
      <c r="A183" s="200">
        <v>31</v>
      </c>
      <c r="B183" s="59">
        <v>3</v>
      </c>
      <c r="C183" s="59"/>
    </row>
    <row r="184" spans="1:29" ht="15.75" customHeight="1">
      <c r="A184" s="200">
        <v>31</v>
      </c>
      <c r="B184" s="59">
        <v>4</v>
      </c>
      <c r="C184" s="59"/>
    </row>
    <row r="185" spans="1:29" ht="15.75" customHeight="1">
      <c r="A185" s="200">
        <v>31</v>
      </c>
      <c r="B185" s="59">
        <v>5</v>
      </c>
      <c r="C185" s="59"/>
      <c r="D185" s="2"/>
      <c r="E185" s="2"/>
      <c r="F185" s="2"/>
      <c r="G185" s="2"/>
      <c r="H185" s="2"/>
      <c r="I185" s="2"/>
      <c r="J185" s="2"/>
      <c r="K185" s="2"/>
    </row>
    <row r="186" spans="1:29" ht="15.75" customHeight="1">
      <c r="A186" s="177">
        <v>32</v>
      </c>
      <c r="B186" s="178">
        <v>1</v>
      </c>
      <c r="C186" s="178"/>
      <c r="D186" s="206"/>
      <c r="E186" s="206"/>
      <c r="F186" s="206"/>
      <c r="G186" s="206"/>
      <c r="H186" s="346"/>
      <c r="I186" s="206"/>
      <c r="J186" s="206"/>
      <c r="K186" s="207"/>
      <c r="L186" s="2"/>
    </row>
    <row r="187" spans="1:29" ht="15.75" customHeight="1">
      <c r="A187" s="174">
        <v>32</v>
      </c>
      <c r="B187" s="179">
        <v>2</v>
      </c>
      <c r="C187" s="495" t="s">
        <v>563</v>
      </c>
      <c r="D187" s="2">
        <v>130.548</v>
      </c>
      <c r="E187" s="2">
        <v>130.548</v>
      </c>
      <c r="F187" s="2">
        <v>156.28299999999999</v>
      </c>
      <c r="G187" s="2">
        <v>196.72499999999999</v>
      </c>
      <c r="H187" s="2">
        <v>233.155</v>
      </c>
      <c r="I187" s="2">
        <v>70.721999999999994</v>
      </c>
      <c r="J187" s="2">
        <v>52.673999999999999</v>
      </c>
      <c r="K187" s="208">
        <v>62.366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9" ht="15.75" customHeight="1">
      <c r="A188" s="201">
        <v>33</v>
      </c>
      <c r="B188" s="178">
        <v>1</v>
      </c>
      <c r="C188" s="495" t="s">
        <v>563</v>
      </c>
      <c r="D188" s="206">
        <f>Loss_modulus_G!C188/1000000</f>
        <v>2.791E-6</v>
      </c>
      <c r="E188" s="206">
        <f>Loss_modulus_G!D188/1000000</f>
        <v>6.4150000000000004E-6</v>
      </c>
      <c r="F188" s="206">
        <f>Loss_modulus_G!E188/1000000</f>
        <v>1.3796E-5</v>
      </c>
      <c r="G188" s="206">
        <f>Loss_modulus_G!F188/1000000</f>
        <v>2.7757000000000002E-5</v>
      </c>
      <c r="H188" s="206">
        <f>Loss_modulus_G!G188/1000000</f>
        <v>4.5734E-5</v>
      </c>
      <c r="I188" s="206">
        <f>Loss_modulus_G!H188/1000000</f>
        <v>8.0542000000000002E-5</v>
      </c>
      <c r="J188" s="206">
        <f>Loss_modulus_G!I188/1000000</f>
        <v>1.20093E-4</v>
      </c>
      <c r="K188" s="206">
        <f>Loss_modulus_G!J188/1000000</f>
        <v>1.8512700000000002E-4</v>
      </c>
      <c r="L188" s="206">
        <f>Loss_modulus_G!K188/1000000</f>
        <v>2.9503899999999998E-4</v>
      </c>
      <c r="M188" s="206">
        <f>Loss_modulus_G!L188/1000000</f>
        <v>4.3992E-4</v>
      </c>
      <c r="N188" s="206">
        <f>Loss_modulus_G!M188/1000000</f>
        <v>6.7814899999999996E-4</v>
      </c>
      <c r="O188" s="206">
        <f>Loss_modulus_G!N188/1000000</f>
        <v>1.011159E-3</v>
      </c>
      <c r="P188" s="206">
        <f>Loss_modulus_G!O188/1000000</f>
        <v>1.507694E-3</v>
      </c>
      <c r="Q188" s="206">
        <f>Loss_modulus_G!P188/1000000</f>
        <v>2.1744499999999996E-3</v>
      </c>
      <c r="R188" s="206">
        <f>Loss_modulus_G!Q188/1000000</f>
        <v>3.2422269999999999E-3</v>
      </c>
      <c r="S188" s="206">
        <f>Loss_modulus_G!R188/1000000</f>
        <v>4.8343419999999993E-3</v>
      </c>
      <c r="T188" s="206">
        <f>Loss_modulus_G!S188/1000000</f>
        <v>6.5231569999999999E-3</v>
      </c>
      <c r="U188" s="206">
        <f>Loss_modulus_G!T188/1000000</f>
        <v>9.4079279999999994E-3</v>
      </c>
      <c r="V188" s="206">
        <f>Loss_modulus_G!U188/1000000</f>
        <v>1.3124183000000001E-2</v>
      </c>
      <c r="W188" s="206">
        <f>Loss_modulus_G!V188/1000000</f>
        <v>1.7129116000000003E-2</v>
      </c>
      <c r="X188" s="206">
        <f>Loss_modulus_G!W188/1000000</f>
        <v>2.3112952000000003E-2</v>
      </c>
      <c r="Y188" s="206">
        <f>Loss_modulus_G!X188/1000000</f>
        <v>3.0166024E-2</v>
      </c>
      <c r="Z188" s="206">
        <f>Loss_modulus_G!Y188/1000000</f>
        <v>4.4979233E-2</v>
      </c>
      <c r="AA188" s="206">
        <f>Loss_modulus_G!Z188/1000000</f>
        <v>5.6782807999999997E-2</v>
      </c>
      <c r="AB188" s="207">
        <f>Loss_modulus_G!AA188/1000000</f>
        <v>8.1894175E-2</v>
      </c>
      <c r="AC188" s="2"/>
    </row>
    <row r="189" spans="1:29" ht="15.75" customHeight="1">
      <c r="A189" s="200">
        <v>33</v>
      </c>
      <c r="B189" s="179">
        <v>2</v>
      </c>
      <c r="C189" s="495" t="s">
        <v>563</v>
      </c>
      <c r="D189" s="2">
        <f>Loss_modulus_G!C189/1000000</f>
        <v>1.2076000000000001E-5</v>
      </c>
      <c r="E189" s="2">
        <f>Loss_modulus_G!D189/1000000</f>
        <v>2.8697E-5</v>
      </c>
      <c r="F189" s="2">
        <f>Loss_modulus_G!E189/1000000</f>
        <v>6.5958999999999996E-5</v>
      </c>
      <c r="G189" s="2">
        <f>Loss_modulus_G!F189/1000000</f>
        <v>1.3270599999999999E-4</v>
      </c>
      <c r="H189" s="2">
        <f>Loss_modulus_G!G189/1000000</f>
        <v>2.5825499999999999E-4</v>
      </c>
      <c r="I189" s="2">
        <f>Loss_modulus_G!H189/1000000</f>
        <v>3.9810700000000003E-4</v>
      </c>
      <c r="J189" s="2">
        <f>Loss_modulus_G!I189/1000000</f>
        <v>6.7814899999999996E-4</v>
      </c>
      <c r="K189" s="2">
        <f>Loss_modulus_G!J189/1000000</f>
        <v>1.0453869999999998E-3</v>
      </c>
      <c r="L189" s="2">
        <f>Loss_modulus_G!K189/1000000</f>
        <v>1.6660450000000001E-3</v>
      </c>
      <c r="M189" s="2">
        <f>Loss_modulus_G!L189/1000000</f>
        <v>2.4841669999999998E-3</v>
      </c>
      <c r="N189" s="2">
        <f>Loss_modulus_G!M189/1000000</f>
        <v>3.5827530000000002E-3</v>
      </c>
      <c r="O189" s="2">
        <f>Loss_modulus_G!N189/1000000</f>
        <v>4.9979880000000001E-3</v>
      </c>
      <c r="P189" s="2">
        <f>Loss_modulus_G!O189/1000000</f>
        <v>7.2082749999999992E-3</v>
      </c>
      <c r="Q189" s="2">
        <f>Loss_modulus_G!P189/1000000</f>
        <v>1.0396029000000001E-2</v>
      </c>
      <c r="R189" s="2">
        <f>Loss_modulus_G!Q189/1000000</f>
        <v>1.3124183000000001E-2</v>
      </c>
      <c r="S189" s="2">
        <f>Loss_modulus_G!R189/1000000</f>
        <v>1.7129116000000003E-2</v>
      </c>
      <c r="T189" s="2">
        <f>Loss_modulus_G!S189/1000000</f>
        <v>2.1624186E-2</v>
      </c>
      <c r="U189" s="2">
        <f>Loss_modulus_G!T189/1000000</f>
        <v>2.9178316999999999E-2</v>
      </c>
      <c r="V189" s="2">
        <f>Loss_modulus_G!U189/1000000</f>
        <v>3.6835372000000005E-2</v>
      </c>
      <c r="W189" s="2">
        <f>Loss_modulus_G!V189/1000000</f>
        <v>4.3506507E-2</v>
      </c>
      <c r="X189" s="2">
        <f>Loss_modulus_G!W189/1000000</f>
        <v>4.3506507E-2</v>
      </c>
      <c r="Y189" s="2">
        <f>Loss_modulus_G!X189/1000000</f>
        <v>7.1683910000000003E-2</v>
      </c>
      <c r="Z189" s="2">
        <f>Loss_modulus_G!Y189/1000000</f>
        <v>7.1683910000000003E-2</v>
      </c>
      <c r="AA189" s="2">
        <f>Loss_modulus_G!Z189/1000000</f>
        <v>9.049539999999999E-2</v>
      </c>
      <c r="AB189" s="208">
        <f>Loss_modulus_G!AA189/1000000</f>
        <v>0.10688473</v>
      </c>
      <c r="AC189" s="2"/>
    </row>
    <row r="190" spans="1:29" ht="15.75" customHeight="1">
      <c r="A190" s="200">
        <v>33</v>
      </c>
      <c r="B190" s="179">
        <v>3</v>
      </c>
      <c r="C190" s="495" t="s">
        <v>563</v>
      </c>
      <c r="D190" s="2">
        <f>Loss_modulus_G!C190/1000000</f>
        <v>1.6295000000000002E-5</v>
      </c>
      <c r="E190" s="2">
        <f>Loss_modulus_G!D190/1000000</f>
        <v>4.0031999999999999E-5</v>
      </c>
      <c r="F190" s="2">
        <f>Loss_modulus_G!E190/1000000</f>
        <v>9.5129000000000003E-5</v>
      </c>
      <c r="G190" s="2">
        <f>Loss_modulus_G!F190/1000000</f>
        <v>1.79066E-4</v>
      </c>
      <c r="H190" s="2">
        <f>Loss_modulus_G!G190/1000000</f>
        <v>3.26027E-4</v>
      </c>
      <c r="I190" s="2">
        <f>Loss_modulus_G!H190/1000000</f>
        <v>5.9360000000000001E-4</v>
      </c>
      <c r="J190" s="2">
        <f>Loss_modulus_G!I190/1000000</f>
        <v>1.011159E-3</v>
      </c>
      <c r="K190" s="2">
        <f>Loss_modulus_G!J190/1000000</f>
        <v>1.507694E-3</v>
      </c>
      <c r="L190" s="2">
        <f>Loss_modulus_G!K190/1000000</f>
        <v>2.402829E-3</v>
      </c>
      <c r="M190" s="2">
        <f>Loss_modulus_G!L190/1000000</f>
        <v>3.5827530000000002E-3</v>
      </c>
      <c r="N190" s="2">
        <f>Loss_modulus_G!M190/1000000</f>
        <v>5.1671729999999997E-3</v>
      </c>
      <c r="O190" s="2">
        <f>Loss_modulus_G!N190/1000000</f>
        <v>7.4522799999999995E-3</v>
      </c>
      <c r="P190" s="2">
        <f>Loss_modulus_G!O190/1000000</f>
        <v>1.0747942E-2</v>
      </c>
      <c r="Q190" s="2">
        <f>Loss_modulus_G!P190/1000000</f>
        <v>1.4502596999999999E-2</v>
      </c>
      <c r="R190" s="2">
        <f>Loss_modulus_G!Q190/1000000</f>
        <v>1.8308409000000001E-2</v>
      </c>
      <c r="S190" s="2">
        <f>Loss_modulus_G!R190/1000000</f>
        <v>2.822295E-2</v>
      </c>
      <c r="T190" s="2">
        <f>Loss_modulus_G!S190/1000000</f>
        <v>3.5629294999999998E-2</v>
      </c>
      <c r="U190" s="2">
        <f>Loss_modulus_G!T190/1000000</f>
        <v>3.6835372000000005E-2</v>
      </c>
      <c r="V190" s="2">
        <f>Loss_modulus_G!U190/1000000</f>
        <v>4.2082000999999994E-2</v>
      </c>
      <c r="W190" s="2">
        <f>Loss_modulus_G!V190/1000000</f>
        <v>6.4870642000000006E-2</v>
      </c>
      <c r="X190" s="2">
        <f>Loss_modulus_G!W190/1000000</f>
        <v>7.4110462000000002E-2</v>
      </c>
      <c r="Y190" s="2">
        <f>Loss_modulus_G!X190/1000000</f>
        <v>7.4110462000000002E-2</v>
      </c>
      <c r="Z190" s="2">
        <f>Loss_modulus_G!Y190/1000000</f>
        <v>8.4666351000000001E-2</v>
      </c>
      <c r="AA190" s="2">
        <f>Loss_modulus_G!Z190/1000000</f>
        <v>9.049539999999999E-2</v>
      </c>
      <c r="AB190" s="208">
        <f>Loss_modulus_G!AA190/1000000</f>
        <v>9.049539999999999E-2</v>
      </c>
      <c r="AC190" s="2"/>
    </row>
    <row r="191" spans="1:29" ht="15.75" customHeight="1">
      <c r="A191" s="200">
        <v>33</v>
      </c>
      <c r="B191" s="179">
        <v>4</v>
      </c>
      <c r="C191" s="495" t="s">
        <v>563</v>
      </c>
      <c r="D191" s="2">
        <f>Loss_modulus_G!C191/1000000</f>
        <v>5.3718100000000007E-4</v>
      </c>
      <c r="E191" s="2">
        <f>Loss_modulus_G!D191/1000000</f>
        <v>7.4937400000000003E-4</v>
      </c>
      <c r="F191" s="2">
        <f>Loss_modulus_G!E191/1000000</f>
        <v>1.011159E-3</v>
      </c>
      <c r="G191" s="2">
        <f>Loss_modulus_G!F191/1000000</f>
        <v>1.1942860000000001E-3</v>
      </c>
      <c r="H191" s="2">
        <f>Loss_modulus_G!G191/1000000</f>
        <v>1.558731E-3</v>
      </c>
      <c r="I191" s="2">
        <f>Loss_modulus_G!H191/1000000</f>
        <v>2.0343879999999998E-3</v>
      </c>
      <c r="J191" s="2">
        <f>Loss_modulus_G!I191/1000000</f>
        <v>2.568257E-3</v>
      </c>
      <c r="K191" s="2">
        <f>Loss_modulus_G!J191/1000000</f>
        <v>3.5827530000000002E-3</v>
      </c>
      <c r="L191" s="2">
        <f>Loss_modulus_G!K191/1000000</f>
        <v>4.6760539999999998E-3</v>
      </c>
      <c r="M191" s="2">
        <f>Loss_modulus_G!L191/1000000</f>
        <v>6.3095730000000006E-3</v>
      </c>
      <c r="N191" s="2">
        <f>Loss_modulus_G!M191/1000000</f>
        <v>8.8019380000000005E-3</v>
      </c>
      <c r="O191" s="2">
        <f>Loss_modulus_G!N191/1000000</f>
        <v>1.1111767E-2</v>
      </c>
      <c r="P191" s="2">
        <f>Loss_modulus_G!O191/1000000</f>
        <v>1.6025784000000001E-2</v>
      </c>
      <c r="Q191" s="2">
        <f>Loss_modulus_G!P191/1000000</f>
        <v>2.1624186E-2</v>
      </c>
      <c r="R191" s="2">
        <f>Loss_modulus_G!Q191/1000000</f>
        <v>2.6405035E-2</v>
      </c>
      <c r="S191" s="2">
        <f>Loss_modulus_G!R191/1000000</f>
        <v>3.6835372000000005E-2</v>
      </c>
      <c r="T191" s="2">
        <f>Loss_modulus_G!S191/1000000</f>
        <v>4.6501811999999997E-2</v>
      </c>
      <c r="U191" s="2">
        <f>Loss_modulus_G!T191/1000000</f>
        <v>5.3125276999999999E-2</v>
      </c>
      <c r="V191" s="2">
        <f>Loss_modulus_G!U191/1000000</f>
        <v>5.8704947E-2</v>
      </c>
      <c r="W191" s="2">
        <f>Loss_modulus_G!V191/1000000</f>
        <v>8.7532367E-2</v>
      </c>
      <c r="X191" s="30">
        <f>Loss_modulus_G!W191/1000000</f>
        <v>9.6725763999999992E-2</v>
      </c>
      <c r="Y191" s="30">
        <f>Loss_modulus_G!X191/1000000</f>
        <v>0.11050285400000001</v>
      </c>
      <c r="Z191" s="30">
        <f>Loss_modulus_G!Y191/1000000</f>
        <v>0.13950131899999998</v>
      </c>
      <c r="AA191" s="30">
        <f>Loss_modulus_G!Z191/1000000</f>
        <v>0.159371125</v>
      </c>
      <c r="AB191" s="209">
        <f>Loss_modulus_G!AA191/1000000</f>
        <v>0.22985067499999998</v>
      </c>
      <c r="AC191" s="2"/>
    </row>
    <row r="192" spans="1:29" ht="15.75" customHeight="1">
      <c r="A192" s="177">
        <v>34</v>
      </c>
      <c r="B192" s="178">
        <v>1</v>
      </c>
      <c r="C192" s="495" t="s">
        <v>563</v>
      </c>
      <c r="D192" s="206">
        <f>Loss_modulus_G!C192/1000000</f>
        <v>8.3941000000000002E-5</v>
      </c>
      <c r="E192" s="206">
        <f>Loss_modulus_G!D192/1000000</f>
        <v>1.20746E-4</v>
      </c>
      <c r="F192" s="206">
        <f>Loss_modulus_G!E192/1000000</f>
        <v>1.8578299999999999E-4</v>
      </c>
      <c r="G192" s="206">
        <f>Loss_modulus_G!F192/1000000</f>
        <v>2.6723899999999995E-4</v>
      </c>
      <c r="H192" s="206">
        <f>Loss_modulus_G!G192/1000000</f>
        <v>4.1118299999999997E-4</v>
      </c>
      <c r="I192" s="206">
        <f>Loss_modulus_G!H192/1000000</f>
        <v>6.3265900000000004E-4</v>
      </c>
      <c r="J192" s="206">
        <f>Loss_modulus_G!I192/1000000</f>
        <v>9.6040899999999996E-4</v>
      </c>
      <c r="K192" s="206">
        <f>Loss_modulus_G!J192/1000000</f>
        <v>1.41921E-3</v>
      </c>
      <c r="L192" s="206">
        <f>Loss_modulus_G!K192/1000000</f>
        <v>2.1544350000000001E-3</v>
      </c>
      <c r="M192" s="206">
        <f>Loss_modulus_G!L192/1000000</f>
        <v>3.2705430000000003E-3</v>
      </c>
      <c r="N192" s="206">
        <f>Loss_modulus_G!M192/1000000</f>
        <v>4.7682889999999993E-3</v>
      </c>
      <c r="O192" s="206">
        <f>Loss_modulus_G!N192/1000000</f>
        <v>7.0461719999999999E-3</v>
      </c>
      <c r="P192" s="206">
        <f>Loss_modulus_G!O192/1000000</f>
        <v>9.734286E-3</v>
      </c>
      <c r="Q192" s="206">
        <f>Loss_modulus_G!P192/1000000</f>
        <v>1.4002282E-2</v>
      </c>
      <c r="R192" s="206">
        <f>Loss_modulus_G!Q192/1000000</f>
        <v>1.8329807E-2</v>
      </c>
      <c r="S192" s="206">
        <f>Loss_modulus_G!R192/1000000</f>
        <v>2.4320075E-2</v>
      </c>
      <c r="T192" s="206">
        <f>Loss_modulus_G!S192/1000000</f>
        <v>3.0575960999999999E-2</v>
      </c>
      <c r="U192" s="206">
        <f>Loss_modulus_G!T192/1000000</f>
        <v>3.8441057000000001E-2</v>
      </c>
      <c r="V192" s="206">
        <f>Loss_modulus_G!U192/1000000</f>
        <v>4.5182552000000001E-2</v>
      </c>
      <c r="W192" s="207">
        <f>Loss_modulus_G!V192/1000000</f>
        <v>5.1003777E-2</v>
      </c>
      <c r="X192" s="2"/>
      <c r="Y192" s="2"/>
      <c r="Z192" s="2"/>
      <c r="AA192" s="2"/>
      <c r="AB192" s="2"/>
    </row>
    <row r="193" spans="1:24" ht="15.75" customHeight="1">
      <c r="A193" s="174">
        <v>34</v>
      </c>
      <c r="B193" s="179">
        <v>2</v>
      </c>
      <c r="C193" s="495" t="s">
        <v>563</v>
      </c>
      <c r="D193" s="2">
        <f>Loss_modulus_G!C193/1000000</f>
        <v>1.2951799999999999E-4</v>
      </c>
      <c r="E193" s="2">
        <f>Loss_modulus_G!D193/1000000</f>
        <v>1.7980199999999998E-4</v>
      </c>
      <c r="F193" s="2">
        <f>Loss_modulus_G!E193/1000000</f>
        <v>2.5598800000000002E-4</v>
      </c>
      <c r="G193" s="2">
        <f>Loss_modulus_G!F193/1000000</f>
        <v>3.6908200000000001E-4</v>
      </c>
      <c r="H193" s="2">
        <f>Loss_modulus_G!G193/1000000</f>
        <v>5.4574099999999998E-4</v>
      </c>
      <c r="I193" s="2">
        <f>Loss_modulus_G!H193/1000000</f>
        <v>7.9683800000000002E-4</v>
      </c>
      <c r="J193" s="2">
        <f>Loss_modulus_G!I193/1000000</f>
        <v>1.2392260000000002E-3</v>
      </c>
      <c r="K193" s="2">
        <f>Loss_modulus_G!J193/1000000</f>
        <v>1.8556379999999999E-3</v>
      </c>
      <c r="L193" s="2">
        <f>Loss_modulus_G!K193/1000000</f>
        <v>2.709422E-3</v>
      </c>
      <c r="M193" s="2">
        <f>Loss_modulus_G!L193/1000000</f>
        <v>3.7613389999999998E-3</v>
      </c>
      <c r="N193" s="2">
        <f>Loss_modulus_G!M193/1000000</f>
        <v>5.1561879999999999E-3</v>
      </c>
      <c r="O193" s="2">
        <f>Loss_modulus_G!N193/1000000</f>
        <v>7.0683019999999994E-3</v>
      </c>
      <c r="P193" s="2">
        <f>Loss_modulus_G!O193/1000000</f>
        <v>8.6494060000000001E-3</v>
      </c>
      <c r="Q193" s="2">
        <f>Loss_modulus_G!P193/1000000</f>
        <v>9.9371140000000004E-3</v>
      </c>
      <c r="R193" s="2">
        <f>Loss_modulus_G!Q193/1000000</f>
        <v>1.0992485E-2</v>
      </c>
      <c r="S193" s="2">
        <f>Loss_modulus_G!R193/1000000</f>
        <v>1.1856939E-2</v>
      </c>
      <c r="T193" s="2">
        <f>Loss_modulus_G!S193/1000000</f>
        <v>1.2789375E-2</v>
      </c>
      <c r="U193" s="2">
        <f>Loss_modulus_G!T193/1000000</f>
        <v>1.4327300999999999E-2</v>
      </c>
      <c r="V193" s="2">
        <f>Loss_modulus_G!U193/1000000</f>
        <v>1.4509211999999999E-2</v>
      </c>
      <c r="W193" s="208">
        <f>Loss_modulus_G!V193/1000000</f>
        <v>1.4693433000000001E-2</v>
      </c>
      <c r="X193" s="2"/>
    </row>
    <row r="194" spans="1:24" ht="15.75" customHeight="1">
      <c r="A194" s="174">
        <v>34</v>
      </c>
      <c r="B194" s="179">
        <v>3</v>
      </c>
      <c r="C194" s="495" t="s">
        <v>563</v>
      </c>
      <c r="D194" s="2">
        <f>Loss_modulus_G!C194/1000000</f>
        <v>2.12671E-4</v>
      </c>
      <c r="E194" s="2">
        <f>Loss_modulus_G!D194/1000000</f>
        <v>2.8648599999999997E-4</v>
      </c>
      <c r="F194" s="2">
        <f>Loss_modulus_G!E194/1000000</f>
        <v>4.0121300000000004E-4</v>
      </c>
      <c r="G194" s="2">
        <f>Loss_modulus_G!F194/1000000</f>
        <v>5.7663400000000002E-4</v>
      </c>
      <c r="H194" s="2">
        <f>Loss_modulus_G!G194/1000000</f>
        <v>7.8690300000000004E-4</v>
      </c>
      <c r="I194" s="2">
        <f>Loss_modulus_G!H194/1000000</f>
        <v>1.1606400000000001E-3</v>
      </c>
      <c r="J194" s="2">
        <f>Loss_modulus_G!I194/1000000</f>
        <v>1.6898499999999999E-3</v>
      </c>
      <c r="K194" s="2">
        <f>Loss_modulus_G!J194/1000000</f>
        <v>2.3665790000000002E-3</v>
      </c>
      <c r="L194" s="2">
        <f>Loss_modulus_G!K194/1000000</f>
        <v>3.445652E-3</v>
      </c>
      <c r="M194" s="2">
        <f>Loss_modulus_G!L194/1000000</f>
        <v>4.952176E-3</v>
      </c>
      <c r="N194" s="2">
        <f>Loss_modulus_G!M194/1000000</f>
        <v>6.9353590000000003E-3</v>
      </c>
      <c r="O194" s="2">
        <f>Loss_modulus_G!N194/1000000</f>
        <v>9.4643330000000001E-3</v>
      </c>
      <c r="P194" s="2">
        <f>Loss_modulus_G!O194/1000000</f>
        <v>1.2423200000000001E-2</v>
      </c>
      <c r="Q194" s="2">
        <f>Loss_modulus_G!P194/1000000</f>
        <v>1.6097225999999999E-2</v>
      </c>
      <c r="R194" s="2">
        <f>Loss_modulus_G!Q194/1000000</f>
        <v>1.9804556000000001E-2</v>
      </c>
      <c r="S194" s="2">
        <f>Loss_modulus_G!R194/1000000</f>
        <v>2.5005235000000001E-2</v>
      </c>
      <c r="T194" s="2">
        <f>Loss_modulus_G!S194/1000000</f>
        <v>3.0764155999999997E-2</v>
      </c>
      <c r="U194" s="2">
        <f>Loss_modulus_G!T194/1000000</f>
        <v>3.2822707E-2</v>
      </c>
      <c r="V194" s="2">
        <f>Loss_modulus_G!U194/1000000</f>
        <v>3.7362264999999999E-2</v>
      </c>
      <c r="W194" s="208"/>
      <c r="X194" s="2"/>
    </row>
    <row r="195" spans="1:24" ht="15.75" customHeight="1">
      <c r="A195" s="175">
        <v>34</v>
      </c>
      <c r="B195" s="180">
        <v>4</v>
      </c>
      <c r="C195" s="495" t="s">
        <v>563</v>
      </c>
      <c r="D195" s="30">
        <f>Loss_modulus_G!C195/1000000</f>
        <v>1.9486449999999999E-3</v>
      </c>
      <c r="E195" s="30">
        <f>Loss_modulus_G!D195/1000000</f>
        <v>2.1336050000000002E-3</v>
      </c>
      <c r="F195" s="30">
        <f>Loss_modulus_G!E195/1000000</f>
        <v>2.4286939999999999E-3</v>
      </c>
      <c r="G195" s="30">
        <f>Loss_modulus_G!F195/1000000</f>
        <v>2.6938890000000001E-3</v>
      </c>
      <c r="H195" s="30">
        <f>Loss_modulus_G!G195/1000000</f>
        <v>3.027002E-3</v>
      </c>
      <c r="I195" s="30">
        <f>Loss_modulus_G!H195/1000000</f>
        <v>3.4905779999999998E-3</v>
      </c>
      <c r="J195" s="30">
        <f>Loss_modulus_G!I195/1000000</f>
        <v>3.9222049999999998E-3</v>
      </c>
      <c r="K195" s="30">
        <f>Loss_modulus_G!J195/1000000</f>
        <v>4.4646670000000003E-3</v>
      </c>
      <c r="L195" s="30">
        <f>Loss_modulus_G!K195/1000000</f>
        <v>5.1484170000000006E-3</v>
      </c>
      <c r="M195" s="30">
        <f>Loss_modulus_G!L195/1000000</f>
        <v>5.7850429999999993E-3</v>
      </c>
      <c r="N195" s="30">
        <f>Loss_modulus_G!M195/1000000</f>
        <v>6.5003919999999998E-3</v>
      </c>
      <c r="O195" s="30">
        <f>Loss_modulus_G!N195/1000000</f>
        <v>7.3041959999999998E-3</v>
      </c>
      <c r="P195" s="30">
        <f>Loss_modulus_G!O195/1000000</f>
        <v>8.1017620000000002E-3</v>
      </c>
      <c r="Q195" s="30">
        <f>Loss_modulus_G!P195/1000000</f>
        <v>9.3425220000000007E-3</v>
      </c>
      <c r="R195" s="30">
        <f>Loss_modulus_G!Q195/1000000</f>
        <v>1.0634642999999999E-2</v>
      </c>
      <c r="S195" s="30">
        <f>Loss_modulus_G!R195/1000000</f>
        <v>1.1494184999999999E-2</v>
      </c>
      <c r="T195" s="30">
        <f>Loss_modulus_G!S195/1000000</f>
        <v>1.2585178000000001E-2</v>
      </c>
      <c r="U195" s="30">
        <f>Loss_modulus_G!T195/1000000</f>
        <v>1.4141395000000001E-2</v>
      </c>
      <c r="V195" s="30">
        <f>Loss_modulus_G!U195/1000000</f>
        <v>1.5685534000000001E-2</v>
      </c>
      <c r="W195" s="209">
        <f>Loss_modulus_G!V195/1000000</f>
        <v>3.0368205000000002E-2</v>
      </c>
      <c r="X195" s="2"/>
    </row>
    <row r="196" spans="1:24" ht="15.75" customHeight="1">
      <c r="A196" s="200">
        <v>35</v>
      </c>
      <c r="B196" s="59">
        <v>1</v>
      </c>
      <c r="C196" s="59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4" ht="15.75" customHeight="1">
      <c r="A197" s="200">
        <v>35</v>
      </c>
      <c r="B197" s="59">
        <v>2</v>
      </c>
      <c r="C197" s="59"/>
    </row>
    <row r="198" spans="1:24" ht="15.75" customHeight="1">
      <c r="A198" s="200">
        <v>35</v>
      </c>
      <c r="B198" s="59">
        <v>3</v>
      </c>
      <c r="C198" s="59"/>
    </row>
    <row r="199" spans="1:24" ht="15.75" customHeight="1">
      <c r="A199" s="202">
        <v>35</v>
      </c>
      <c r="B199" s="203">
        <v>4</v>
      </c>
      <c r="C199" s="59"/>
    </row>
    <row r="200" spans="1:24" ht="15.75" customHeight="1">
      <c r="A200" s="205">
        <v>36</v>
      </c>
      <c r="B200" s="59">
        <v>1</v>
      </c>
      <c r="C200" s="59"/>
    </row>
    <row r="201" spans="1:24" ht="15.75" customHeight="1">
      <c r="A201" s="205">
        <v>36</v>
      </c>
      <c r="B201" s="59">
        <v>2</v>
      </c>
      <c r="C201" s="59"/>
    </row>
    <row r="202" spans="1:24" ht="15.75" customHeight="1">
      <c r="A202" s="205">
        <v>36</v>
      </c>
      <c r="B202" s="59">
        <v>3</v>
      </c>
      <c r="C202" s="59"/>
    </row>
    <row r="203" spans="1:24" ht="15.75" customHeight="1">
      <c r="A203" s="205">
        <v>36</v>
      </c>
      <c r="B203" s="59">
        <v>4</v>
      </c>
      <c r="C203" s="59"/>
    </row>
    <row r="204" spans="1:24" ht="15.75" customHeight="1">
      <c r="A204" s="201">
        <v>37</v>
      </c>
      <c r="B204" s="178">
        <v>1</v>
      </c>
      <c r="C204" s="179" t="s">
        <v>565</v>
      </c>
      <c r="D204">
        <v>139.66834</v>
      </c>
      <c r="E204">
        <v>136.44387900000001</v>
      </c>
      <c r="F204">
        <v>131.71078199999999</v>
      </c>
      <c r="G204">
        <v>106.26331399999999</v>
      </c>
      <c r="H204">
        <v>78.65970999999999</v>
      </c>
      <c r="I204">
        <v>65.573379000000003</v>
      </c>
      <c r="J204">
        <v>71.098570999999993</v>
      </c>
      <c r="K204">
        <v>84.807215999999997</v>
      </c>
      <c r="L204">
        <v>92.771208000000001</v>
      </c>
      <c r="M204">
        <v>91.112949</v>
      </c>
      <c r="N204">
        <v>79.928100000000001</v>
      </c>
      <c r="O204">
        <v>56.835296999999997</v>
      </c>
      <c r="P204">
        <v>40.215800000000002</v>
      </c>
    </row>
    <row r="205" spans="1:24" ht="15.75" customHeight="1">
      <c r="A205" s="200">
        <v>37</v>
      </c>
      <c r="B205" s="179">
        <v>2</v>
      </c>
      <c r="C205" s="179" t="s">
        <v>565</v>
      </c>
      <c r="D205">
        <v>129.90934200000001</v>
      </c>
      <c r="E205">
        <v>125.26979500000002</v>
      </c>
      <c r="F205">
        <v>123.322312</v>
      </c>
      <c r="G205">
        <v>105.643152</v>
      </c>
      <c r="H205">
        <v>79.920869999999994</v>
      </c>
      <c r="I205">
        <v>65.246769</v>
      </c>
      <c r="J205">
        <v>73.298575</v>
      </c>
      <c r="K205">
        <v>85.719400000000007</v>
      </c>
      <c r="L205">
        <v>92.637402000000009</v>
      </c>
      <c r="M205">
        <v>92.246769</v>
      </c>
      <c r="N205">
        <v>80.59069199999999</v>
      </c>
      <c r="O205">
        <v>55.656084</v>
      </c>
    </row>
    <row r="206" spans="1:24" ht="15.75" customHeight="1">
      <c r="A206" s="200">
        <v>37</v>
      </c>
      <c r="B206" s="179">
        <v>3</v>
      </c>
      <c r="C206" s="179" t="s">
        <v>565</v>
      </c>
      <c r="D206">
        <v>149.44821999999999</v>
      </c>
      <c r="E206">
        <v>142.023754</v>
      </c>
      <c r="F206">
        <v>130.89207999999999</v>
      </c>
      <c r="G206">
        <v>111.40575600000001</v>
      </c>
      <c r="H206">
        <v>83.169065000000003</v>
      </c>
      <c r="I206">
        <v>66.348928000000001</v>
      </c>
      <c r="J206">
        <v>71.350344000000007</v>
      </c>
      <c r="K206">
        <v>84.269768999999997</v>
      </c>
      <c r="L206">
        <v>89.176956000000004</v>
      </c>
      <c r="M206">
        <v>81.826607999999993</v>
      </c>
      <c r="N206">
        <v>59.710753999999994</v>
      </c>
      <c r="O206">
        <v>38.460419999999999</v>
      </c>
    </row>
    <row r="207" spans="1:24" ht="15.75" customHeight="1">
      <c r="A207" s="200">
        <v>37</v>
      </c>
      <c r="B207" s="179">
        <v>4</v>
      </c>
      <c r="C207" s="179" t="s">
        <v>565</v>
      </c>
      <c r="D207">
        <v>155.971959</v>
      </c>
      <c r="E207">
        <v>145.19279399999999</v>
      </c>
      <c r="F207">
        <v>146.21439000000001</v>
      </c>
      <c r="G207">
        <v>124.97840000000001</v>
      </c>
      <c r="H207">
        <v>93.610803000000004</v>
      </c>
      <c r="I207">
        <v>80.265478999999999</v>
      </c>
      <c r="J207">
        <v>80.365463999999989</v>
      </c>
      <c r="K207">
        <v>94.184912999999995</v>
      </c>
      <c r="L207">
        <v>104.83811600000001</v>
      </c>
      <c r="M207">
        <v>105.03384400000002</v>
      </c>
      <c r="N207">
        <v>98.936692000000008</v>
      </c>
      <c r="O207">
        <v>79.763294000000002</v>
      </c>
      <c r="P207">
        <v>50.210112000000002</v>
      </c>
    </row>
    <row r="208" spans="1:24" ht="15.75" customHeight="1">
      <c r="A208" s="200">
        <v>37</v>
      </c>
      <c r="B208" s="179">
        <v>5</v>
      </c>
      <c r="C208" s="179" t="s">
        <v>565</v>
      </c>
      <c r="D208">
        <v>146.15827999999999</v>
      </c>
      <c r="E208">
        <v>140.40288000000001</v>
      </c>
      <c r="F208">
        <v>137.81654799999998</v>
      </c>
      <c r="G208">
        <v>115.7698</v>
      </c>
      <c r="H208">
        <v>78.366900000000001</v>
      </c>
      <c r="I208">
        <v>67.01870000000001</v>
      </c>
      <c r="J208">
        <v>74.97842399999999</v>
      </c>
      <c r="K208">
        <v>90.557548999999995</v>
      </c>
      <c r="L208">
        <v>101.28994899999998</v>
      </c>
      <c r="M208">
        <v>95.21077600000001</v>
      </c>
      <c r="N208">
        <v>72.248216999999997</v>
      </c>
      <c r="O208">
        <v>48.405708000000004</v>
      </c>
      <c r="P208">
        <v>29.853200000000001</v>
      </c>
    </row>
    <row r="209" spans="1:16" ht="15.75" customHeight="1">
      <c r="A209" s="200">
        <v>37</v>
      </c>
      <c r="B209" s="179">
        <v>6</v>
      </c>
      <c r="C209" s="179" t="s">
        <v>565</v>
      </c>
      <c r="D209">
        <v>168.31725300000002</v>
      </c>
      <c r="E209">
        <v>162.705738</v>
      </c>
      <c r="F209">
        <v>157.36328900000001</v>
      </c>
      <c r="G209">
        <v>135.54606000000001</v>
      </c>
      <c r="H209">
        <v>100.166912</v>
      </c>
      <c r="I209">
        <v>85.446029999999993</v>
      </c>
      <c r="J209">
        <v>91.754671999999999</v>
      </c>
      <c r="K209">
        <v>105.907932</v>
      </c>
      <c r="L209">
        <v>108.35970000000002</v>
      </c>
      <c r="M209">
        <v>89.582767999999987</v>
      </c>
      <c r="N209">
        <v>63.288519000000008</v>
      </c>
      <c r="O209">
        <v>40.798552000000001</v>
      </c>
    </row>
    <row r="210" spans="1:16" ht="15.75" customHeight="1">
      <c r="A210" s="200">
        <v>37</v>
      </c>
      <c r="B210" s="179">
        <v>7</v>
      </c>
      <c r="C210" s="179" t="s">
        <v>565</v>
      </c>
      <c r="D210">
        <v>137.154675</v>
      </c>
      <c r="E210">
        <v>134.85754799999998</v>
      </c>
      <c r="F210">
        <v>131.41437400000001</v>
      </c>
      <c r="G210">
        <v>110.56475500000001</v>
      </c>
      <c r="H210">
        <v>84.767638000000005</v>
      </c>
      <c r="I210">
        <v>70.012956000000003</v>
      </c>
      <c r="J210">
        <v>70.413682000000009</v>
      </c>
      <c r="K210">
        <v>83.268335000000008</v>
      </c>
      <c r="L210">
        <v>98.432355000000001</v>
      </c>
      <c r="M210">
        <v>103.15464500000002</v>
      </c>
      <c r="N210">
        <v>95.743128000000013</v>
      </c>
      <c r="O210">
        <v>81.079100000000011</v>
      </c>
      <c r="P210">
        <v>66.320155</v>
      </c>
    </row>
    <row r="211" spans="1:16" ht="15.75" customHeight="1">
      <c r="A211" s="201">
        <v>38</v>
      </c>
      <c r="B211" s="58">
        <v>1</v>
      </c>
      <c r="C211" s="59"/>
    </row>
    <row r="212" spans="1:16" ht="15.75" customHeight="1">
      <c r="A212" s="200">
        <v>38</v>
      </c>
      <c r="B212" s="59">
        <v>2</v>
      </c>
      <c r="C212" s="59"/>
    </row>
    <row r="213" spans="1:16" ht="15.75" customHeight="1">
      <c r="A213" s="200">
        <v>38</v>
      </c>
      <c r="B213" s="59">
        <v>3</v>
      </c>
      <c r="C213" s="59"/>
    </row>
    <row r="214" spans="1:16" ht="15.75" customHeight="1">
      <c r="A214" s="200">
        <v>38</v>
      </c>
      <c r="B214" s="59">
        <v>4</v>
      </c>
      <c r="C214" s="59"/>
    </row>
    <row r="215" spans="1:16" ht="15.75" customHeight="1">
      <c r="A215" s="200">
        <v>38</v>
      </c>
      <c r="B215" s="59">
        <v>5</v>
      </c>
      <c r="C215" s="59"/>
    </row>
    <row r="216" spans="1:16" ht="15.75" customHeight="1">
      <c r="A216" s="202">
        <v>38</v>
      </c>
      <c r="B216" s="203">
        <v>6</v>
      </c>
      <c r="C216" s="59"/>
    </row>
    <row r="217" spans="1:16" ht="15.75" customHeight="1">
      <c r="A217" s="205">
        <v>39</v>
      </c>
      <c r="B217" s="59">
        <v>1</v>
      </c>
      <c r="C217" s="59"/>
    </row>
    <row r="218" spans="1:16" ht="15.75" customHeight="1">
      <c r="A218" s="205">
        <v>39</v>
      </c>
      <c r="B218" s="59">
        <v>2</v>
      </c>
      <c r="C218" s="59"/>
    </row>
    <row r="219" spans="1:16" ht="15.75" customHeight="1">
      <c r="A219" s="205">
        <v>39</v>
      </c>
      <c r="B219" s="59">
        <v>3</v>
      </c>
      <c r="C219" s="59"/>
    </row>
    <row r="220" spans="1:16" ht="15.75" customHeight="1">
      <c r="A220" s="205">
        <v>39</v>
      </c>
      <c r="B220" s="59">
        <v>4</v>
      </c>
      <c r="C220" s="59"/>
    </row>
    <row r="221" spans="1:16" ht="15.75" customHeight="1">
      <c r="A221" s="205">
        <v>39</v>
      </c>
      <c r="B221" s="59">
        <v>5</v>
      </c>
      <c r="C221" s="59"/>
    </row>
    <row r="222" spans="1:16" ht="15.75" customHeight="1">
      <c r="A222" s="205">
        <v>39</v>
      </c>
      <c r="B222" s="59">
        <v>6</v>
      </c>
      <c r="C222" s="59"/>
    </row>
    <row r="223" spans="1:16" ht="15.75" customHeight="1">
      <c r="A223" s="205">
        <v>39</v>
      </c>
      <c r="B223" s="59">
        <v>7</v>
      </c>
      <c r="C223" s="59"/>
    </row>
    <row r="224" spans="1:16" ht="15.75" customHeight="1">
      <c r="A224" s="205">
        <v>39</v>
      </c>
      <c r="B224" s="59">
        <v>8</v>
      </c>
      <c r="C224" s="59"/>
    </row>
    <row r="225" spans="1:28" ht="15.75" customHeight="1">
      <c r="A225" s="177">
        <v>41</v>
      </c>
      <c r="B225" s="178">
        <v>1</v>
      </c>
      <c r="C225" s="495" t="s">
        <v>563</v>
      </c>
      <c r="D225" s="206">
        <v>16.030999999999999</v>
      </c>
      <c r="E225" s="206">
        <v>18.495999999999999</v>
      </c>
      <c r="F225" s="206">
        <v>23.587</v>
      </c>
      <c r="G225" s="206">
        <v>33.725000000000001</v>
      </c>
      <c r="H225" s="206">
        <v>49.619</v>
      </c>
      <c r="I225" s="206">
        <v>69.938999999999993</v>
      </c>
      <c r="J225" s="206">
        <v>100</v>
      </c>
      <c r="K225" s="206">
        <v>145.041</v>
      </c>
      <c r="L225" s="206">
        <v>201.53399999999999</v>
      </c>
      <c r="M225" s="206">
        <v>284.06400000000002</v>
      </c>
      <c r="N225" s="206">
        <v>394.70600000000002</v>
      </c>
      <c r="O225" s="206">
        <v>548.44200000000001</v>
      </c>
      <c r="P225" s="206">
        <v>762.05700000000002</v>
      </c>
      <c r="Q225" s="206">
        <v>1074.1279999999999</v>
      </c>
      <c r="R225" s="206">
        <v>1471.3019999999999</v>
      </c>
      <c r="S225" s="206">
        <v>1958.509</v>
      </c>
      <c r="T225" s="206">
        <v>2760.538</v>
      </c>
      <c r="U225" s="206">
        <v>3727.5940000000001</v>
      </c>
      <c r="V225" s="206">
        <v>5105.9260000000004</v>
      </c>
      <c r="W225" s="206">
        <v>6700.1880000000001</v>
      </c>
      <c r="X225" s="206">
        <v>9047.357</v>
      </c>
      <c r="Y225" s="206">
        <v>11703.695</v>
      </c>
      <c r="Z225" s="206">
        <v>15358.026</v>
      </c>
      <c r="AA225" s="207">
        <v>17719.326000000001</v>
      </c>
      <c r="AB225" s="2"/>
    </row>
    <row r="226" spans="1:28" ht="15.75" customHeight="1">
      <c r="A226" s="174">
        <v>41</v>
      </c>
      <c r="B226" s="179">
        <v>2</v>
      </c>
      <c r="C226" s="495" t="s">
        <v>563</v>
      </c>
      <c r="D226" s="2">
        <v>102.902</v>
      </c>
      <c r="E226" s="2">
        <v>151.399</v>
      </c>
      <c r="F226" s="2">
        <v>213.399</v>
      </c>
      <c r="G226" s="2">
        <v>305.12099999999998</v>
      </c>
      <c r="H226" s="2">
        <v>436.26600000000002</v>
      </c>
      <c r="I226" s="2">
        <v>597.58199999999999</v>
      </c>
      <c r="J226" s="2">
        <v>806.923</v>
      </c>
      <c r="K226" s="2">
        <v>1153.75</v>
      </c>
      <c r="L226" s="2">
        <v>1513.9939999999999</v>
      </c>
      <c r="M226" s="2">
        <v>2015.338</v>
      </c>
      <c r="N226" s="2">
        <v>2682.6959999999999</v>
      </c>
      <c r="O226" s="2">
        <v>3520.3339999999998</v>
      </c>
      <c r="P226" s="2">
        <v>4553.9170000000004</v>
      </c>
      <c r="Q226" s="2">
        <v>6061.8990000000003</v>
      </c>
      <c r="R226" s="2">
        <v>8069.2340000000004</v>
      </c>
      <c r="S226" s="2">
        <v>10588.751</v>
      </c>
      <c r="T226" s="2">
        <v>13503.14</v>
      </c>
      <c r="U226" s="2">
        <v>17719.326000000001</v>
      </c>
      <c r="V226" s="2">
        <v>22596.296999999999</v>
      </c>
      <c r="W226" s="2">
        <v>28406.397000000001</v>
      </c>
      <c r="X226" s="2">
        <v>35710.425999999999</v>
      </c>
      <c r="Y226" s="2">
        <v>45539.167999999998</v>
      </c>
      <c r="Z226" s="2">
        <v>55634.17</v>
      </c>
      <c r="AA226" s="208">
        <v>61492.178</v>
      </c>
      <c r="AB226" s="2"/>
    </row>
    <row r="227" spans="1:28" ht="15.75" customHeight="1">
      <c r="A227" s="174">
        <v>41</v>
      </c>
      <c r="B227" s="179">
        <v>3</v>
      </c>
      <c r="C227" s="495" t="s">
        <v>563</v>
      </c>
      <c r="D227" s="2">
        <v>1014.405</v>
      </c>
      <c r="E227" s="2">
        <v>1239.2750000000001</v>
      </c>
      <c r="F227" s="2">
        <v>1513.9939999999999</v>
      </c>
      <c r="G227" s="2">
        <v>1797.4559999999999</v>
      </c>
      <c r="H227" s="2">
        <v>2259.63</v>
      </c>
      <c r="I227" s="2">
        <v>3051.21</v>
      </c>
      <c r="J227" s="2">
        <v>3891.0079999999998</v>
      </c>
      <c r="K227" s="2">
        <v>5033.4219999999996</v>
      </c>
      <c r="L227" s="2">
        <v>6418.7939999999999</v>
      </c>
      <c r="M227" s="2">
        <v>8069.2340000000004</v>
      </c>
      <c r="N227" s="2">
        <v>10438.391</v>
      </c>
      <c r="O227" s="2">
        <v>13122.374</v>
      </c>
      <c r="P227" s="2">
        <v>16734.105</v>
      </c>
      <c r="Q227" s="2">
        <v>20738.157999999999</v>
      </c>
      <c r="R227" s="2">
        <v>26826.957999999999</v>
      </c>
      <c r="S227" s="2">
        <v>34210.663</v>
      </c>
      <c r="T227" s="2">
        <v>43007.120999999999</v>
      </c>
      <c r="U227" s="2">
        <v>54065.379000000001</v>
      </c>
      <c r="V227" s="2">
        <v>67001.875</v>
      </c>
      <c r="W227" s="2">
        <v>77303.429000000004</v>
      </c>
      <c r="X227" s="2">
        <v>87922.369000000006</v>
      </c>
      <c r="Y227" s="2">
        <v>105887.50599999999</v>
      </c>
      <c r="Z227" s="2">
        <v>133113.96</v>
      </c>
      <c r="AA227" s="208">
        <v>210368.818</v>
      </c>
      <c r="AB227" s="2"/>
    </row>
    <row r="228" spans="1:28" ht="15.75" customHeight="1">
      <c r="A228" s="174">
        <v>41</v>
      </c>
      <c r="B228" s="179">
        <v>4</v>
      </c>
      <c r="C228" s="495" t="s">
        <v>563</v>
      </c>
      <c r="D228" s="2">
        <v>10144.045</v>
      </c>
      <c r="E228" s="2">
        <v>10290.165999999999</v>
      </c>
      <c r="F228" s="2">
        <v>10588.751</v>
      </c>
      <c r="G228" s="2">
        <v>10896</v>
      </c>
      <c r="H228" s="2">
        <v>11052.950999999999</v>
      </c>
      <c r="I228" s="2">
        <v>11703.695</v>
      </c>
      <c r="J228" s="2">
        <v>12216.772999999999</v>
      </c>
      <c r="K228" s="2">
        <v>12936.037</v>
      </c>
      <c r="L228" s="2">
        <v>14095.105</v>
      </c>
      <c r="M228" s="2">
        <v>15358.026</v>
      </c>
      <c r="N228" s="2">
        <v>17467.712</v>
      </c>
      <c r="O228" s="2">
        <v>19585.084999999999</v>
      </c>
      <c r="P228" s="2">
        <v>22596.296999999999</v>
      </c>
      <c r="Q228" s="2">
        <v>27213.387999999999</v>
      </c>
      <c r="R228" s="2">
        <v>30951.609</v>
      </c>
      <c r="S228" s="2">
        <v>35203.338000000003</v>
      </c>
      <c r="T228" s="2">
        <v>42396.421000000002</v>
      </c>
      <c r="U228" s="2">
        <v>51794.747000000003</v>
      </c>
      <c r="V228" s="2">
        <v>62377.944000000003</v>
      </c>
      <c r="W228" s="2">
        <v>71968.566999999995</v>
      </c>
      <c r="X228" s="2">
        <v>85443.104000000007</v>
      </c>
      <c r="Y228" s="2">
        <v>105887.50599999999</v>
      </c>
      <c r="Z228" s="2">
        <v>133113.96</v>
      </c>
      <c r="AA228" s="208">
        <v>195850.85200000001</v>
      </c>
      <c r="AB228" s="2"/>
    </row>
    <row r="229" spans="1:28" ht="15.75" customHeight="1">
      <c r="A229" s="174">
        <v>41</v>
      </c>
      <c r="B229" s="179">
        <v>5</v>
      </c>
      <c r="C229" s="495" t="s">
        <v>563</v>
      </c>
      <c r="D229" s="2">
        <v>23926.654999999999</v>
      </c>
      <c r="E229" s="2">
        <v>22596.296999999999</v>
      </c>
      <c r="F229" s="2">
        <v>21339.907999999999</v>
      </c>
      <c r="G229" s="2">
        <v>21339.907999999999</v>
      </c>
      <c r="H229" s="2">
        <v>21339.907999999999</v>
      </c>
      <c r="I229" s="2">
        <v>20443.677</v>
      </c>
      <c r="J229" s="2">
        <v>22596.296999999999</v>
      </c>
      <c r="K229" s="2">
        <v>22596.296999999999</v>
      </c>
      <c r="L229" s="2">
        <v>22921.786</v>
      </c>
      <c r="M229" s="2">
        <v>24620.923999999999</v>
      </c>
      <c r="N229" s="2">
        <v>27213.387999999999</v>
      </c>
      <c r="O229" s="2">
        <v>29230.651999999998</v>
      </c>
      <c r="P229" s="2">
        <v>33245.978999999999</v>
      </c>
      <c r="Q229" s="2">
        <v>36746.618999999999</v>
      </c>
      <c r="R229" s="2">
        <v>41794.392</v>
      </c>
      <c r="S229" s="2">
        <v>48220.29</v>
      </c>
      <c r="T229" s="2">
        <v>54844.165999999997</v>
      </c>
      <c r="U229" s="2">
        <v>64187.936999999998</v>
      </c>
      <c r="V229" s="2">
        <v>71968.566999999995</v>
      </c>
      <c r="W229" s="2">
        <v>85443.104000000007</v>
      </c>
      <c r="X229" s="2">
        <v>102901.655</v>
      </c>
      <c r="Y229" s="2">
        <v>122167.735</v>
      </c>
      <c r="Z229" s="2">
        <v>222754.29500000001</v>
      </c>
      <c r="AA229" s="208">
        <v>347034.51500000001</v>
      </c>
      <c r="AB229" s="2"/>
    </row>
    <row r="230" spans="1:28" ht="15.75" customHeight="1">
      <c r="A230" s="174">
        <v>41</v>
      </c>
      <c r="B230" s="179">
        <v>6</v>
      </c>
      <c r="C230" s="495" t="s">
        <v>563</v>
      </c>
      <c r="D230" s="2">
        <v>147130.21299999999</v>
      </c>
      <c r="E230" s="2">
        <v>125712.621</v>
      </c>
      <c r="F230" s="2">
        <v>110529.514</v>
      </c>
      <c r="G230" s="2">
        <v>97180.167000000001</v>
      </c>
      <c r="H230" s="2">
        <v>94439.847999999998</v>
      </c>
      <c r="I230" s="2">
        <v>86673.872000000003</v>
      </c>
      <c r="J230" s="2">
        <v>84229.812999999995</v>
      </c>
      <c r="K230" s="2">
        <v>77303.429000000004</v>
      </c>
      <c r="L230" s="2">
        <v>74056.846999999994</v>
      </c>
      <c r="M230" s="2">
        <v>70946.615000000005</v>
      </c>
      <c r="N230" s="2">
        <v>68946.038</v>
      </c>
      <c r="O230" s="2">
        <v>66050.448999999993</v>
      </c>
      <c r="P230" s="2">
        <v>67967.005999999994</v>
      </c>
      <c r="Q230" s="2">
        <v>67967.005999999994</v>
      </c>
      <c r="R230" s="2">
        <v>69939.173999999999</v>
      </c>
      <c r="S230" s="2">
        <v>67967.005999999994</v>
      </c>
      <c r="T230" s="2">
        <v>76205.721000000005</v>
      </c>
      <c r="U230" s="2">
        <v>78416.948000000004</v>
      </c>
      <c r="V230" s="2">
        <v>83033.751000000004</v>
      </c>
      <c r="W230" s="2">
        <v>85443.104000000007</v>
      </c>
      <c r="X230" s="2">
        <v>102901.655</v>
      </c>
      <c r="Y230" s="30">
        <v>85443.104000000007</v>
      </c>
      <c r="Z230" s="30">
        <v>158036.63099999999</v>
      </c>
      <c r="AA230" s="209">
        <v>296517.06300000002</v>
      </c>
      <c r="AB230" s="2"/>
    </row>
    <row r="231" spans="1:28" ht="15.75" customHeight="1">
      <c r="A231" s="177">
        <v>42</v>
      </c>
      <c r="B231" s="178" t="s">
        <v>220</v>
      </c>
      <c r="C231" s="495" t="s">
        <v>563</v>
      </c>
      <c r="D231" s="206">
        <f>Loss_modulus_G!C231/1000000</f>
        <v>6.0701E-5</v>
      </c>
      <c r="E231" s="206">
        <f>Loss_modulus_G!D231/1000000</f>
        <v>1.0846599999999999E-4</v>
      </c>
      <c r="F231" s="206">
        <f>Loss_modulus_G!E231/1000000</f>
        <v>1.7662799999999999E-4</v>
      </c>
      <c r="G231" s="206">
        <f>Loss_modulus_G!F231/1000000</f>
        <v>2.9437899999999999E-4</v>
      </c>
      <c r="H231" s="206">
        <f>Loss_modulus_G!G231/1000000</f>
        <v>4.4711600000000001E-4</v>
      </c>
      <c r="I231" s="206">
        <f>Loss_modulus_G!H231/1000000</f>
        <v>7.1137900000000005E-4</v>
      </c>
      <c r="J231" s="206">
        <f>Loss_modulus_G!I231/1000000</f>
        <v>1.105853E-3</v>
      </c>
      <c r="K231" s="206">
        <f>Loss_modulus_G!J231/1000000</f>
        <v>1.6410660000000001E-3</v>
      </c>
      <c r="L231" s="206">
        <f>Loss_modulus_G!K231/1000000</f>
        <v>2.4925199999999998E-3</v>
      </c>
      <c r="M231" s="206">
        <f>Loss_modulus_G!L231/1000000</f>
        <v>3.4499679999999999E-3</v>
      </c>
      <c r="N231" s="206">
        <f>Loss_modulus_G!M231/1000000</f>
        <v>5.3630489999999999E-3</v>
      </c>
      <c r="O231" s="206">
        <f>Loss_modulus_G!N231/1000000</f>
        <v>7.9586670000000009E-3</v>
      </c>
      <c r="P231" s="206">
        <f>Loss_modulus_G!O231/1000000</f>
        <v>1.1274592E-2</v>
      </c>
      <c r="Q231" s="206">
        <f>Loss_modulus_G!P231/1000000</f>
        <v>1.5972075000000002E-2</v>
      </c>
      <c r="R231" s="206">
        <f>Loss_modulus_G!Q231/1000000</f>
        <v>2.3702269000000002E-2</v>
      </c>
      <c r="S231" s="206">
        <f>Loss_modulus_G!R231/1000000</f>
        <v>3.1318310000000002E-2</v>
      </c>
      <c r="T231" s="206">
        <f>Loss_modulus_G!S231/1000000</f>
        <v>4.3348571000000002E-2</v>
      </c>
      <c r="U231" s="206">
        <f>Loss_modulus_G!T231/1000000</f>
        <v>4.8684976000000005E-2</v>
      </c>
      <c r="V231" s="206">
        <f>Loss_modulus_G!U231/1000000</f>
        <v>6.4328491000000002E-2</v>
      </c>
      <c r="W231" s="206">
        <f>Loss_modulus_G!V231/1000000</f>
        <v>6.2852033000000002E-2</v>
      </c>
      <c r="X231" s="207">
        <f>Loss_modulus_G!W231/1000000</f>
        <v>5.7277386E-2</v>
      </c>
      <c r="Y231" s="2"/>
      <c r="Z231" s="2"/>
      <c r="AA231" s="2"/>
    </row>
    <row r="232" spans="1:28" ht="15.75" customHeight="1">
      <c r="A232" s="174">
        <v>42</v>
      </c>
      <c r="B232" s="179" t="s">
        <v>221</v>
      </c>
      <c r="C232" s="495" t="s">
        <v>563</v>
      </c>
      <c r="D232" s="2">
        <f>Loss_modulus_G!C232/1000000</f>
        <v>1.01168E-4</v>
      </c>
      <c r="E232" s="2">
        <f>Loss_modulus_G!D232/1000000</f>
        <v>1.7662799999999999E-4</v>
      </c>
      <c r="F232" s="2">
        <f>Loss_modulus_G!E232/1000000</f>
        <v>2.8762299999999998E-4</v>
      </c>
      <c r="G232" s="2">
        <f>Loss_modulus_G!F232/1000000</f>
        <v>4.6836900000000006E-4</v>
      </c>
      <c r="H232" s="2">
        <f>Loss_modulus_G!G232/1000000</f>
        <v>6.6351199999999989E-4</v>
      </c>
      <c r="I232" s="2">
        <f>Loss_modulus_G!H232/1000000</f>
        <v>9.6203999999999994E-4</v>
      </c>
      <c r="J232" s="2">
        <f>Loss_modulus_G!I232/1000000</f>
        <v>1.6034010000000002E-3</v>
      </c>
      <c r="K232" s="2">
        <f>Loss_modulus_G!J232/1000000</f>
        <v>2.1683750000000002E-3</v>
      </c>
      <c r="L232" s="2">
        <f>Loss_modulus_G!K232/1000000</f>
        <v>3.2178290000000002E-3</v>
      </c>
      <c r="M232" s="2">
        <f>Loss_modulus_G!L232/1000000</f>
        <v>4.5585159999999994E-3</v>
      </c>
      <c r="N232" s="2">
        <f>Loss_modulus_G!M232/1000000</f>
        <v>6.6094919999999998E-3</v>
      </c>
      <c r="O232" s="2">
        <f>Loss_modulus_G!N232/1000000</f>
        <v>9.3632919999999988E-3</v>
      </c>
      <c r="P232" s="2">
        <f>Loss_modulus_G!O232/1000000</f>
        <v>1.4221362E-2</v>
      </c>
      <c r="Q232" s="2">
        <f>Loss_modulus_G!P232/1000000</f>
        <v>1.9684193999999999E-2</v>
      </c>
      <c r="R232" s="2">
        <f>Loss_modulus_G!Q232/1000000</f>
        <v>2.7885482E-2</v>
      </c>
      <c r="S232" s="2">
        <f>Loss_modulus_G!R232/1000000</f>
        <v>4.0431764000000002E-2</v>
      </c>
      <c r="T232" s="2">
        <f>Loss_modulus_G!S232/1000000</f>
        <v>5.2197182000000002E-2</v>
      </c>
      <c r="U232" s="2">
        <f>Loss_modulus_G!T232/1000000</f>
        <v>7.0589400999999996E-2</v>
      </c>
      <c r="V232" s="2">
        <f>Loss_modulus_G!U232/1000000</f>
        <v>6.4328491000000002E-2</v>
      </c>
      <c r="W232" s="2">
        <f>Loss_modulus_G!V232/1000000</f>
        <v>7.5681824999999994E-2</v>
      </c>
      <c r="X232" s="208">
        <f>Loss_modulus_G!W232/1000000</f>
        <v>7.9279274000000011E-2</v>
      </c>
      <c r="Y232" s="2"/>
    </row>
    <row r="233" spans="1:28" ht="15.75" customHeight="1">
      <c r="A233" s="174">
        <v>42</v>
      </c>
      <c r="B233" s="179" t="s">
        <v>222</v>
      </c>
      <c r="C233" s="495" t="s">
        <v>563</v>
      </c>
      <c r="D233" s="2">
        <f>Loss_modulus_G!C233/1000000</f>
        <v>4.6836900000000006E-4</v>
      </c>
      <c r="E233" s="2">
        <f>Loss_modulus_G!D233/1000000</f>
        <v>6.3340399999999995E-4</v>
      </c>
      <c r="F233" s="2">
        <f>Loss_modulus_G!E233/1000000</f>
        <v>8.7671199999999998E-4</v>
      </c>
      <c r="G233" s="2">
        <f>Loss_modulus_G!F233/1000000</f>
        <v>1.1584190000000002E-3</v>
      </c>
      <c r="H233" s="2">
        <f>Loss_modulus_G!G233/1000000</f>
        <v>1.7190719999999999E-3</v>
      </c>
      <c r="I233" s="2">
        <f>Loss_modulus_G!H233/1000000</f>
        <v>2.3248049999999997E-3</v>
      </c>
      <c r="J233" s="2">
        <f>Loss_modulus_G!I233/1000000</f>
        <v>3.2178290000000002E-3</v>
      </c>
      <c r="K233" s="2">
        <f>Loss_modulus_G!J233/1000000</f>
        <v>4.8873750000000002E-3</v>
      </c>
      <c r="L233" s="2">
        <f>Loss_modulus_G!K233/1000000</f>
        <v>6.7647549999999999E-3</v>
      </c>
      <c r="M233" s="2">
        <f>Loss_modulus_G!L233/1000000</f>
        <v>9.1483870000000009E-3</v>
      </c>
      <c r="N233" s="2">
        <f>Loss_modulus_G!M233/1000000</f>
        <v>1.3264445E-2</v>
      </c>
      <c r="O233" s="2">
        <f>Loss_modulus_G!N233/1000000</f>
        <v>1.8359699E-2</v>
      </c>
      <c r="P233" s="2">
        <f>Loss_modulus_G!O233/1000000</f>
        <v>2.4259058999999999E-2</v>
      </c>
      <c r="Q233" s="2">
        <f>Loss_modulus_G!P233/1000000</f>
        <v>3.5173734999999998E-2</v>
      </c>
      <c r="R233" s="2">
        <f>Loss_modulus_G!Q233/1000000</f>
        <v>4.8684976000000005E-2</v>
      </c>
      <c r="S233" s="2">
        <f>Loss_modulus_G!R233/1000000</f>
        <v>5.5962764000000005E-2</v>
      </c>
      <c r="T233" s="2">
        <f>Loss_modulus_G!S233/1000000</f>
        <v>6.4328491000000002E-2</v>
      </c>
      <c r="U233" s="2">
        <f>Loss_modulus_G!T233/1000000</f>
        <v>6.4328491000000002E-2</v>
      </c>
      <c r="V233" s="2">
        <f>Loss_modulus_G!U233/1000000</f>
        <v>6.2852033000000002E-2</v>
      </c>
      <c r="W233" s="2">
        <f>Loss_modulus_G!V233/1000000</f>
        <v>6.7386271999999997E-2</v>
      </c>
      <c r="X233" s="208">
        <f>Loss_modulus_G!W233/1000000</f>
        <v>6.8969243E-2</v>
      </c>
      <c r="Y233" s="2"/>
    </row>
    <row r="234" spans="1:28" ht="15.75" customHeight="1">
      <c r="A234" s="174">
        <v>42</v>
      </c>
      <c r="B234" s="179" t="s">
        <v>224</v>
      </c>
      <c r="C234" s="495" t="s">
        <v>565</v>
      </c>
      <c r="D234" s="2">
        <v>1.7083964106000001E-2</v>
      </c>
      <c r="E234" s="2">
        <v>1.7533642500000002E-2</v>
      </c>
      <c r="F234" s="2">
        <v>1.8885756988000001E-2</v>
      </c>
      <c r="G234" s="2">
        <v>2.3464465287999999E-2</v>
      </c>
      <c r="H234" s="2">
        <v>3.1260047329999999E-2</v>
      </c>
      <c r="I234" s="2">
        <v>2.8485246723999998E-2</v>
      </c>
      <c r="J234" s="2">
        <v>2.2239924398999997E-2</v>
      </c>
      <c r="K234" s="2">
        <v>2.016486093E-2</v>
      </c>
      <c r="L234" s="2">
        <v>2.0517138240000003E-2</v>
      </c>
      <c r="M234" s="2">
        <v>2.2897958691E-2</v>
      </c>
      <c r="N234" s="2">
        <v>2.9269365467000003E-2</v>
      </c>
      <c r="O234" s="2">
        <v>4.2676756731999999E-2</v>
      </c>
      <c r="P234" s="2">
        <v>6.0627989009999994E-2</v>
      </c>
      <c r="Q234" s="2">
        <v>9.2401748693999988E-2</v>
      </c>
      <c r="R234" s="2">
        <v>0.14533839364499998</v>
      </c>
      <c r="S234" s="2"/>
      <c r="T234" s="2"/>
      <c r="U234" s="2"/>
      <c r="V234" s="2"/>
      <c r="W234" s="2"/>
      <c r="X234" s="208"/>
      <c r="Y234" s="2"/>
    </row>
    <row r="235" spans="1:28" ht="15.75" customHeight="1">
      <c r="A235" s="174">
        <v>42</v>
      </c>
      <c r="B235" s="179" t="s">
        <v>225</v>
      </c>
      <c r="C235" s="495" t="s">
        <v>565</v>
      </c>
      <c r="D235" s="2">
        <v>3.0134308353000003E-2</v>
      </c>
      <c r="E235" s="2">
        <v>3.2436760528E-2</v>
      </c>
      <c r="F235" s="2">
        <v>3.0658077540999997E-2</v>
      </c>
      <c r="G235" s="2">
        <v>3.5731985041999995E-2</v>
      </c>
      <c r="H235" s="2">
        <v>3.9831331720000002E-2</v>
      </c>
      <c r="I235" s="2">
        <v>3.3978785597000002E-2</v>
      </c>
      <c r="J235" s="2">
        <v>2.5093653360000003E-2</v>
      </c>
      <c r="K235" s="2">
        <v>2.1203188725000002E-2</v>
      </c>
      <c r="L235" s="2">
        <v>2.0816022603000004E-2</v>
      </c>
      <c r="M235" s="2">
        <v>2.4570674400000003E-2</v>
      </c>
      <c r="N235" s="2">
        <v>3.2136846616000005E-2</v>
      </c>
      <c r="O235" s="2">
        <v>4.7948151482999996E-2</v>
      </c>
      <c r="P235" s="2">
        <v>7.6403593124999988E-2</v>
      </c>
      <c r="Q235" s="2">
        <v>0.106314824273</v>
      </c>
      <c r="R235" s="2">
        <v>0.16086196601800001</v>
      </c>
      <c r="S235" s="2"/>
      <c r="T235" s="2"/>
      <c r="U235" s="2"/>
      <c r="V235" s="2"/>
      <c r="W235" s="2"/>
      <c r="X235" s="208"/>
      <c r="Y235" s="2"/>
    </row>
    <row r="236" spans="1:28" ht="15.75" customHeight="1">
      <c r="A236" s="175">
        <v>42</v>
      </c>
      <c r="B236" s="180" t="s">
        <v>226</v>
      </c>
      <c r="C236" s="495" t="s">
        <v>565</v>
      </c>
      <c r="D236" s="30">
        <v>3.0134308353000003E-2</v>
      </c>
      <c r="E236" s="30">
        <v>3.2436760528E-2</v>
      </c>
      <c r="F236" s="30">
        <v>3.0658077540999997E-2</v>
      </c>
      <c r="G236" s="30">
        <v>3.5731985041999995E-2</v>
      </c>
      <c r="H236" s="30">
        <v>4.7159323091999987E-2</v>
      </c>
      <c r="I236" s="30">
        <v>3.9198287243E-2</v>
      </c>
      <c r="J236" s="30">
        <v>2.5093653360000003E-2</v>
      </c>
      <c r="K236" s="30">
        <v>2.1203188725000002E-2</v>
      </c>
      <c r="L236" s="30">
        <v>2.0816022603000004E-2</v>
      </c>
      <c r="M236" s="30">
        <v>2.4570674400000003E-2</v>
      </c>
      <c r="N236" s="30">
        <v>3.2136846616000005E-2</v>
      </c>
      <c r="O236" s="30">
        <v>4.7948151482999996E-2</v>
      </c>
      <c r="P236" s="30">
        <v>7.6403593124999988E-2</v>
      </c>
      <c r="Q236" s="30">
        <v>0.106314824273</v>
      </c>
      <c r="R236" s="30">
        <v>0.312020097547</v>
      </c>
      <c r="S236" s="30"/>
      <c r="T236" s="30"/>
      <c r="U236" s="30"/>
      <c r="V236" s="30"/>
      <c r="W236" s="30"/>
      <c r="X236" s="209"/>
      <c r="Y236" s="2"/>
    </row>
    <row r="237" spans="1:28" ht="15.75" customHeight="1">
      <c r="A237" s="201">
        <v>43</v>
      </c>
      <c r="B237" s="58">
        <v>1</v>
      </c>
      <c r="C237" s="496" t="s">
        <v>564</v>
      </c>
      <c r="D237">
        <v>3.8927371397119746E-5</v>
      </c>
      <c r="E237">
        <v>6.3273449404919788E-5</v>
      </c>
      <c r="F237">
        <v>9.2201106214080209E-5</v>
      </c>
      <c r="G237">
        <v>1.2860143575065737E-4</v>
      </c>
      <c r="H237">
        <v>1.8358698012264408E-4</v>
      </c>
      <c r="I237">
        <v>2.666173051262625E-4</v>
      </c>
      <c r="J237">
        <v>4.1053611426227681E-4</v>
      </c>
      <c r="K237">
        <v>6.3154955155717116E-4</v>
      </c>
      <c r="L237">
        <v>9.6634702096505141E-4</v>
      </c>
      <c r="M237">
        <v>1.4960170983638918E-3</v>
      </c>
      <c r="N237">
        <v>2.2399672016964085E-3</v>
      </c>
      <c r="O237">
        <v>3.3755276622511356E-3</v>
      </c>
      <c r="P237">
        <v>5.1528442226627469E-3</v>
      </c>
      <c r="Q237">
        <v>7.5488641802339794E-3</v>
      </c>
      <c r="R237">
        <v>1.0986996859950559E-2</v>
      </c>
      <c r="S237">
        <v>1.5467458357060445E-2</v>
      </c>
    </row>
    <row r="238" spans="1:28" ht="15.75" customHeight="1">
      <c r="A238" s="200">
        <v>43</v>
      </c>
      <c r="B238" s="59">
        <v>2</v>
      </c>
      <c r="C238" s="496" t="s">
        <v>564</v>
      </c>
      <c r="D238">
        <v>1.4378490901235083E-5</v>
      </c>
      <c r="E238">
        <v>2.1925106477515774E-5</v>
      </c>
      <c r="F238">
        <v>3.4054288259419328E-5</v>
      </c>
      <c r="G238">
        <v>4.8108416768108517E-5</v>
      </c>
      <c r="H238">
        <v>6.5255047814028315E-5</v>
      </c>
      <c r="I238">
        <v>9.9738685615073652E-5</v>
      </c>
      <c r="J238">
        <v>1.5556451887363909E-4</v>
      </c>
      <c r="K238">
        <v>2.4555114284916153E-4</v>
      </c>
      <c r="L238">
        <v>3.7103264448232713E-4</v>
      </c>
      <c r="M238">
        <v>6.0506331356677083E-4</v>
      </c>
      <c r="N238">
        <v>8.8450526380385653E-4</v>
      </c>
      <c r="O238">
        <v>1.3352433104721862E-3</v>
      </c>
      <c r="P238">
        <v>2.0502787654550743E-3</v>
      </c>
      <c r="Q238">
        <v>3.1513928137396974E-3</v>
      </c>
      <c r="R238">
        <v>4.8334141868804532E-3</v>
      </c>
      <c r="S238">
        <v>7.216456327110975E-3</v>
      </c>
    </row>
    <row r="239" spans="1:28" ht="15.75" customHeight="1">
      <c r="A239" s="202">
        <v>43</v>
      </c>
      <c r="B239" s="203">
        <v>3</v>
      </c>
      <c r="C239" s="496" t="s">
        <v>564</v>
      </c>
      <c r="D239">
        <v>2.5672987884129946E-4</v>
      </c>
      <c r="E239">
        <v>4.8893874021160497E-4</v>
      </c>
      <c r="F239">
        <v>5.6404910254256565E-4</v>
      </c>
      <c r="G239">
        <v>4.4112056777185468E-4</v>
      </c>
      <c r="H239">
        <v>4.24304209284129E-4</v>
      </c>
      <c r="I239">
        <v>4.9900008651522845E-4</v>
      </c>
      <c r="J239">
        <v>7.1931254845168397E-4</v>
      </c>
      <c r="K239">
        <v>9.2167308062799096E-4</v>
      </c>
      <c r="L239">
        <v>1.2101194225990933E-3</v>
      </c>
      <c r="M239">
        <v>1.5265281289210705E-3</v>
      </c>
      <c r="N239">
        <v>2.1265781013190188E-3</v>
      </c>
      <c r="O239">
        <v>2.6698679926756386E-3</v>
      </c>
      <c r="P239">
        <v>3.8024277649978447E-3</v>
      </c>
      <c r="Q239">
        <v>5.2950012467840157E-3</v>
      </c>
      <c r="R239">
        <v>7.5289291236520922E-3</v>
      </c>
      <c r="S239">
        <v>9.8378958247454518E-3</v>
      </c>
    </row>
    <row r="240" spans="1:28" ht="15.75" customHeight="1">
      <c r="A240" s="201">
        <v>44</v>
      </c>
      <c r="B240" s="58" t="s">
        <v>220</v>
      </c>
      <c r="C240" s="59"/>
    </row>
    <row r="241" spans="1:20" ht="15.75" customHeight="1">
      <c r="A241" s="200">
        <v>44</v>
      </c>
      <c r="B241" s="59" t="s">
        <v>221</v>
      </c>
      <c r="C241" s="59"/>
    </row>
    <row r="242" spans="1:20" ht="15.75" customHeight="1">
      <c r="A242" s="200">
        <v>44</v>
      </c>
      <c r="B242" s="59" t="s">
        <v>222</v>
      </c>
      <c r="C242" s="59"/>
    </row>
    <row r="243" spans="1:20" ht="15.75" customHeight="1">
      <c r="A243" s="200">
        <v>44</v>
      </c>
      <c r="B243" s="59" t="s">
        <v>223</v>
      </c>
      <c r="C243" s="59"/>
    </row>
    <row r="244" spans="1:20" ht="15.75" customHeight="1">
      <c r="A244" s="200">
        <v>44</v>
      </c>
      <c r="B244" s="59" t="s">
        <v>228</v>
      </c>
      <c r="C244" s="59"/>
    </row>
    <row r="245" spans="1:20" ht="15.75" customHeight="1">
      <c r="A245" s="200">
        <v>44</v>
      </c>
      <c r="B245" s="59" t="s">
        <v>224</v>
      </c>
      <c r="C245" s="59"/>
    </row>
    <row r="246" spans="1:20" ht="15.75" customHeight="1">
      <c r="A246" s="200">
        <v>44</v>
      </c>
      <c r="B246" s="59" t="s">
        <v>225</v>
      </c>
      <c r="C246" s="59"/>
    </row>
    <row r="247" spans="1:20" ht="15.75" customHeight="1">
      <c r="A247" s="200">
        <v>44</v>
      </c>
      <c r="B247" s="59" t="s">
        <v>226</v>
      </c>
      <c r="C247" s="59"/>
    </row>
    <row r="248" spans="1:20" ht="15.75" customHeight="1">
      <c r="A248" s="200">
        <v>44</v>
      </c>
      <c r="B248" s="59" t="s">
        <v>227</v>
      </c>
      <c r="C248" s="59"/>
    </row>
    <row r="249" spans="1:20" ht="15.75" customHeight="1">
      <c r="A249" s="200">
        <v>44</v>
      </c>
      <c r="B249" s="59" t="s">
        <v>229</v>
      </c>
      <c r="C249" s="59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20" ht="15.75" customHeight="1">
      <c r="A250" s="177">
        <v>45</v>
      </c>
      <c r="B250" s="178" t="s">
        <v>220</v>
      </c>
      <c r="C250" s="495" t="s">
        <v>563</v>
      </c>
      <c r="D250" s="127">
        <f>Loss_modulus_G!C250/1000000</f>
        <v>1.9570000000000001E-6</v>
      </c>
      <c r="E250" s="206">
        <f>Loss_modulus_G!D250/1000000</f>
        <v>4.3540000000000002E-6</v>
      </c>
      <c r="F250" s="206">
        <f>Loss_modulus_G!E250/1000000</f>
        <v>8.799E-6</v>
      </c>
      <c r="G250" s="206">
        <f>Loss_modulus_G!F250/1000000</f>
        <v>1.6681000000000002E-5</v>
      </c>
      <c r="H250" s="206">
        <f>Loss_modulus_G!G250/1000000</f>
        <v>3.3176999999999998E-5</v>
      </c>
      <c r="I250" s="206">
        <f>Loss_modulus_G!H250/1000000</f>
        <v>7.0343000000000001E-5</v>
      </c>
      <c r="J250" s="206">
        <f>Loss_modulus_G!I250/1000000</f>
        <v>1.5155000000000002E-4</v>
      </c>
      <c r="K250" s="206">
        <f>Loss_modulus_G!J250/1000000</f>
        <v>3.5938099999999998E-4</v>
      </c>
      <c r="L250" s="206">
        <f>Loss_modulus_G!K250/1000000</f>
        <v>8.1231100000000002E-4</v>
      </c>
      <c r="M250" s="206">
        <f>Loss_modulus_G!L250/1000000</f>
        <v>1E-3</v>
      </c>
      <c r="N250" s="206"/>
      <c r="O250" s="206"/>
      <c r="P250" s="206"/>
      <c r="Q250" s="206"/>
      <c r="R250" s="206"/>
      <c r="S250" s="207"/>
      <c r="T250" s="2"/>
    </row>
    <row r="251" spans="1:20" ht="15.75" customHeight="1">
      <c r="A251" s="174">
        <v>45</v>
      </c>
      <c r="B251" s="179" t="s">
        <v>221</v>
      </c>
      <c r="C251" s="495" t="s">
        <v>563</v>
      </c>
      <c r="D251" s="48">
        <f>Loss_modulus_G!C251/1000000</f>
        <v>7.3799999999999996E-6</v>
      </c>
      <c r="E251" s="2">
        <f>Loss_modulus_G!D251/1000000</f>
        <v>1.3769E-5</v>
      </c>
      <c r="F251" s="2">
        <f>Loss_modulus_G!E251/1000000</f>
        <v>2.8274000000000001E-5</v>
      </c>
      <c r="G251" s="2">
        <f>Loss_modulus_G!F251/1000000</f>
        <v>5.6234000000000004E-5</v>
      </c>
      <c r="H251" s="2">
        <f>Loss_modulus_G!G251/1000000</f>
        <v>1.19231E-4</v>
      </c>
      <c r="I251" s="2">
        <f>Loss_modulus_G!H251/1000000</f>
        <v>2.6101600000000004E-4</v>
      </c>
      <c r="J251" s="2">
        <f>Loss_modulus_G!I251/1000000</f>
        <v>5.71406E-4</v>
      </c>
      <c r="K251" s="2">
        <f>Loss_modulus_G!J251/1000000</f>
        <v>1.0491400000000001E-3</v>
      </c>
      <c r="L251" s="2">
        <f>Loss_modulus_G!K251/1000000</f>
        <v>1.9888919999999999E-3</v>
      </c>
      <c r="M251" s="2">
        <f>Loss_modulus_G!L251/1000000</f>
        <v>3.2132489999999996E-3</v>
      </c>
      <c r="N251" s="2"/>
      <c r="O251" s="2"/>
      <c r="P251" s="2"/>
      <c r="Q251" s="2"/>
      <c r="R251" s="2"/>
      <c r="S251" s="208"/>
      <c r="T251" s="2"/>
    </row>
    <row r="252" spans="1:20" ht="15.75" customHeight="1">
      <c r="A252" s="174">
        <v>45</v>
      </c>
      <c r="B252" s="179" t="s">
        <v>222</v>
      </c>
      <c r="C252" s="495" t="s">
        <v>563</v>
      </c>
      <c r="D252" s="48">
        <f>Loss_modulus_G!C252/1000000</f>
        <v>2.1203E-5</v>
      </c>
      <c r="E252" s="2">
        <f>Loss_modulus_G!D252/1000000</f>
        <v>4.2170000000000005E-5</v>
      </c>
      <c r="F252" s="2">
        <f>Loss_modulus_G!E252/1000000</f>
        <v>7.9943000000000004E-5</v>
      </c>
      <c r="G252" s="2">
        <f>Loss_modulus_G!F252/1000000</f>
        <v>1.6681000000000001E-4</v>
      </c>
      <c r="H252" s="2">
        <f>Loss_modulus_G!G252/1000000</f>
        <v>3.3711500000000003E-4</v>
      </c>
      <c r="I252" s="2">
        <f>Loss_modulus_G!H252/1000000</f>
        <v>7.14771E-4</v>
      </c>
      <c r="J252" s="2">
        <f>Loss_modulus_G!I252/1000000</f>
        <v>1.58997E-3</v>
      </c>
      <c r="K252" s="2">
        <f>Loss_modulus_G!J252/1000000</f>
        <v>2.3337570000000001E-3</v>
      </c>
      <c r="L252" s="2">
        <f>Loss_modulus_G!K252/1000000</f>
        <v>4.0842389999999999E-3</v>
      </c>
      <c r="M252" s="2">
        <f>Loss_modulus_G!L252/1000000</f>
        <v>6.2894269999999993E-3</v>
      </c>
      <c r="N252" s="2"/>
      <c r="O252" s="2"/>
      <c r="P252" s="2"/>
      <c r="Q252" s="2"/>
      <c r="R252" s="2"/>
      <c r="S252" s="208"/>
      <c r="T252" s="2"/>
    </row>
    <row r="253" spans="1:20" ht="15.75" customHeight="1">
      <c r="A253" s="174">
        <v>45</v>
      </c>
      <c r="B253" s="179" t="s">
        <v>223</v>
      </c>
      <c r="C253" s="495" t="s">
        <v>563</v>
      </c>
      <c r="D253" s="48">
        <f>Loss_modulus_G!C253/1000000</f>
        <v>7.7426E-5</v>
      </c>
      <c r="E253" s="2">
        <f>Loss_modulus_G!D253/1000000</f>
        <v>1.3990500000000001E-4</v>
      </c>
      <c r="F253" s="2">
        <f>Loss_modulus_G!E253/1000000</f>
        <v>2.56875E-4</v>
      </c>
      <c r="G253" s="2">
        <f>Loss_modulus_G!F253/1000000</f>
        <v>4.7164100000000002E-4</v>
      </c>
      <c r="H253" s="2">
        <f>Loss_modulus_G!G253/1000000</f>
        <v>8.659640000000001E-4</v>
      </c>
      <c r="I253" s="2">
        <f>Loss_modulus_G!H253/1000000</f>
        <v>1.6949880000000001E-3</v>
      </c>
      <c r="J253" s="2">
        <f>Loss_modulus_G!I253/1000000</f>
        <v>3.1622779999999997E-3</v>
      </c>
      <c r="K253" s="2">
        <f>Loss_modulus_G!J253/1000000</f>
        <v>5.274997E-3</v>
      </c>
      <c r="L253" s="2">
        <f>Loss_modulus_G!K253/1000000</f>
        <v>8.9410580000000017E-3</v>
      </c>
      <c r="M253" s="2">
        <f>Loss_modulus_G!L253/1000000</f>
        <v>1.5647481000000001E-2</v>
      </c>
      <c r="N253" s="2"/>
      <c r="O253" s="2"/>
      <c r="P253" s="2"/>
      <c r="Q253" s="2"/>
      <c r="R253" s="2"/>
      <c r="S253" s="208"/>
      <c r="T253" s="2"/>
    </row>
    <row r="254" spans="1:20" ht="15.75" customHeight="1">
      <c r="A254" s="174">
        <v>45</v>
      </c>
      <c r="B254" s="179" t="s">
        <v>224</v>
      </c>
      <c r="C254" s="495" t="s">
        <v>563</v>
      </c>
      <c r="D254" s="48">
        <v>273.56299999999999</v>
      </c>
      <c r="E254" s="2">
        <v>187.06899999999999</v>
      </c>
      <c r="F254" s="2">
        <v>179.023</v>
      </c>
      <c r="G254" s="2">
        <v>197.126</v>
      </c>
      <c r="H254" s="2">
        <v>227.29900000000001</v>
      </c>
      <c r="I254" s="2">
        <v>287.64400000000001</v>
      </c>
      <c r="J254" s="2">
        <v>329.88499999999999</v>
      </c>
      <c r="K254" s="2">
        <v>237.35599999999999</v>
      </c>
      <c r="L254" s="2">
        <v>128.73599999999999</v>
      </c>
      <c r="M254" s="2">
        <v>82.471000000000004</v>
      </c>
      <c r="N254" s="2">
        <v>76.436999999999998</v>
      </c>
      <c r="O254" s="2">
        <v>82.471000000000004</v>
      </c>
      <c r="P254" s="2">
        <v>94.54</v>
      </c>
      <c r="Q254" s="2">
        <v>90.516999999999996</v>
      </c>
      <c r="R254" s="2">
        <v>88.506</v>
      </c>
      <c r="S254" s="208">
        <v>72.414000000000001</v>
      </c>
      <c r="T254" s="2"/>
    </row>
    <row r="255" spans="1:20" ht="15.75" customHeight="1">
      <c r="A255" s="174">
        <v>45</v>
      </c>
      <c r="B255" s="179" t="s">
        <v>225</v>
      </c>
      <c r="C255" s="495" t="s">
        <v>563</v>
      </c>
      <c r="D255" s="48">
        <v>323.851</v>
      </c>
      <c r="E255" s="2">
        <v>247.41399999999999</v>
      </c>
      <c r="F255" s="2">
        <v>239.36799999999999</v>
      </c>
      <c r="G255" s="2">
        <v>259.483</v>
      </c>
      <c r="H255" s="2">
        <v>378.161</v>
      </c>
      <c r="I255" s="2">
        <v>579.30999999999995</v>
      </c>
      <c r="J255" s="2">
        <v>607.471</v>
      </c>
      <c r="K255" s="2">
        <v>283.62099999999998</v>
      </c>
      <c r="L255" s="2">
        <v>106.60899999999999</v>
      </c>
      <c r="M255" s="2">
        <v>60.344999999999999</v>
      </c>
      <c r="N255" s="2">
        <v>56.322000000000003</v>
      </c>
      <c r="O255" s="2">
        <v>62.356000000000002</v>
      </c>
      <c r="P255" s="2">
        <v>74.424999999999997</v>
      </c>
      <c r="Q255" s="2">
        <v>74.424999999999997</v>
      </c>
      <c r="R255" s="2">
        <v>66.379000000000005</v>
      </c>
      <c r="S255" s="208">
        <v>48.276000000000003</v>
      </c>
      <c r="T255" s="2"/>
    </row>
    <row r="256" spans="1:20" ht="15.75" customHeight="1">
      <c r="A256" s="174">
        <v>45</v>
      </c>
      <c r="B256" s="179" t="s">
        <v>226</v>
      </c>
      <c r="C256" s="495" t="s">
        <v>563</v>
      </c>
      <c r="D256" s="48">
        <v>1013.793</v>
      </c>
      <c r="E256" s="2">
        <v>716.09199999999998</v>
      </c>
      <c r="F256" s="2">
        <v>603.44799999999998</v>
      </c>
      <c r="G256" s="2">
        <v>726.149</v>
      </c>
      <c r="H256" s="2">
        <v>812.64400000000001</v>
      </c>
      <c r="I256" s="2">
        <v>885.05700000000002</v>
      </c>
      <c r="J256" s="2">
        <v>804.59799999999996</v>
      </c>
      <c r="K256" s="2">
        <v>448.56299999999999</v>
      </c>
      <c r="L256" s="2">
        <v>191.09200000000001</v>
      </c>
      <c r="M256" s="2">
        <v>120.69</v>
      </c>
      <c r="N256" s="2">
        <v>92.528999999999996</v>
      </c>
      <c r="O256" s="2">
        <v>76.436999999999998</v>
      </c>
      <c r="P256" s="2">
        <v>70.402000000000001</v>
      </c>
      <c r="Q256" s="2">
        <v>64.367999999999995</v>
      </c>
      <c r="R256" s="2">
        <v>60.344999999999999</v>
      </c>
      <c r="S256" s="208">
        <v>50.286999999999999</v>
      </c>
      <c r="T256" s="2"/>
    </row>
    <row r="257" spans="1:22" ht="15.75" customHeight="1">
      <c r="A257" s="175">
        <v>45</v>
      </c>
      <c r="B257" s="180" t="s">
        <v>227</v>
      </c>
      <c r="C257" s="495" t="s">
        <v>563</v>
      </c>
      <c r="D257" s="128">
        <v>1287.356</v>
      </c>
      <c r="E257" s="30">
        <v>820.69</v>
      </c>
      <c r="F257" s="30">
        <v>683.90800000000002</v>
      </c>
      <c r="G257" s="30">
        <v>627.58600000000001</v>
      </c>
      <c r="H257" s="30">
        <v>887.06899999999996</v>
      </c>
      <c r="I257" s="30">
        <v>1315.5170000000001</v>
      </c>
      <c r="J257" s="30">
        <v>975.57500000000005</v>
      </c>
      <c r="K257" s="30">
        <v>364.08</v>
      </c>
      <c r="L257" s="30">
        <v>150.86199999999999</v>
      </c>
      <c r="M257" s="30">
        <v>80.459999999999994</v>
      </c>
      <c r="N257" s="30">
        <v>66.379000000000005</v>
      </c>
      <c r="O257" s="30">
        <v>66.379000000000005</v>
      </c>
      <c r="P257" s="30">
        <v>80.459999999999994</v>
      </c>
      <c r="Q257" s="30">
        <v>72.414000000000001</v>
      </c>
      <c r="R257" s="30">
        <v>60.344999999999999</v>
      </c>
      <c r="S257" s="209">
        <v>50.286999999999999</v>
      </c>
      <c r="T257" s="2"/>
    </row>
    <row r="258" spans="1:22" ht="15.75" customHeight="1">
      <c r="A258" s="177">
        <v>46</v>
      </c>
      <c r="B258" s="178">
        <v>1</v>
      </c>
      <c r="C258" s="495" t="s">
        <v>565</v>
      </c>
      <c r="D258" s="2">
        <v>1.6497153E-5</v>
      </c>
      <c r="E258" s="2">
        <v>1.352754E-5</v>
      </c>
      <c r="F258" s="2">
        <v>1.5441010000000001E-5</v>
      </c>
      <c r="G258" s="2">
        <v>1.5646236000000001E-5</v>
      </c>
      <c r="H258" s="2">
        <v>1.8246194999999998E-5</v>
      </c>
      <c r="I258" s="2">
        <v>2.0221081999999999E-5</v>
      </c>
      <c r="J258" s="2">
        <v>2.4998921999999999E-5</v>
      </c>
      <c r="K258" s="2">
        <v>2.9949894E-5</v>
      </c>
      <c r="L258" s="2">
        <v>3.8332308000000001E-5</v>
      </c>
      <c r="M258" s="2">
        <v>5.1844214999999995E-5</v>
      </c>
      <c r="N258" s="2">
        <v>6.9966016000000004E-5</v>
      </c>
      <c r="O258" s="2">
        <v>9.3909836999999988E-5</v>
      </c>
      <c r="P258" s="2">
        <v>1.3682862199999998E-4</v>
      </c>
      <c r="Q258" s="2">
        <v>1.9568991199999999E-4</v>
      </c>
      <c r="R258" s="2">
        <v>2.63251866E-4</v>
      </c>
      <c r="S258" s="2">
        <v>3.8731391999999998E-4</v>
      </c>
      <c r="T258">
        <v>5.3371918999999999E-4</v>
      </c>
      <c r="U258">
        <v>7.8918789599999989E-4</v>
      </c>
      <c r="V258">
        <v>1.0952011980000001E-3</v>
      </c>
    </row>
    <row r="259" spans="1:22" ht="15.75" customHeight="1">
      <c r="A259" s="174">
        <v>46</v>
      </c>
      <c r="B259" s="179">
        <v>2</v>
      </c>
      <c r="C259" s="495" t="s">
        <v>565</v>
      </c>
      <c r="D259">
        <v>1.2976074299999999E-3</v>
      </c>
      <c r="E259">
        <v>9.5154017400000002E-4</v>
      </c>
      <c r="F259">
        <v>8.9783922400000007E-4</v>
      </c>
      <c r="G259">
        <v>8.3182163400000002E-4</v>
      </c>
      <c r="H259">
        <v>8.2088640899999994E-4</v>
      </c>
      <c r="I259">
        <v>8.4057330800000002E-4</v>
      </c>
      <c r="J259">
        <v>8.8124621000000005E-4</v>
      </c>
      <c r="K259">
        <v>1.0113994280000001E-3</v>
      </c>
      <c r="L259">
        <v>1.0435067489999999E-3</v>
      </c>
      <c r="M259">
        <v>1.1435690399999999E-3</v>
      </c>
      <c r="N259">
        <v>1.3356973629999999E-3</v>
      </c>
      <c r="O259">
        <v>1.497155286E-3</v>
      </c>
      <c r="P259">
        <v>1.769948999E-3</v>
      </c>
      <c r="Q259">
        <v>2.0770500720000001E-3</v>
      </c>
      <c r="R259">
        <v>2.5535192100000002E-3</v>
      </c>
      <c r="S259">
        <v>3.066950262E-3</v>
      </c>
      <c r="T259">
        <v>3.8879487180000002E-3</v>
      </c>
      <c r="U259">
        <v>4.8511292660000007E-3</v>
      </c>
      <c r="V259">
        <v>6.1392344610000007E-3</v>
      </c>
    </row>
    <row r="260" spans="1:22" ht="15.75" customHeight="1">
      <c r="A260" s="174">
        <v>46</v>
      </c>
      <c r="B260" s="179">
        <v>3</v>
      </c>
      <c r="C260" s="495" t="s">
        <v>565</v>
      </c>
      <c r="D260">
        <v>1.6983922559999998E-3</v>
      </c>
      <c r="E260">
        <v>1.376078325E-3</v>
      </c>
      <c r="F260">
        <v>1.202257905E-3</v>
      </c>
      <c r="G260">
        <v>1.1448834540000001E-3</v>
      </c>
      <c r="H260">
        <v>1.1755890120000001E-3</v>
      </c>
      <c r="I260">
        <v>1.13037405E-3</v>
      </c>
      <c r="J260">
        <v>1.237066587E-3</v>
      </c>
      <c r="K260">
        <v>1.2250698239999998E-3</v>
      </c>
      <c r="L260">
        <v>1.4270648210000002E-3</v>
      </c>
      <c r="M260">
        <v>1.6526571359999998E-3</v>
      </c>
      <c r="N260">
        <v>1.96760431E-3</v>
      </c>
      <c r="O260">
        <v>2.2354462620000001E-3</v>
      </c>
      <c r="P260">
        <v>2.7164707200000001E-3</v>
      </c>
      <c r="Q260">
        <v>3.2427869219999999E-3</v>
      </c>
      <c r="R260">
        <v>3.9050565120000006E-3</v>
      </c>
      <c r="S260">
        <v>4.77904544E-3</v>
      </c>
      <c r="T260">
        <v>6.0272154539999998E-3</v>
      </c>
      <c r="U260">
        <v>7.2947941290000002E-3</v>
      </c>
      <c r="V260">
        <v>9.2346580889999998E-3</v>
      </c>
    </row>
    <row r="261" spans="1:22" ht="15.75" customHeight="1">
      <c r="A261" s="174">
        <v>46</v>
      </c>
      <c r="B261" s="179">
        <v>4</v>
      </c>
      <c r="C261" s="495" t="s">
        <v>565</v>
      </c>
      <c r="D261">
        <v>2.1268611360000002E-3</v>
      </c>
      <c r="E261">
        <v>1.6542849599999999E-3</v>
      </c>
      <c r="F261">
        <v>1.4714381999999999E-3</v>
      </c>
      <c r="G261">
        <v>1.3770245519999999E-3</v>
      </c>
      <c r="H261">
        <v>1.3746795999999999E-3</v>
      </c>
      <c r="I261">
        <v>1.3372278660000001E-3</v>
      </c>
      <c r="J261">
        <v>1.5123731999999999E-3</v>
      </c>
      <c r="K261">
        <v>1.55219103E-3</v>
      </c>
      <c r="L261">
        <v>1.6959885510000002E-3</v>
      </c>
      <c r="M261">
        <v>1.8798909240000002E-3</v>
      </c>
      <c r="N261">
        <v>2.1741086849999995E-3</v>
      </c>
      <c r="O261">
        <v>2.5387763829999997E-3</v>
      </c>
      <c r="P261">
        <v>3.0808416210000001E-3</v>
      </c>
      <c r="Q261">
        <v>3.4040068260000004E-3</v>
      </c>
      <c r="R261">
        <v>4.2367859729999999E-3</v>
      </c>
      <c r="S261">
        <v>5.1336975759999999E-3</v>
      </c>
      <c r="T261">
        <v>6.4313676800000002E-3</v>
      </c>
      <c r="U261">
        <v>8.0640552180000005E-3</v>
      </c>
      <c r="V261">
        <v>9.8693558959999997E-3</v>
      </c>
    </row>
    <row r="262" spans="1:22" ht="15.75" customHeight="1">
      <c r="A262" s="174">
        <v>46</v>
      </c>
      <c r="B262" s="179">
        <v>5</v>
      </c>
      <c r="C262" s="495" t="s">
        <v>565</v>
      </c>
      <c r="D262">
        <v>1.2161759890000001E-3</v>
      </c>
      <c r="E262">
        <v>8.1908873700000013E-4</v>
      </c>
      <c r="F262">
        <v>7.7999999999999999E-4</v>
      </c>
      <c r="G262">
        <v>7.8884336700000006E-4</v>
      </c>
      <c r="H262">
        <v>7.7012411199999995E-4</v>
      </c>
      <c r="I262">
        <v>8.2000000000000009E-4</v>
      </c>
      <c r="J262">
        <v>8.6843143200000003E-4</v>
      </c>
      <c r="K262">
        <v>9.9305477599999988E-4</v>
      </c>
      <c r="L262">
        <v>1.0965333599999999E-3</v>
      </c>
      <c r="M262">
        <v>1.2230564400000001E-3</v>
      </c>
      <c r="N262">
        <v>1.4723859120000001E-3</v>
      </c>
      <c r="O262">
        <v>1.7333527460000001E-3</v>
      </c>
      <c r="P262">
        <v>2.1232952389999998E-3</v>
      </c>
      <c r="Q262">
        <v>2.5669040369999999E-3</v>
      </c>
      <c r="R262">
        <v>3.1893754350000004E-3</v>
      </c>
      <c r="S262">
        <v>3.8433896259999997E-3</v>
      </c>
      <c r="T262">
        <v>4.7448422190000004E-3</v>
      </c>
      <c r="U262">
        <v>6.1272541479999998E-3</v>
      </c>
      <c r="V262">
        <v>7.5408751470000005E-3</v>
      </c>
    </row>
    <row r="263" spans="1:22" ht="15.75" customHeight="1">
      <c r="A263" s="174">
        <v>46</v>
      </c>
      <c r="B263" s="179">
        <v>6</v>
      </c>
      <c r="C263" s="495" t="s">
        <v>565</v>
      </c>
      <c r="D263">
        <v>1.9995269860000001E-3</v>
      </c>
      <c r="E263">
        <v>1.5893838879999999E-3</v>
      </c>
      <c r="F263">
        <v>1.4291439929999998E-3</v>
      </c>
      <c r="G263">
        <v>1.314271899E-3</v>
      </c>
      <c r="H263">
        <v>1.3317796220000001E-3</v>
      </c>
      <c r="I263">
        <v>1.385714472E-3</v>
      </c>
      <c r="J263">
        <v>1.5887406239999998E-3</v>
      </c>
      <c r="K263">
        <v>1.6939054879999999E-3</v>
      </c>
      <c r="L263">
        <v>1.8629204479999998E-3</v>
      </c>
      <c r="M263">
        <v>2.3177693399999998E-3</v>
      </c>
      <c r="N263">
        <v>2.6581259999999998E-3</v>
      </c>
      <c r="O263">
        <v>3.2723202449999995E-3</v>
      </c>
      <c r="P263">
        <v>4.0103860550000005E-3</v>
      </c>
      <c r="Q263">
        <v>4.8154147360000002E-3</v>
      </c>
      <c r="R263">
        <v>5.8872402119999993E-3</v>
      </c>
      <c r="S263">
        <v>7.9227750799999996E-3</v>
      </c>
      <c r="T263">
        <v>9.2437830989999994E-3</v>
      </c>
      <c r="U263">
        <v>1.1786040684000002E-2</v>
      </c>
      <c r="V263">
        <v>1.4039999999999999E-2</v>
      </c>
    </row>
    <row r="264" spans="1:22" ht="15.75" customHeight="1">
      <c r="A264" s="177">
        <v>47</v>
      </c>
      <c r="B264" s="178" t="s">
        <v>220</v>
      </c>
      <c r="C264" s="179"/>
    </row>
    <row r="265" spans="1:22" ht="15.75" customHeight="1">
      <c r="A265" s="174">
        <v>47</v>
      </c>
      <c r="B265" s="179">
        <v>2</v>
      </c>
      <c r="C265" s="179"/>
    </row>
    <row r="266" spans="1:22" ht="15.75" customHeight="1">
      <c r="A266" s="174">
        <v>47</v>
      </c>
      <c r="B266" s="179">
        <v>3</v>
      </c>
      <c r="C266" s="179"/>
    </row>
    <row r="267" spans="1:22" ht="15.75" customHeight="1">
      <c r="A267" s="174">
        <v>47</v>
      </c>
      <c r="B267" s="179" t="s">
        <v>223</v>
      </c>
      <c r="C267" s="179"/>
    </row>
    <row r="268" spans="1:22" ht="15.75" customHeight="1">
      <c r="A268" s="174">
        <v>47</v>
      </c>
      <c r="B268" s="179">
        <v>5</v>
      </c>
      <c r="C268" s="179"/>
    </row>
    <row r="269" spans="1:22" ht="15.75" customHeight="1">
      <c r="A269" s="174">
        <v>47</v>
      </c>
      <c r="B269" s="179" t="s">
        <v>224</v>
      </c>
      <c r="C269" s="495" t="s">
        <v>565</v>
      </c>
      <c r="D269">
        <v>26.012999999999998</v>
      </c>
      <c r="E269">
        <v>28.73</v>
      </c>
      <c r="F269">
        <v>29.213999999999999</v>
      </c>
      <c r="G269">
        <v>30.711000000000002</v>
      </c>
      <c r="H269">
        <v>36.936</v>
      </c>
      <c r="I269">
        <v>47.85</v>
      </c>
      <c r="J269">
        <v>44.303999999999995</v>
      </c>
      <c r="K269">
        <v>33.54</v>
      </c>
      <c r="L269">
        <v>23.834000000000003</v>
      </c>
      <c r="M269">
        <v>23.290000000000003</v>
      </c>
      <c r="N269">
        <v>29.163999999999998</v>
      </c>
      <c r="O269">
        <v>42.042000000000002</v>
      </c>
      <c r="P269">
        <v>45.78</v>
      </c>
    </row>
    <row r="270" spans="1:22" ht="15.75" customHeight="1">
      <c r="A270" s="174">
        <v>47</v>
      </c>
      <c r="B270" s="179" t="s">
        <v>227</v>
      </c>
      <c r="C270" s="495" t="s">
        <v>565</v>
      </c>
      <c r="D270">
        <v>18.134999999999998</v>
      </c>
      <c r="E270">
        <v>20.55</v>
      </c>
      <c r="F270">
        <v>20.234999999999999</v>
      </c>
      <c r="G270">
        <v>23.904</v>
      </c>
      <c r="H270">
        <v>30.061</v>
      </c>
      <c r="I270">
        <v>35.112000000000002</v>
      </c>
      <c r="J270">
        <v>38.544000000000004</v>
      </c>
      <c r="K270">
        <v>35.872</v>
      </c>
      <c r="L270">
        <v>31.233000000000001</v>
      </c>
      <c r="M270">
        <v>32.405999999999999</v>
      </c>
      <c r="N270">
        <v>44.496000000000002</v>
      </c>
      <c r="O270">
        <v>52.36</v>
      </c>
      <c r="P270">
        <v>60.9</v>
      </c>
    </row>
    <row r="271" spans="1:22" ht="15.75" customHeight="1">
      <c r="A271" s="177">
        <v>48</v>
      </c>
      <c r="B271" s="178">
        <v>1</v>
      </c>
      <c r="C271" s="179"/>
    </row>
    <row r="272" spans="1:22" ht="15.75" customHeight="1">
      <c r="A272" s="174">
        <v>48</v>
      </c>
      <c r="B272" s="179">
        <v>2</v>
      </c>
      <c r="C272" s="179"/>
    </row>
    <row r="273" spans="1:19" ht="15.75" customHeight="1">
      <c r="A273" s="174">
        <v>48</v>
      </c>
      <c r="B273" s="179">
        <v>3</v>
      </c>
      <c r="C273" s="179"/>
    </row>
    <row r="274" spans="1:19" ht="15.75" customHeight="1">
      <c r="A274" s="174">
        <v>48</v>
      </c>
      <c r="B274" s="179">
        <v>4</v>
      </c>
      <c r="C274" s="179"/>
    </row>
    <row r="275" spans="1:19" ht="15.75" customHeight="1">
      <c r="A275" s="174">
        <v>48</v>
      </c>
      <c r="B275" s="179">
        <v>5</v>
      </c>
      <c r="C275" s="179"/>
    </row>
    <row r="276" spans="1:19" ht="15.75" customHeight="1">
      <c r="A276" s="174">
        <v>48</v>
      </c>
      <c r="B276" s="179">
        <v>6</v>
      </c>
      <c r="C276" s="179"/>
    </row>
    <row r="277" spans="1:19" ht="15.75" customHeight="1">
      <c r="A277" s="174">
        <v>48</v>
      </c>
      <c r="B277" s="179">
        <v>7</v>
      </c>
      <c r="C277" s="179"/>
    </row>
    <row r="278" spans="1:19" ht="15.75" customHeight="1">
      <c r="A278" s="174">
        <v>48</v>
      </c>
      <c r="B278" s="179">
        <v>8</v>
      </c>
      <c r="C278" s="179"/>
    </row>
    <row r="279" spans="1:19" ht="15.75" customHeight="1">
      <c r="A279" s="174">
        <v>48</v>
      </c>
      <c r="B279" s="179">
        <v>9</v>
      </c>
      <c r="C279" s="179"/>
    </row>
    <row r="280" spans="1:19" ht="15.75" customHeight="1">
      <c r="A280" s="174">
        <v>48</v>
      </c>
      <c r="B280" s="179">
        <v>10</v>
      </c>
      <c r="C280" s="179"/>
    </row>
    <row r="281" spans="1:19" ht="15.75" customHeight="1">
      <c r="A281" s="174">
        <v>48</v>
      </c>
      <c r="B281" s="179">
        <v>11</v>
      </c>
      <c r="C281" s="179"/>
    </row>
    <row r="282" spans="1:19" ht="15.75" customHeight="1">
      <c r="A282" s="174">
        <v>48</v>
      </c>
      <c r="B282" s="179">
        <v>12</v>
      </c>
      <c r="C282" s="179"/>
    </row>
    <row r="283" spans="1:19" ht="15.75" customHeight="1">
      <c r="A283" s="266">
        <v>49</v>
      </c>
      <c r="B283" s="58">
        <v>1</v>
      </c>
      <c r="C283" s="59"/>
    </row>
    <row r="284" spans="1:19" ht="15.75" customHeight="1">
      <c r="A284" s="210">
        <v>49</v>
      </c>
      <c r="B284" s="59">
        <v>2</v>
      </c>
      <c r="C284" s="59" t="s">
        <v>564</v>
      </c>
      <c r="D284">
        <v>9.810536599091315E-6</v>
      </c>
      <c r="E284">
        <v>1.4051354183218463E-5</v>
      </c>
      <c r="F284">
        <v>1.4792575776203644E-5</v>
      </c>
      <c r="G284">
        <v>4.5717753731194127E-5</v>
      </c>
      <c r="H284">
        <v>7.4323697066057301E-5</v>
      </c>
      <c r="I284">
        <v>1.2471164262963666E-4</v>
      </c>
      <c r="J284">
        <v>2.4721389926380576E-4</v>
      </c>
      <c r="K284">
        <v>4.515945923900406E-4</v>
      </c>
      <c r="L284">
        <v>8.1460274893948323E-4</v>
      </c>
      <c r="M284">
        <v>1.4025633331055038E-3</v>
      </c>
      <c r="N284">
        <v>2.4237876453067284E-3</v>
      </c>
      <c r="O284">
        <v>4.1890679016727923E-3</v>
      </c>
      <c r="P284">
        <v>6.9171128806344529E-3</v>
      </c>
      <c r="Q284">
        <v>1.1939456352834063E-2</v>
      </c>
      <c r="R284">
        <v>1.8849025501258023E-2</v>
      </c>
      <c r="S284">
        <v>3.1478682833527151E-2</v>
      </c>
    </row>
    <row r="285" spans="1:19" ht="15.75" customHeight="1">
      <c r="A285" s="210">
        <v>49</v>
      </c>
      <c r="B285" s="59">
        <v>3</v>
      </c>
      <c r="C285" s="59" t="s">
        <v>564</v>
      </c>
      <c r="D285">
        <v>6.3734719319190336E-5</v>
      </c>
      <c r="E285">
        <v>9.8643295518494506E-5</v>
      </c>
      <c r="F285">
        <v>1.6722925246451535E-4</v>
      </c>
      <c r="G285">
        <v>2.712587452356215E-4</v>
      </c>
      <c r="H285">
        <v>4.3529049713527068E-4</v>
      </c>
      <c r="I285">
        <v>8.501824378276976E-4</v>
      </c>
      <c r="J285">
        <v>1.5184500501222934E-3</v>
      </c>
      <c r="K285">
        <v>2.6398493715867164E-3</v>
      </c>
      <c r="L285">
        <v>4.4939986423458925E-3</v>
      </c>
      <c r="M285">
        <v>7.1367918505629837E-3</v>
      </c>
      <c r="N285">
        <v>1.142336371956325E-2</v>
      </c>
      <c r="O285">
        <v>1.7771033389434223E-2</v>
      </c>
      <c r="P285">
        <v>2.5378767603742965E-2</v>
      </c>
      <c r="Q285">
        <v>3.7997813143611267E-2</v>
      </c>
      <c r="R285">
        <v>5.1189902680982884E-2</v>
      </c>
      <c r="S285">
        <v>7.3331630905796169E-2</v>
      </c>
    </row>
    <row r="286" spans="1:19" ht="15.75" customHeight="1">
      <c r="A286" s="201">
        <v>50</v>
      </c>
      <c r="B286" s="58">
        <v>1</v>
      </c>
      <c r="C286" s="59"/>
    </row>
    <row r="287" spans="1:19" ht="15.75" customHeight="1">
      <c r="A287" s="200">
        <v>50</v>
      </c>
      <c r="B287" s="59">
        <v>2</v>
      </c>
      <c r="C287" s="59"/>
    </row>
    <row r="288" spans="1:19" ht="15.75" customHeight="1">
      <c r="A288" s="200">
        <v>50</v>
      </c>
      <c r="B288" s="59">
        <v>3</v>
      </c>
      <c r="C288" s="59"/>
    </row>
    <row r="289" spans="1:17" ht="15.75" customHeight="1">
      <c r="A289" s="200">
        <v>50</v>
      </c>
      <c r="B289" s="59">
        <v>4</v>
      </c>
      <c r="C289" s="59"/>
    </row>
    <row r="290" spans="1:17" ht="15.75" customHeight="1">
      <c r="A290" s="201">
        <v>51</v>
      </c>
      <c r="B290" s="58">
        <v>1</v>
      </c>
      <c r="C290" s="59" t="s">
        <v>565</v>
      </c>
      <c r="D290">
        <v>110.18892</v>
      </c>
      <c r="E290">
        <v>154.14332399999998</v>
      </c>
      <c r="F290">
        <v>272.83384000000001</v>
      </c>
      <c r="G290">
        <v>163.43159699999998</v>
      </c>
      <c r="H290">
        <v>72.214979999999997</v>
      </c>
      <c r="I290">
        <v>60.68403</v>
      </c>
      <c r="J290">
        <v>50.892463999999997</v>
      </c>
    </row>
    <row r="291" spans="1:17" ht="15.75" customHeight="1">
      <c r="A291" s="200">
        <v>51</v>
      </c>
      <c r="B291" s="59">
        <v>2</v>
      </c>
      <c r="C291" s="59" t="s">
        <v>565</v>
      </c>
      <c r="D291">
        <v>217.98045500000001</v>
      </c>
      <c r="E291">
        <v>251.315946</v>
      </c>
      <c r="F291">
        <v>341.17914600000006</v>
      </c>
      <c r="G291">
        <v>247.61399</v>
      </c>
      <c r="H291">
        <v>157.01628799999997</v>
      </c>
      <c r="I291">
        <v>159.550524</v>
      </c>
      <c r="J291">
        <v>147.47882799999999</v>
      </c>
    </row>
    <row r="292" spans="1:17" ht="15.75" customHeight="1">
      <c r="A292" s="200">
        <v>51</v>
      </c>
      <c r="B292" s="59">
        <v>3</v>
      </c>
      <c r="C292" s="59" t="s">
        <v>565</v>
      </c>
      <c r="D292">
        <v>200.68728900000002</v>
      </c>
      <c r="E292">
        <v>233.48536000000001</v>
      </c>
      <c r="F292">
        <v>323.30616500000002</v>
      </c>
      <c r="G292">
        <v>231.771961</v>
      </c>
      <c r="H292">
        <v>149.86317600000001</v>
      </c>
      <c r="I292">
        <v>135.908784</v>
      </c>
      <c r="J292">
        <v>126.14988</v>
      </c>
    </row>
    <row r="293" spans="1:17" ht="15.75" customHeight="1">
      <c r="A293" s="200">
        <v>51</v>
      </c>
      <c r="B293" s="59">
        <v>4</v>
      </c>
      <c r="C293" s="59" t="s">
        <v>565</v>
      </c>
      <c r="D293">
        <v>206.57980000000001</v>
      </c>
      <c r="E293">
        <v>231.97718</v>
      </c>
      <c r="F293">
        <v>373.99346399999996</v>
      </c>
      <c r="G293">
        <v>283.49186199999997</v>
      </c>
      <c r="H293">
        <v>141.27685600000001</v>
      </c>
      <c r="I293">
        <v>127.700352</v>
      </c>
      <c r="J293">
        <v>110.74269999999999</v>
      </c>
    </row>
    <row r="294" spans="1:17" ht="15.75" customHeight="1">
      <c r="A294" s="200">
        <v>51</v>
      </c>
      <c r="B294" s="59">
        <v>5</v>
      </c>
      <c r="C294" s="59" t="s">
        <v>565</v>
      </c>
      <c r="D294">
        <v>225.31434899999999</v>
      </c>
      <c r="E294">
        <v>265.51140199999998</v>
      </c>
      <c r="F294">
        <v>355.96413299999995</v>
      </c>
      <c r="G294">
        <v>238.86484900000002</v>
      </c>
      <c r="H294">
        <v>147.35180099999999</v>
      </c>
      <c r="I294">
        <v>132.78829200000001</v>
      </c>
      <c r="J294">
        <v>115.33877099999999</v>
      </c>
    </row>
    <row r="295" spans="1:17" ht="15.75" customHeight="1">
      <c r="A295" s="200">
        <v>51</v>
      </c>
      <c r="B295" s="59">
        <v>6</v>
      </c>
      <c r="C295" s="59" t="s">
        <v>565</v>
      </c>
      <c r="D295">
        <v>174.47232300000002</v>
      </c>
      <c r="E295">
        <v>223.83714599999999</v>
      </c>
      <c r="F295">
        <v>332.73615000000001</v>
      </c>
      <c r="G295">
        <v>211.15800900000002</v>
      </c>
      <c r="H295">
        <v>136.23125400000001</v>
      </c>
      <c r="I295">
        <v>123.01303000000001</v>
      </c>
      <c r="J295">
        <v>102.77034699999999</v>
      </c>
    </row>
    <row r="296" spans="1:17" ht="15.75" customHeight="1">
      <c r="A296" s="200">
        <v>51</v>
      </c>
      <c r="B296" s="59">
        <v>7</v>
      </c>
      <c r="C296" s="59" t="s">
        <v>565</v>
      </c>
      <c r="D296">
        <v>223.201953</v>
      </c>
      <c r="E296">
        <v>262.98369600000001</v>
      </c>
      <c r="F296">
        <v>380.46250800000001</v>
      </c>
      <c r="G296">
        <v>248.193826</v>
      </c>
      <c r="H296">
        <v>142.11890499999998</v>
      </c>
      <c r="I296">
        <v>112.07037599999998</v>
      </c>
      <c r="J296">
        <v>99.043931999999984</v>
      </c>
    </row>
    <row r="297" spans="1:17" ht="15.75" customHeight="1">
      <c r="A297" s="201">
        <v>52</v>
      </c>
      <c r="B297" s="178">
        <v>1</v>
      </c>
      <c r="C297" s="178" t="s">
        <v>563</v>
      </c>
      <c r="D297" s="206">
        <v>30926.641</v>
      </c>
      <c r="E297" s="206">
        <v>32548.262999999999</v>
      </c>
      <c r="F297" s="206">
        <v>34401.544000000002</v>
      </c>
      <c r="G297" s="206">
        <v>40193.050000000003</v>
      </c>
      <c r="H297" s="206">
        <v>50849.421000000002</v>
      </c>
      <c r="I297" s="206">
        <v>66138.995999999999</v>
      </c>
      <c r="J297" s="206">
        <v>72162.161999999997</v>
      </c>
      <c r="K297" s="206">
        <v>58262.548000000003</v>
      </c>
      <c r="L297" s="206">
        <v>47606.178</v>
      </c>
      <c r="M297" s="206">
        <v>38339.767999999996</v>
      </c>
      <c r="N297" s="206">
        <v>33706.563999999998</v>
      </c>
      <c r="O297" s="206">
        <v>34169.883999999998</v>
      </c>
      <c r="P297" s="207">
        <v>42046.332000000002</v>
      </c>
      <c r="Q297" s="2"/>
    </row>
    <row r="298" spans="1:17" ht="15.75" customHeight="1">
      <c r="A298" s="200">
        <v>52</v>
      </c>
      <c r="B298" s="179">
        <v>2</v>
      </c>
      <c r="C298" s="179" t="s">
        <v>563</v>
      </c>
      <c r="D298" s="2">
        <v>95096.524999999994</v>
      </c>
      <c r="E298" s="2">
        <v>110849.421</v>
      </c>
      <c r="F298" s="2">
        <v>147683.39799999999</v>
      </c>
      <c r="G298" s="2">
        <v>108301.158</v>
      </c>
      <c r="H298" s="2">
        <v>94633.205000000002</v>
      </c>
      <c r="I298" s="2">
        <v>85830.115999999995</v>
      </c>
      <c r="J298" s="2">
        <v>79111.968999999997</v>
      </c>
      <c r="K298" s="2">
        <v>72393.822</v>
      </c>
      <c r="L298" s="2">
        <v>61042.470999999998</v>
      </c>
      <c r="M298" s="2">
        <v>52471.042000000001</v>
      </c>
      <c r="N298" s="2">
        <v>52007.722000000002</v>
      </c>
      <c r="O298" s="2">
        <v>52934.362999999998</v>
      </c>
      <c r="P298" s="208">
        <v>53861.004000000001</v>
      </c>
      <c r="Q298" s="2"/>
    </row>
    <row r="299" spans="1:17" ht="15.75" customHeight="1">
      <c r="A299" s="200">
        <v>52</v>
      </c>
      <c r="B299" s="179">
        <v>3</v>
      </c>
      <c r="C299" s="179" t="s">
        <v>563</v>
      </c>
      <c r="D299" s="2"/>
      <c r="E299" s="2">
        <v>132625.48300000001</v>
      </c>
      <c r="F299" s="2">
        <v>133320.46299999999</v>
      </c>
      <c r="G299" s="2">
        <v>81891.892000000007</v>
      </c>
      <c r="H299" s="2">
        <v>46911.197</v>
      </c>
      <c r="I299" s="2">
        <v>34401.544000000002</v>
      </c>
      <c r="J299" s="2">
        <v>26525.097000000002</v>
      </c>
      <c r="K299" s="2">
        <v>22123.552</v>
      </c>
      <c r="L299" s="2">
        <v>19575.29</v>
      </c>
      <c r="M299" s="2">
        <v>18648.649000000001</v>
      </c>
      <c r="N299" s="2">
        <v>18416.988000000001</v>
      </c>
      <c r="O299" s="2">
        <v>17490.347000000002</v>
      </c>
      <c r="P299" s="208">
        <v>15405.405000000001</v>
      </c>
      <c r="Q299" s="2"/>
    </row>
    <row r="300" spans="1:17" ht="15.75" customHeight="1">
      <c r="A300" s="202">
        <v>52</v>
      </c>
      <c r="B300" s="180">
        <v>4</v>
      </c>
      <c r="C300" s="180" t="s">
        <v>563</v>
      </c>
      <c r="D300" s="30"/>
      <c r="E300" s="30">
        <v>132625.48300000001</v>
      </c>
      <c r="F300" s="30">
        <v>126138.996</v>
      </c>
      <c r="G300" s="30">
        <v>60579.150999999998</v>
      </c>
      <c r="H300" s="30">
        <v>35328.184999999998</v>
      </c>
      <c r="I300" s="30">
        <v>25366.794999999998</v>
      </c>
      <c r="J300" s="30">
        <v>20501.931</v>
      </c>
      <c r="K300" s="30">
        <v>16100.386</v>
      </c>
      <c r="L300" s="30">
        <v>15405.405000000001</v>
      </c>
      <c r="M300" s="30">
        <v>14247.103999999999</v>
      </c>
      <c r="N300" s="30">
        <v>13320.463</v>
      </c>
      <c r="O300" s="30">
        <v>12625.483</v>
      </c>
      <c r="P300" s="209">
        <v>11235.521000000001</v>
      </c>
      <c r="Q300" s="2"/>
    </row>
    <row r="301" spans="1:17" ht="15.75" customHeight="1">
      <c r="A301" s="177">
        <v>53</v>
      </c>
      <c r="B301" s="179">
        <v>1</v>
      </c>
      <c r="C301" s="179"/>
    </row>
    <row r="302" spans="1:17" ht="15.75" customHeight="1">
      <c r="A302" s="174">
        <v>53</v>
      </c>
      <c r="B302" s="179">
        <v>2</v>
      </c>
      <c r="C302" s="179"/>
    </row>
    <row r="303" spans="1:17" ht="15.75" customHeight="1">
      <c r="A303" s="174">
        <v>53</v>
      </c>
      <c r="B303" s="179">
        <v>3</v>
      </c>
      <c r="C303" s="179"/>
    </row>
    <row r="304" spans="1:17" ht="15.75" customHeight="1">
      <c r="A304" s="174">
        <v>53</v>
      </c>
      <c r="B304" s="179">
        <v>4</v>
      </c>
      <c r="C304" s="179"/>
    </row>
    <row r="305" spans="1:18" ht="15.75" customHeight="1">
      <c r="A305" s="174">
        <v>53</v>
      </c>
      <c r="B305" s="179">
        <v>5</v>
      </c>
      <c r="C305" s="179"/>
    </row>
    <row r="306" spans="1:18" ht="15.75" customHeight="1">
      <c r="A306" s="201">
        <v>54</v>
      </c>
      <c r="B306" s="178">
        <v>1</v>
      </c>
      <c r="C306" s="179" t="s">
        <v>565</v>
      </c>
      <c r="D306">
        <v>35.149257000000006</v>
      </c>
      <c r="E306">
        <v>32.175263999999999</v>
      </c>
      <c r="F306">
        <v>33.277216000000003</v>
      </c>
      <c r="G306">
        <v>30.400590000000005</v>
      </c>
      <c r="H306">
        <v>20.223648000000001</v>
      </c>
      <c r="I306">
        <v>13.666848</v>
      </c>
      <c r="J306">
        <v>12.711582000000002</v>
      </c>
    </row>
    <row r="307" spans="1:18" ht="15.75" customHeight="1">
      <c r="A307" s="200">
        <v>54</v>
      </c>
      <c r="B307" s="179">
        <v>2</v>
      </c>
      <c r="C307" s="179" t="s">
        <v>565</v>
      </c>
      <c r="D307">
        <v>24.524487999999998</v>
      </c>
      <c r="E307">
        <v>27.83286</v>
      </c>
      <c r="F307">
        <v>50.876097999999999</v>
      </c>
      <c r="G307">
        <v>32.728500000000004</v>
      </c>
      <c r="H307">
        <v>17.231385</v>
      </c>
      <c r="I307">
        <v>14.424774000000001</v>
      </c>
      <c r="J307">
        <v>14.494807</v>
      </c>
    </row>
    <row r="308" spans="1:18" ht="15.75" customHeight="1">
      <c r="A308" s="200">
        <v>54</v>
      </c>
      <c r="B308" s="179">
        <v>3</v>
      </c>
      <c r="C308" s="179" t="s">
        <v>565</v>
      </c>
      <c r="D308">
        <v>13.614405999999999</v>
      </c>
      <c r="E308">
        <v>17.328535000000002</v>
      </c>
      <c r="F308">
        <v>31.779855999999999</v>
      </c>
      <c r="G308">
        <v>25.866295999999998</v>
      </c>
      <c r="H308">
        <v>16.225634000000003</v>
      </c>
      <c r="I308">
        <v>12.276070999999998</v>
      </c>
      <c r="J308">
        <v>11.949299999999999</v>
      </c>
    </row>
    <row r="309" spans="1:18" ht="15.75" customHeight="1">
      <c r="A309" s="200">
        <v>54</v>
      </c>
      <c r="B309" s="179">
        <v>4</v>
      </c>
      <c r="C309" s="179" t="s">
        <v>565</v>
      </c>
      <c r="D309">
        <v>20.495650000000005</v>
      </c>
      <c r="E309">
        <v>25.289349999999995</v>
      </c>
      <c r="F309">
        <v>26.602314</v>
      </c>
      <c r="G309">
        <v>23.340043999999999</v>
      </c>
      <c r="H309">
        <v>14.83569</v>
      </c>
      <c r="I309">
        <v>10.951000000000001</v>
      </c>
      <c r="J309">
        <v>10.459624</v>
      </c>
    </row>
    <row r="310" spans="1:18" ht="15.75" customHeight="1">
      <c r="A310" s="201">
        <v>55</v>
      </c>
      <c r="B310" s="178" t="s">
        <v>220</v>
      </c>
      <c r="C310" s="179"/>
    </row>
    <row r="311" spans="1:18" ht="15.75" customHeight="1">
      <c r="A311" s="200">
        <v>55</v>
      </c>
      <c r="B311" s="179" t="s">
        <v>221</v>
      </c>
      <c r="C311" s="179"/>
    </row>
    <row r="312" spans="1:18" ht="15.75" customHeight="1">
      <c r="A312" s="200">
        <v>55</v>
      </c>
      <c r="B312" s="179" t="s">
        <v>222</v>
      </c>
      <c r="C312" s="179"/>
    </row>
    <row r="313" spans="1:18" ht="15.75" customHeight="1">
      <c r="A313" s="200">
        <v>55</v>
      </c>
      <c r="B313" s="179" t="s">
        <v>224</v>
      </c>
      <c r="C313" s="179"/>
    </row>
    <row r="314" spans="1:18" ht="15.75" customHeight="1">
      <c r="A314" s="200">
        <v>55</v>
      </c>
      <c r="B314" s="179" t="s">
        <v>225</v>
      </c>
      <c r="C314" s="179"/>
    </row>
    <row r="315" spans="1:18" ht="15.75" customHeight="1">
      <c r="A315" s="200">
        <v>55</v>
      </c>
      <c r="B315" s="179" t="s">
        <v>226</v>
      </c>
      <c r="C315" s="179"/>
    </row>
    <row r="316" spans="1:18" ht="15.75" customHeight="1">
      <c r="A316" s="200">
        <v>55</v>
      </c>
      <c r="B316" s="179" t="s">
        <v>230</v>
      </c>
      <c r="C316" s="179"/>
    </row>
    <row r="317" spans="1:18" ht="15.75" customHeight="1">
      <c r="A317" s="200">
        <v>55</v>
      </c>
      <c r="B317" s="179" t="s">
        <v>231</v>
      </c>
      <c r="C317" s="179"/>
    </row>
    <row r="318" spans="1:18" ht="15.75" customHeight="1">
      <c r="A318" s="200">
        <v>55</v>
      </c>
      <c r="B318" s="179" t="s">
        <v>232</v>
      </c>
      <c r="C318" s="179"/>
    </row>
    <row r="319" spans="1:18" ht="15.75" customHeight="1">
      <c r="A319" s="177">
        <v>56</v>
      </c>
      <c r="B319" s="178" t="s">
        <v>220</v>
      </c>
      <c r="C319" s="178" t="s">
        <v>563</v>
      </c>
      <c r="D319" s="206">
        <v>102343860.287</v>
      </c>
      <c r="E319" s="206">
        <v>105005027.432</v>
      </c>
      <c r="F319" s="206">
        <v>101558740.066</v>
      </c>
      <c r="G319" s="206">
        <v>87960326.263999999</v>
      </c>
      <c r="H319" s="206">
        <v>70536103.107999995</v>
      </c>
      <c r="I319" s="206">
        <v>55271674.848999999</v>
      </c>
      <c r="J319" s="206">
        <v>47139304.737999998</v>
      </c>
      <c r="K319" s="206">
        <v>43870030.502999999</v>
      </c>
      <c r="L319" s="206">
        <v>40410421.511</v>
      </c>
      <c r="M319" s="206">
        <v>39285316.096000001</v>
      </c>
      <c r="N319" s="206">
        <v>38289699.075999998</v>
      </c>
      <c r="O319" s="206">
        <v>37128208.538000003</v>
      </c>
      <c r="P319" s="206">
        <v>35817591.294</v>
      </c>
      <c r="Q319" s="206">
        <v>33677547.674000002</v>
      </c>
      <c r="R319" s="207">
        <v>30080700.475000001</v>
      </c>
    </row>
    <row r="320" spans="1:18" ht="15.75" customHeight="1">
      <c r="A320" s="175">
        <v>56</v>
      </c>
      <c r="B320" s="180" t="s">
        <v>224</v>
      </c>
      <c r="C320" s="18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209"/>
    </row>
    <row r="321" spans="1:20" ht="15.75" customHeight="1">
      <c r="A321" s="177">
        <v>57</v>
      </c>
      <c r="B321" s="178">
        <v>1</v>
      </c>
      <c r="C321" s="179"/>
    </row>
    <row r="322" spans="1:20" ht="15.75" customHeight="1">
      <c r="A322" s="174">
        <v>57</v>
      </c>
      <c r="B322" s="179">
        <v>2</v>
      </c>
      <c r="C322" s="179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20" ht="15.75" customHeight="1">
      <c r="A323" s="177">
        <v>58</v>
      </c>
      <c r="B323" s="178">
        <v>1</v>
      </c>
      <c r="C323" s="178" t="s">
        <v>563</v>
      </c>
      <c r="D323" s="206">
        <v>5.1707150000000002E-3</v>
      </c>
      <c r="E323" s="206">
        <v>6.1764305999999995E-3</v>
      </c>
      <c r="F323" s="206">
        <v>7.6749788000000001E-3</v>
      </c>
      <c r="G323" s="206">
        <v>9.1677792999999997E-3</v>
      </c>
      <c r="H323" s="206">
        <v>1.18510391E-2</v>
      </c>
      <c r="I323" s="206">
        <v>1.47263818E-2</v>
      </c>
      <c r="J323" s="206">
        <v>1.8664312899999997E-2</v>
      </c>
      <c r="K323" s="206">
        <v>2.36552727E-2</v>
      </c>
      <c r="L323" s="206">
        <v>2.8256275900000002E-2</v>
      </c>
      <c r="M323" s="206">
        <v>3.3752184499999997E-2</v>
      </c>
      <c r="N323" s="207">
        <v>3.9528699099999995E-2</v>
      </c>
      <c r="O323" s="2"/>
    </row>
    <row r="324" spans="1:20" ht="15.75" customHeight="1">
      <c r="A324" s="174">
        <v>58</v>
      </c>
      <c r="B324" s="179">
        <v>2</v>
      </c>
      <c r="C324" s="179" t="s">
        <v>563</v>
      </c>
      <c r="D324" s="2">
        <v>2.5904729999999998E-3</v>
      </c>
      <c r="E324" s="2">
        <v>3.3486622999999997E-3</v>
      </c>
      <c r="F324" s="2">
        <v>4.1611271000000002E-3</v>
      </c>
      <c r="G324" s="2">
        <v>5.1707150000000002E-3</v>
      </c>
      <c r="H324" s="2">
        <v>6.4252529000000001E-3</v>
      </c>
      <c r="I324" s="2">
        <v>8.1434075999999994E-3</v>
      </c>
      <c r="J324" s="2">
        <v>1.0119191099999999E-2</v>
      </c>
      <c r="K324" s="2">
        <v>1.2328467399999999E-2</v>
      </c>
      <c r="L324" s="2">
        <v>1.5625180499999999E-2</v>
      </c>
      <c r="M324" s="2">
        <v>1.9416219200000001E-2</v>
      </c>
      <c r="N324" s="208">
        <v>2.2739206200000001E-2</v>
      </c>
      <c r="O324" s="2"/>
    </row>
    <row r="325" spans="1:20" ht="15.75" customHeight="1">
      <c r="A325" s="175">
        <v>58</v>
      </c>
      <c r="B325" s="180">
        <v>3</v>
      </c>
      <c r="C325" s="180" t="s">
        <v>563</v>
      </c>
      <c r="D325" s="498">
        <v>1.0361849999999999E-4</v>
      </c>
      <c r="E325" s="2">
        <v>1.4784659999999999E-4</v>
      </c>
      <c r="F325" s="2">
        <v>2.0278350000000001E-4</v>
      </c>
      <c r="G325" s="2">
        <v>2.9510929999999999E-4</v>
      </c>
      <c r="H325" s="2">
        <v>4.2947030000000004E-4</v>
      </c>
      <c r="I325" s="2">
        <v>6.2500480000000002E-4</v>
      </c>
      <c r="J325" s="2">
        <v>9.095647000000001E-4</v>
      </c>
      <c r="K325" s="2">
        <v>1.2724220999999999E-3</v>
      </c>
      <c r="L325" s="2">
        <v>1.8517462999999999E-3</v>
      </c>
      <c r="M325" s="2">
        <v>2.4414627E-3</v>
      </c>
      <c r="N325" s="208">
        <v>3.0943258E-3</v>
      </c>
      <c r="O325" s="2"/>
    </row>
    <row r="326" spans="1:20" ht="15.75" customHeight="1">
      <c r="A326" s="201">
        <v>59</v>
      </c>
      <c r="B326" s="58">
        <v>1</v>
      </c>
      <c r="C326" s="59" t="s">
        <v>565</v>
      </c>
      <c r="D326" s="2">
        <v>125.12748000000001</v>
      </c>
      <c r="E326" s="2">
        <v>159.016986</v>
      </c>
      <c r="F326" s="2">
        <v>184.73655200000002</v>
      </c>
      <c r="G326" s="2">
        <v>197.16006200000001</v>
      </c>
      <c r="H326" s="2">
        <v>208.71105</v>
      </c>
      <c r="I326" s="2">
        <v>195.42491999999999</v>
      </c>
      <c r="J326" s="2">
        <v>184.85549599999999</v>
      </c>
      <c r="K326" s="2">
        <v>161.45609599999997</v>
      </c>
      <c r="L326" s="2">
        <v>134.150115</v>
      </c>
      <c r="M326" s="2">
        <v>124.89942599999999</v>
      </c>
      <c r="N326" s="2">
        <v>118.682739</v>
      </c>
      <c r="O326">
        <v>108.50990400000001</v>
      </c>
      <c r="P326">
        <v>94.648737999999994</v>
      </c>
      <c r="Q326">
        <v>86.944793000000004</v>
      </c>
      <c r="R326">
        <v>85.596283999999997</v>
      </c>
      <c r="S326">
        <v>83.286100000000005</v>
      </c>
      <c r="T326">
        <v>79.954672000000002</v>
      </c>
    </row>
    <row r="327" spans="1:20" ht="15.75" customHeight="1">
      <c r="A327" s="200">
        <v>59</v>
      </c>
      <c r="B327" s="59">
        <v>2</v>
      </c>
      <c r="C327" s="59" t="s">
        <v>565</v>
      </c>
      <c r="D327">
        <v>132.06798000000001</v>
      </c>
      <c r="E327">
        <v>169.18980299999998</v>
      </c>
      <c r="F327">
        <v>196.87251200000003</v>
      </c>
      <c r="G327">
        <v>214.64020700000003</v>
      </c>
      <c r="H327">
        <v>227.05380000000002</v>
      </c>
      <c r="I327">
        <v>213.093504</v>
      </c>
      <c r="J327">
        <v>201.82011999999997</v>
      </c>
      <c r="K327">
        <v>176.08072099999998</v>
      </c>
      <c r="L327">
        <v>157.36120099999999</v>
      </c>
      <c r="M327">
        <v>147.53538600000002</v>
      </c>
      <c r="N327">
        <v>141.58640399999999</v>
      </c>
      <c r="O327">
        <v>126.594872</v>
      </c>
      <c r="P327">
        <v>116.451837</v>
      </c>
      <c r="Q327">
        <v>104.51418100000001</v>
      </c>
      <c r="R327">
        <v>101.43063600000001</v>
      </c>
      <c r="S327">
        <v>96.929143999999994</v>
      </c>
      <c r="T327">
        <v>88.164297000000005</v>
      </c>
    </row>
    <row r="328" spans="1:20" ht="15.75" customHeight="1">
      <c r="A328" s="200">
        <v>59</v>
      </c>
      <c r="B328" s="59">
        <v>3</v>
      </c>
      <c r="C328" s="59" t="s">
        <v>565</v>
      </c>
      <c r="D328">
        <v>134.685552</v>
      </c>
      <c r="E328">
        <v>154.37675999999999</v>
      </c>
      <c r="F328">
        <v>156.75638800000002</v>
      </c>
      <c r="G328">
        <v>160.08782399999998</v>
      </c>
      <c r="H328">
        <v>180.45325000000003</v>
      </c>
      <c r="I328">
        <v>185.44048100000001</v>
      </c>
      <c r="J328">
        <v>177.33995400000001</v>
      </c>
      <c r="K328">
        <v>163.10195999999999</v>
      </c>
      <c r="L328">
        <v>138.88952399999999</v>
      </c>
      <c r="M328">
        <v>123.828642</v>
      </c>
      <c r="N328">
        <v>122.192618</v>
      </c>
      <c r="O328">
        <v>115.84704400000001</v>
      </c>
      <c r="P328">
        <v>104.19692099999999</v>
      </c>
      <c r="Q328">
        <v>102.12460299999999</v>
      </c>
      <c r="R328">
        <v>97.20677400000001</v>
      </c>
      <c r="S328">
        <v>91.198296000000013</v>
      </c>
      <c r="T328">
        <v>86.300296000000017</v>
      </c>
    </row>
    <row r="329" spans="1:20" ht="15.75" customHeight="1">
      <c r="A329" s="200">
        <v>59</v>
      </c>
      <c r="B329" s="59">
        <v>4</v>
      </c>
      <c r="C329" s="59" t="s">
        <v>565</v>
      </c>
      <c r="D329">
        <v>175.97165799999999</v>
      </c>
      <c r="E329">
        <v>211.626082</v>
      </c>
      <c r="F329">
        <v>184.538262</v>
      </c>
      <c r="G329">
        <v>167.61331999999999</v>
      </c>
      <c r="H329">
        <v>173.09630200000001</v>
      </c>
      <c r="I329">
        <v>164.98585600000001</v>
      </c>
      <c r="J329">
        <v>158.392338</v>
      </c>
      <c r="K329">
        <v>142.33996199999999</v>
      </c>
      <c r="L329">
        <v>121.796008</v>
      </c>
      <c r="M329">
        <v>111.464584</v>
      </c>
      <c r="N329">
        <v>110.373964</v>
      </c>
      <c r="O329">
        <v>100.02262399999999</v>
      </c>
      <c r="P329">
        <v>89.631713000000005</v>
      </c>
      <c r="Q329">
        <v>84.674222</v>
      </c>
      <c r="R329">
        <v>81.203980000000001</v>
      </c>
      <c r="S329">
        <v>75.800314000000014</v>
      </c>
      <c r="T329">
        <v>67.957559000000003</v>
      </c>
    </row>
    <row r="330" spans="1:20" ht="15.75" customHeight="1">
      <c r="A330" s="200">
        <v>59</v>
      </c>
      <c r="B330" s="59">
        <v>5</v>
      </c>
      <c r="C330" s="59" t="s">
        <v>565</v>
      </c>
      <c r="D330">
        <v>148.169984</v>
      </c>
      <c r="E330">
        <v>160.68271199999998</v>
      </c>
      <c r="F330">
        <v>166.264881</v>
      </c>
      <c r="G330">
        <v>168.75352999999998</v>
      </c>
      <c r="H330">
        <v>180.849885</v>
      </c>
      <c r="I330">
        <v>184.03259100000002</v>
      </c>
      <c r="J330">
        <v>167.28610799999998</v>
      </c>
      <c r="K330">
        <v>137.858318</v>
      </c>
      <c r="L330">
        <v>113.754949</v>
      </c>
      <c r="M330">
        <v>91.922111000000001</v>
      </c>
      <c r="N330">
        <v>78.824399999999997</v>
      </c>
      <c r="O330">
        <v>65.042482000000007</v>
      </c>
      <c r="P330">
        <v>58.002839999999999</v>
      </c>
      <c r="Q330">
        <v>53.303136000000002</v>
      </c>
      <c r="R330">
        <v>52.053854999999999</v>
      </c>
      <c r="S330">
        <v>51.31024</v>
      </c>
      <c r="T330">
        <v>47.096375000000002</v>
      </c>
    </row>
    <row r="331" spans="1:20" ht="15.75" customHeight="1">
      <c r="A331" s="200">
        <v>59</v>
      </c>
      <c r="B331" s="59">
        <v>6</v>
      </c>
      <c r="C331" s="59" t="s">
        <v>565</v>
      </c>
      <c r="D331" s="2">
        <v>191.776196</v>
      </c>
      <c r="E331" s="2">
        <v>188.21673200000001</v>
      </c>
      <c r="F331" s="2">
        <v>182.04957300000001</v>
      </c>
      <c r="G331" s="2">
        <v>182.75351999999998</v>
      </c>
      <c r="H331" s="2">
        <v>196.91219999999998</v>
      </c>
      <c r="I331" s="2">
        <v>186.73940199999998</v>
      </c>
      <c r="J331" s="2">
        <v>168.95184</v>
      </c>
      <c r="K331" s="2">
        <v>140.72376100000002</v>
      </c>
      <c r="L331" s="2">
        <v>111.04816000000001</v>
      </c>
      <c r="M331" s="2">
        <v>88.511362999999989</v>
      </c>
      <c r="N331" s="2">
        <v>77.535385000000005</v>
      </c>
      <c r="O331">
        <v>58.240798999999996</v>
      </c>
      <c r="P331">
        <v>44.270569999999999</v>
      </c>
      <c r="Q331">
        <v>40.651600000000002</v>
      </c>
      <c r="R331">
        <v>39.987304000000002</v>
      </c>
      <c r="S331">
        <v>38.609009999999998</v>
      </c>
      <c r="T331">
        <v>35.535360000000004</v>
      </c>
    </row>
    <row r="332" spans="1:20" ht="15.75" customHeight="1">
      <c r="A332" s="201">
        <v>60</v>
      </c>
      <c r="B332" s="58">
        <v>1</v>
      </c>
      <c r="C332" s="178" t="s">
        <v>563</v>
      </c>
      <c r="D332" s="206">
        <v>524807460.24977338</v>
      </c>
      <c r="E332" s="206">
        <v>399944749.7610991</v>
      </c>
      <c r="F332" s="206">
        <v>474241985.26024759</v>
      </c>
      <c r="G332" s="206">
        <v>601173737.4832803</v>
      </c>
      <c r="H332" s="206">
        <v>736207097.49474251</v>
      </c>
      <c r="I332" s="206">
        <v>543250331.49243391</v>
      </c>
      <c r="J332" s="206">
        <v>506990708.27470517</v>
      </c>
      <c r="K332" s="206">
        <v>443608643.93143415</v>
      </c>
      <c r="L332" s="206">
        <v>665273156.20174551</v>
      </c>
      <c r="M332" s="206">
        <v>490907876.15260607</v>
      </c>
      <c r="N332" s="207">
        <v>17100153.150902938</v>
      </c>
      <c r="O332" s="2"/>
    </row>
    <row r="333" spans="1:20" ht="15.75" customHeight="1">
      <c r="A333" s="200">
        <v>60</v>
      </c>
      <c r="B333" s="59">
        <v>2</v>
      </c>
      <c r="C333" s="179" t="s">
        <v>563</v>
      </c>
      <c r="D333" s="2">
        <v>45708818.96148771</v>
      </c>
      <c r="E333" s="2">
        <v>39902490.236214437</v>
      </c>
      <c r="F333" s="2">
        <v>44157044.735331297</v>
      </c>
      <c r="G333" s="2">
        <v>52360043.658575192</v>
      </c>
      <c r="H333" s="2">
        <v>81283051.616410092</v>
      </c>
      <c r="I333" s="2">
        <v>48865235.934283532</v>
      </c>
      <c r="J333" s="2">
        <v>45708818.96148771</v>
      </c>
      <c r="K333" s="2">
        <v>37239170.625456944</v>
      </c>
      <c r="L333" s="2">
        <v>36057864.302164361</v>
      </c>
      <c r="M333" s="2">
        <v>20230191.786782745</v>
      </c>
      <c r="N333" s="208">
        <v>2157744.4091526712</v>
      </c>
      <c r="O333" s="2"/>
    </row>
    <row r="334" spans="1:20" ht="15.75" customHeight="1">
      <c r="A334" s="200">
        <v>60</v>
      </c>
      <c r="B334" s="59">
        <v>3</v>
      </c>
      <c r="C334" s="180" t="s">
        <v>563</v>
      </c>
      <c r="D334" s="2">
        <v>2735268.7263067118</v>
      </c>
      <c r="E334" s="2">
        <v>3243396.1734934989</v>
      </c>
      <c r="F334" s="2">
        <v>4549880.6015004953</v>
      </c>
      <c r="G334" s="2">
        <v>3715352.2909717411</v>
      </c>
      <c r="H334" s="2">
        <v>5046612.9756352911</v>
      </c>
      <c r="I334" s="2">
        <v>3033891.1841942687</v>
      </c>
      <c r="J334" s="2">
        <v>2471724.1450161417</v>
      </c>
      <c r="K334" s="2">
        <v>2648500.1386067118</v>
      </c>
      <c r="L334" s="2">
        <v>3589219.346450055</v>
      </c>
      <c r="M334" s="2">
        <v>2648500.1386067118</v>
      </c>
      <c r="N334" s="208">
        <v>125025.90302177226</v>
      </c>
      <c r="O334" s="2"/>
    </row>
    <row r="335" spans="1:20" ht="15.75" customHeight="1">
      <c r="A335" s="200">
        <v>60</v>
      </c>
      <c r="B335" s="59">
        <v>4</v>
      </c>
      <c r="C335" s="178" t="s">
        <v>563</v>
      </c>
      <c r="D335" s="2">
        <v>133967.66874259422</v>
      </c>
      <c r="E335" s="2">
        <v>164058.9773199544</v>
      </c>
      <c r="F335" s="2">
        <v>312607.93671239557</v>
      </c>
      <c r="G335" s="2">
        <v>659173.89524432376</v>
      </c>
      <c r="H335" s="2">
        <v>369828.17978026683</v>
      </c>
      <c r="I335" s="2">
        <v>215278.17347243815</v>
      </c>
      <c r="J335" s="2">
        <v>143218.78992735496</v>
      </c>
      <c r="K335" s="2">
        <v>164058.9773199544</v>
      </c>
      <c r="L335" s="2">
        <v>215278.17347243815</v>
      </c>
      <c r="M335" s="2">
        <v>200909.28126087366</v>
      </c>
      <c r="N335" s="208">
        <v>18113.400926196027</v>
      </c>
      <c r="O335" s="2"/>
    </row>
    <row r="336" spans="1:20" ht="15.75" customHeight="1">
      <c r="A336" s="202">
        <v>60</v>
      </c>
      <c r="B336" s="203">
        <v>5</v>
      </c>
      <c r="C336" s="179" t="s">
        <v>563</v>
      </c>
      <c r="D336" s="30">
        <v>27164.392688390799</v>
      </c>
      <c r="E336" s="30">
        <v>31117.163371060218</v>
      </c>
      <c r="F336" s="30">
        <v>63533.093185174723</v>
      </c>
      <c r="G336" s="30">
        <v>102093.94837076843</v>
      </c>
      <c r="H336" s="30">
        <v>18113.400926196027</v>
      </c>
      <c r="I336" s="30">
        <v>16368.165214278164</v>
      </c>
      <c r="J336" s="30">
        <v>13803.842646028885</v>
      </c>
      <c r="K336" s="30">
        <v>12882.495516931333</v>
      </c>
      <c r="L336" s="30">
        <v>14757.065332758968</v>
      </c>
      <c r="M336" s="30">
        <v>12882.495516931333</v>
      </c>
      <c r="N336" s="209">
        <v>1995.2623149688866</v>
      </c>
      <c r="O336" s="2"/>
    </row>
    <row r="337" spans="1:14" ht="15.75" customHeight="1">
      <c r="A337" s="102">
        <v>61</v>
      </c>
      <c r="B337" s="246">
        <v>1</v>
      </c>
      <c r="C337" s="180" t="s">
        <v>563</v>
      </c>
      <c r="D337" s="105">
        <v>44645.373</v>
      </c>
      <c r="E337" s="105">
        <v>24912.841</v>
      </c>
      <c r="F337" s="105">
        <v>7495.7259999999997</v>
      </c>
      <c r="G337" s="105">
        <v>3463.3249999999998</v>
      </c>
      <c r="H337" s="105">
        <v>1804.404</v>
      </c>
      <c r="I337" s="105">
        <v>924.10799999999995</v>
      </c>
      <c r="J337" s="105">
        <v>278.04399999999998</v>
      </c>
      <c r="K337" s="105">
        <v>14.536</v>
      </c>
      <c r="L337" s="105">
        <v>11.045999999999999</v>
      </c>
      <c r="M337" s="105">
        <v>7.0709999999999997</v>
      </c>
      <c r="N337" s="132">
        <v>4.1539999999999999</v>
      </c>
    </row>
    <row r="338" spans="1:14" ht="15.75" customHeight="1"/>
    <row r="339" spans="1:14" ht="15.75" customHeight="1"/>
    <row r="340" spans="1:14" ht="15.75" customHeight="1"/>
    <row r="341" spans="1:14" ht="15.75" customHeight="1"/>
    <row r="342" spans="1:14" ht="15.75" customHeight="1"/>
    <row r="343" spans="1:14" ht="15.75" customHeight="1"/>
    <row r="344" spans="1:14" ht="15.75" customHeight="1"/>
    <row r="345" spans="1:14" ht="15.75" customHeight="1"/>
    <row r="346" spans="1:14" ht="15.75" customHeight="1"/>
    <row r="347" spans="1:14" ht="15.75" customHeight="1"/>
    <row r="348" spans="1:14" ht="15.75" customHeight="1"/>
    <row r="349" spans="1:14" ht="15.75" customHeight="1"/>
    <row r="350" spans="1:14" ht="15.75" customHeight="1"/>
    <row r="351" spans="1:14" ht="15.75" customHeight="1"/>
    <row r="352" spans="1:1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85"/>
  <sheetViews>
    <sheetView zoomScale="80" zoomScaleNormal="80" workbookViewId="0">
      <pane ySplit="1" topLeftCell="A305" activePane="bottomLeft" state="frozen"/>
      <selection activeCell="J338" sqref="J338"/>
      <selection pane="bottomLeft" activeCell="C342" sqref="C342"/>
    </sheetView>
  </sheetViews>
  <sheetFormatPr defaultColWidth="12.5703125" defaultRowHeight="15" customHeight="1"/>
  <cols>
    <col min="1" max="1" width="13.28515625" customWidth="1"/>
    <col min="2" max="2" width="13.140625" customWidth="1"/>
    <col min="3" max="4" width="16.140625" customWidth="1"/>
    <col min="5" max="6" width="20.140625" bestFit="1" customWidth="1"/>
    <col min="7" max="7" width="16" bestFit="1" customWidth="1"/>
    <col min="8" max="8" width="15.7109375" bestFit="1" customWidth="1"/>
    <col min="9" max="9" width="12.7109375" customWidth="1"/>
    <col min="10" max="10" width="13" customWidth="1"/>
    <col min="11" max="11" width="9.42578125" customWidth="1"/>
    <col min="12" max="12" width="12.7109375" customWidth="1"/>
    <col min="13" max="13" width="34.28515625" style="491" bestFit="1" customWidth="1"/>
    <col min="14" max="14" width="19.42578125" customWidth="1"/>
    <col min="15" max="16" width="24.42578125" customWidth="1"/>
    <col min="17" max="17" width="34.85546875" style="491" bestFit="1" customWidth="1"/>
    <col min="18" max="18" width="19.42578125" customWidth="1"/>
    <col min="19" max="19" width="24.42578125" customWidth="1"/>
    <col min="20" max="20" width="47.85546875" bestFit="1" customWidth="1"/>
    <col min="21" max="22" width="9.42578125" customWidth="1"/>
  </cols>
  <sheetData>
    <row r="1" spans="1:22">
      <c r="A1" s="32" t="s">
        <v>218</v>
      </c>
      <c r="B1" s="33" t="s">
        <v>219</v>
      </c>
      <c r="C1" s="33" t="s">
        <v>248</v>
      </c>
      <c r="D1" s="33" t="s">
        <v>249</v>
      </c>
      <c r="E1" s="33" t="s">
        <v>555</v>
      </c>
      <c r="F1" s="33" t="s">
        <v>556</v>
      </c>
      <c r="G1" s="34" t="s">
        <v>250</v>
      </c>
      <c r="H1" s="35" t="s">
        <v>251</v>
      </c>
      <c r="I1" s="35" t="s">
        <v>252</v>
      </c>
      <c r="J1" s="35" t="s">
        <v>253</v>
      </c>
      <c r="K1" s="33" t="s">
        <v>254</v>
      </c>
      <c r="L1" s="33" t="s">
        <v>255</v>
      </c>
      <c r="M1" s="483" t="s">
        <v>256</v>
      </c>
      <c r="N1" s="33" t="s">
        <v>257</v>
      </c>
      <c r="O1" s="33" t="s">
        <v>557</v>
      </c>
      <c r="P1" s="33" t="s">
        <v>258</v>
      </c>
      <c r="Q1" s="483" t="s">
        <v>259</v>
      </c>
      <c r="R1" s="33" t="s">
        <v>260</v>
      </c>
      <c r="S1" s="33" t="s">
        <v>558</v>
      </c>
      <c r="T1" s="36" t="s">
        <v>559</v>
      </c>
      <c r="U1" s="214"/>
      <c r="V1" s="215" t="s">
        <v>261</v>
      </c>
    </row>
    <row r="2" spans="1:22">
      <c r="A2" s="181">
        <v>1</v>
      </c>
      <c r="B2" s="178">
        <v>1</v>
      </c>
      <c r="C2" s="194" t="s">
        <v>262</v>
      </c>
      <c r="D2" s="194" t="s">
        <v>263</v>
      </c>
      <c r="E2" s="194">
        <v>97</v>
      </c>
      <c r="F2" s="194">
        <v>3</v>
      </c>
      <c r="G2" s="229"/>
      <c r="H2" s="194"/>
      <c r="I2" s="194">
        <v>1.24</v>
      </c>
      <c r="J2" s="194" t="s">
        <v>264</v>
      </c>
      <c r="K2" s="194"/>
      <c r="L2" s="194" t="s">
        <v>265</v>
      </c>
      <c r="M2" s="484"/>
      <c r="N2" s="194"/>
      <c r="O2" s="194"/>
      <c r="P2" s="12" t="s">
        <v>265</v>
      </c>
      <c r="Q2" s="486"/>
      <c r="R2" s="194"/>
      <c r="S2" s="194"/>
      <c r="T2" s="218">
        <v>100</v>
      </c>
      <c r="U2" s="1"/>
      <c r="V2" s="38">
        <v>1</v>
      </c>
    </row>
    <row r="3" spans="1:22">
      <c r="A3" s="182">
        <v>1</v>
      </c>
      <c r="B3" s="179">
        <v>2</v>
      </c>
      <c r="C3" s="20" t="s">
        <v>262</v>
      </c>
      <c r="D3" s="20" t="s">
        <v>263</v>
      </c>
      <c r="E3" s="20">
        <v>97</v>
      </c>
      <c r="F3" s="20">
        <v>3</v>
      </c>
      <c r="G3" s="42"/>
      <c r="H3" s="20"/>
      <c r="I3" s="20">
        <v>1.24</v>
      </c>
      <c r="J3" s="20" t="s">
        <v>264</v>
      </c>
      <c r="K3" s="20"/>
      <c r="L3" s="20" t="s">
        <v>265</v>
      </c>
      <c r="M3" s="484"/>
      <c r="N3" s="20"/>
      <c r="O3" s="20"/>
      <c r="P3" s="12" t="s">
        <v>265</v>
      </c>
      <c r="Q3" s="484"/>
      <c r="R3" s="20"/>
      <c r="S3" s="20"/>
      <c r="T3" s="219">
        <v>100</v>
      </c>
      <c r="U3" s="1"/>
      <c r="V3" s="38">
        <v>2</v>
      </c>
    </row>
    <row r="4" spans="1:22">
      <c r="A4" s="182">
        <v>1</v>
      </c>
      <c r="B4" s="179">
        <v>3</v>
      </c>
      <c r="C4" s="20" t="s">
        <v>262</v>
      </c>
      <c r="D4" s="20" t="s">
        <v>263</v>
      </c>
      <c r="E4" s="20">
        <v>97</v>
      </c>
      <c r="F4" s="20">
        <v>3</v>
      </c>
      <c r="G4" s="42"/>
      <c r="H4" s="20"/>
      <c r="I4" s="20">
        <v>1.24</v>
      </c>
      <c r="J4" s="20" t="s">
        <v>264</v>
      </c>
      <c r="K4" s="20"/>
      <c r="L4" s="20" t="s">
        <v>265</v>
      </c>
      <c r="M4" s="484"/>
      <c r="N4" s="20"/>
      <c r="O4" s="20"/>
      <c r="P4" s="12" t="s">
        <v>265</v>
      </c>
      <c r="Q4" s="484"/>
      <c r="R4" s="20"/>
      <c r="S4" s="20"/>
      <c r="T4" s="220">
        <v>100</v>
      </c>
      <c r="U4" s="1"/>
      <c r="V4" s="38">
        <v>3</v>
      </c>
    </row>
    <row r="5" spans="1:22">
      <c r="A5" s="182">
        <v>1</v>
      </c>
      <c r="B5" s="179">
        <v>4</v>
      </c>
      <c r="C5" s="20" t="s">
        <v>262</v>
      </c>
      <c r="D5" s="20" t="s">
        <v>263</v>
      </c>
      <c r="E5" s="20">
        <v>97</v>
      </c>
      <c r="F5" s="20">
        <v>3</v>
      </c>
      <c r="G5" s="42"/>
      <c r="H5" s="20"/>
      <c r="I5" s="20">
        <v>1.24</v>
      </c>
      <c r="J5" s="20" t="s">
        <v>264</v>
      </c>
      <c r="K5" s="20"/>
      <c r="L5" s="20" t="s">
        <v>265</v>
      </c>
      <c r="M5" s="484"/>
      <c r="N5" s="20"/>
      <c r="O5" s="20"/>
      <c r="P5" s="12" t="s">
        <v>265</v>
      </c>
      <c r="Q5" s="484"/>
      <c r="R5" s="20"/>
      <c r="S5" s="20"/>
      <c r="T5" s="219">
        <v>100</v>
      </c>
      <c r="U5" s="1"/>
      <c r="V5" s="38">
        <v>4</v>
      </c>
    </row>
    <row r="6" spans="1:22">
      <c r="A6" s="183">
        <v>1</v>
      </c>
      <c r="B6" s="180">
        <v>5</v>
      </c>
      <c r="C6" s="20" t="s">
        <v>262</v>
      </c>
      <c r="D6" s="20" t="s">
        <v>263</v>
      </c>
      <c r="E6" s="20">
        <v>97</v>
      </c>
      <c r="F6" s="20">
        <v>3</v>
      </c>
      <c r="G6" s="42"/>
      <c r="H6" s="20"/>
      <c r="I6" s="20">
        <v>1.24</v>
      </c>
      <c r="J6" s="20" t="s">
        <v>264</v>
      </c>
      <c r="K6" s="20"/>
      <c r="L6" s="20" t="s">
        <v>265</v>
      </c>
      <c r="M6" s="484"/>
      <c r="N6" s="20"/>
      <c r="O6" s="20"/>
      <c r="P6" s="24" t="s">
        <v>265</v>
      </c>
      <c r="Q6" s="484"/>
      <c r="R6" s="20"/>
      <c r="S6" s="20"/>
      <c r="T6" s="220">
        <v>100</v>
      </c>
      <c r="U6" s="1"/>
      <c r="V6" s="38">
        <v>5</v>
      </c>
    </row>
    <row r="7" spans="1:22">
      <c r="A7" s="182">
        <v>2</v>
      </c>
      <c r="B7" s="179">
        <v>1</v>
      </c>
      <c r="C7" s="199" t="s">
        <v>262</v>
      </c>
      <c r="D7" s="199" t="s">
        <v>263</v>
      </c>
      <c r="E7" s="199">
        <v>100</v>
      </c>
      <c r="F7" s="199">
        <v>0</v>
      </c>
      <c r="G7" s="199">
        <v>440000</v>
      </c>
      <c r="H7" s="194">
        <v>260000</v>
      </c>
      <c r="I7" s="206"/>
      <c r="J7" s="206"/>
      <c r="K7" s="199"/>
      <c r="L7" s="199" t="s">
        <v>265</v>
      </c>
      <c r="M7" s="486"/>
      <c r="N7" s="206"/>
      <c r="O7" s="194"/>
      <c r="P7" s="194" t="s">
        <v>265</v>
      </c>
      <c r="Q7" s="490"/>
      <c r="R7" s="206"/>
      <c r="S7" s="206"/>
      <c r="T7" s="223">
        <v>100</v>
      </c>
      <c r="V7" s="38">
        <v>6</v>
      </c>
    </row>
    <row r="8" spans="1:22">
      <c r="A8" s="182">
        <v>2</v>
      </c>
      <c r="B8" s="179">
        <v>2</v>
      </c>
      <c r="C8" s="12" t="s">
        <v>262</v>
      </c>
      <c r="D8" s="12" t="s">
        <v>263</v>
      </c>
      <c r="E8" s="12">
        <v>100</v>
      </c>
      <c r="F8" s="12">
        <v>0</v>
      </c>
      <c r="G8" s="12">
        <v>440000</v>
      </c>
      <c r="H8" s="20">
        <v>260000</v>
      </c>
      <c r="I8" s="2"/>
      <c r="J8" s="2"/>
      <c r="K8" s="12"/>
      <c r="L8" s="12" t="s">
        <v>266</v>
      </c>
      <c r="M8" s="484" t="s">
        <v>560</v>
      </c>
      <c r="N8" s="12" t="s">
        <v>267</v>
      </c>
      <c r="O8" s="12">
        <v>10</v>
      </c>
      <c r="P8" s="12" t="s">
        <v>265</v>
      </c>
      <c r="Q8" s="484"/>
      <c r="R8" s="2"/>
      <c r="S8" s="2"/>
      <c r="T8" s="220">
        <v>90</v>
      </c>
      <c r="V8" s="38">
        <v>7</v>
      </c>
    </row>
    <row r="9" spans="1:22">
      <c r="A9" s="174">
        <v>2</v>
      </c>
      <c r="B9" s="179">
        <v>3</v>
      </c>
      <c r="C9" s="12" t="s">
        <v>262</v>
      </c>
      <c r="D9" s="12" t="s">
        <v>263</v>
      </c>
      <c r="E9" s="12">
        <v>100</v>
      </c>
      <c r="F9" s="12">
        <v>0</v>
      </c>
      <c r="G9" s="12">
        <v>440000</v>
      </c>
      <c r="H9" s="20">
        <v>260000</v>
      </c>
      <c r="I9" s="2"/>
      <c r="J9" s="2"/>
      <c r="K9" s="12"/>
      <c r="L9" s="12" t="s">
        <v>266</v>
      </c>
      <c r="M9" s="484" t="s">
        <v>560</v>
      </c>
      <c r="N9" s="12" t="s">
        <v>267</v>
      </c>
      <c r="O9" s="12">
        <v>60</v>
      </c>
      <c r="P9" s="12" t="s">
        <v>265</v>
      </c>
      <c r="Q9" s="484"/>
      <c r="R9" s="2"/>
      <c r="S9" s="2"/>
      <c r="T9" s="224">
        <v>40</v>
      </c>
      <c r="V9" s="38">
        <v>8</v>
      </c>
    </row>
    <row r="10" spans="1:22">
      <c r="A10" s="181">
        <v>3</v>
      </c>
      <c r="B10" s="178">
        <v>1</v>
      </c>
      <c r="C10" s="199" t="s">
        <v>262</v>
      </c>
      <c r="D10" s="199" t="s">
        <v>263</v>
      </c>
      <c r="E10" s="199">
        <v>100</v>
      </c>
      <c r="F10" s="199">
        <v>0</v>
      </c>
      <c r="G10" s="199">
        <v>223000</v>
      </c>
      <c r="H10" s="206"/>
      <c r="I10" s="206"/>
      <c r="J10" s="206"/>
      <c r="K10" s="199">
        <v>1.23</v>
      </c>
      <c r="L10" s="199" t="s">
        <v>265</v>
      </c>
      <c r="M10" s="486"/>
      <c r="N10" s="206"/>
      <c r="O10" s="194"/>
      <c r="P10" s="194" t="s">
        <v>265</v>
      </c>
      <c r="Q10" s="490"/>
      <c r="R10" s="206"/>
      <c r="S10" s="206"/>
      <c r="T10" s="227">
        <v>100</v>
      </c>
      <c r="V10" s="38">
        <v>10</v>
      </c>
    </row>
    <row r="11" spans="1:22">
      <c r="A11" s="182">
        <v>3</v>
      </c>
      <c r="B11" s="179">
        <v>2</v>
      </c>
      <c r="C11" s="12" t="s">
        <v>262</v>
      </c>
      <c r="D11" s="12" t="s">
        <v>263</v>
      </c>
      <c r="E11" s="12">
        <v>100</v>
      </c>
      <c r="F11" s="12">
        <v>0</v>
      </c>
      <c r="G11" s="12">
        <v>223000</v>
      </c>
      <c r="H11" s="2"/>
      <c r="I11" s="2"/>
      <c r="J11" s="2"/>
      <c r="K11" s="12">
        <v>1.23</v>
      </c>
      <c r="L11" s="12" t="s">
        <v>266</v>
      </c>
      <c r="M11" s="484" t="s">
        <v>560</v>
      </c>
      <c r="N11" s="12" t="s">
        <v>19</v>
      </c>
      <c r="O11" s="12">
        <v>30</v>
      </c>
      <c r="P11" s="12" t="s">
        <v>265</v>
      </c>
      <c r="Q11" s="484"/>
      <c r="R11" s="2"/>
      <c r="S11" s="2"/>
      <c r="T11" s="224">
        <v>70</v>
      </c>
      <c r="V11" s="38">
        <v>11</v>
      </c>
    </row>
    <row r="12" spans="1:22">
      <c r="A12" s="182">
        <v>3</v>
      </c>
      <c r="B12" s="179">
        <v>3</v>
      </c>
      <c r="C12" s="12" t="s">
        <v>262</v>
      </c>
      <c r="D12" s="12" t="s">
        <v>263</v>
      </c>
      <c r="E12" s="12">
        <v>100</v>
      </c>
      <c r="F12" s="12">
        <v>0</v>
      </c>
      <c r="G12" s="12">
        <v>223000</v>
      </c>
      <c r="H12" s="2"/>
      <c r="I12" s="2"/>
      <c r="J12" s="2"/>
      <c r="K12" s="12">
        <v>1.23</v>
      </c>
      <c r="L12" s="12" t="s">
        <v>266</v>
      </c>
      <c r="M12" s="484" t="s">
        <v>560</v>
      </c>
      <c r="N12" s="12" t="s">
        <v>15</v>
      </c>
      <c r="O12" s="12">
        <v>30</v>
      </c>
      <c r="P12" s="12" t="s">
        <v>265</v>
      </c>
      <c r="Q12" s="484"/>
      <c r="R12" s="2"/>
      <c r="S12" s="2"/>
      <c r="T12" s="224">
        <v>70</v>
      </c>
      <c r="V12" s="38">
        <v>12</v>
      </c>
    </row>
    <row r="13" spans="1:22">
      <c r="A13" s="183">
        <v>3</v>
      </c>
      <c r="B13" s="180">
        <v>4</v>
      </c>
      <c r="C13" s="24" t="s">
        <v>262</v>
      </c>
      <c r="D13" s="24" t="s">
        <v>263</v>
      </c>
      <c r="E13" s="24">
        <v>100</v>
      </c>
      <c r="F13" s="24">
        <v>0</v>
      </c>
      <c r="G13" s="24">
        <v>223000</v>
      </c>
      <c r="H13" s="30"/>
      <c r="I13" s="30"/>
      <c r="J13" s="30"/>
      <c r="K13" s="24">
        <v>1.23</v>
      </c>
      <c r="L13" s="24" t="s">
        <v>266</v>
      </c>
      <c r="M13" s="485" t="s">
        <v>560</v>
      </c>
      <c r="N13" s="24" t="s">
        <v>17</v>
      </c>
      <c r="O13" s="24">
        <v>30</v>
      </c>
      <c r="P13" s="24" t="s">
        <v>265</v>
      </c>
      <c r="Q13" s="485"/>
      <c r="R13" s="30"/>
      <c r="S13" s="30"/>
      <c r="T13" s="225">
        <v>70</v>
      </c>
      <c r="V13" s="38">
        <v>13</v>
      </c>
    </row>
    <row r="14" spans="1:22">
      <c r="A14" s="181">
        <v>4</v>
      </c>
      <c r="B14" s="178">
        <v>1</v>
      </c>
      <c r="C14" s="199" t="s">
        <v>262</v>
      </c>
      <c r="D14" s="199" t="s">
        <v>263</v>
      </c>
      <c r="E14" s="199">
        <v>97</v>
      </c>
      <c r="F14" s="199">
        <v>3</v>
      </c>
      <c r="G14" s="229"/>
      <c r="H14" s="194"/>
      <c r="I14" s="199">
        <v>1.23</v>
      </c>
      <c r="J14" s="194" t="s">
        <v>264</v>
      </c>
      <c r="K14" s="194"/>
      <c r="L14" s="199" t="s">
        <v>265</v>
      </c>
      <c r="M14" s="486"/>
      <c r="N14" s="194"/>
      <c r="O14" s="194"/>
      <c r="P14" s="12" t="s">
        <v>265</v>
      </c>
      <c r="Q14" s="486"/>
      <c r="R14" s="194"/>
      <c r="S14" s="194"/>
      <c r="T14" s="227">
        <v>100</v>
      </c>
      <c r="V14" s="38">
        <v>14</v>
      </c>
    </row>
    <row r="15" spans="1:22">
      <c r="A15" s="182">
        <v>4</v>
      </c>
      <c r="B15" s="179">
        <v>2</v>
      </c>
      <c r="C15" s="12" t="s">
        <v>262</v>
      </c>
      <c r="D15" s="12" t="s">
        <v>263</v>
      </c>
      <c r="E15" s="12">
        <v>97</v>
      </c>
      <c r="F15" s="12">
        <v>3</v>
      </c>
      <c r="G15" s="42"/>
      <c r="H15" s="20"/>
      <c r="I15" s="12">
        <v>1.23</v>
      </c>
      <c r="J15" s="20" t="s">
        <v>264</v>
      </c>
      <c r="K15" s="20"/>
      <c r="L15" s="12" t="s">
        <v>266</v>
      </c>
      <c r="M15" s="484" t="s">
        <v>560</v>
      </c>
      <c r="N15" s="12" t="s">
        <v>268</v>
      </c>
      <c r="O15" s="12">
        <v>15</v>
      </c>
      <c r="P15" s="12" t="s">
        <v>265</v>
      </c>
      <c r="Q15" s="484"/>
      <c r="R15" s="20"/>
      <c r="S15" s="20"/>
      <c r="T15" s="224">
        <v>85</v>
      </c>
      <c r="V15" s="38">
        <v>15</v>
      </c>
    </row>
    <row r="16" spans="1:22">
      <c r="A16" s="183">
        <v>4</v>
      </c>
      <c r="B16" s="180">
        <v>3</v>
      </c>
      <c r="C16" s="24" t="s">
        <v>262</v>
      </c>
      <c r="D16" s="24" t="s">
        <v>263</v>
      </c>
      <c r="E16" s="24">
        <v>97</v>
      </c>
      <c r="F16" s="24">
        <v>3</v>
      </c>
      <c r="G16" s="43"/>
      <c r="H16" s="26"/>
      <c r="I16" s="24">
        <v>1.23</v>
      </c>
      <c r="J16" s="26" t="s">
        <v>264</v>
      </c>
      <c r="K16" s="26"/>
      <c r="L16" s="24" t="s">
        <v>266</v>
      </c>
      <c r="M16" s="485" t="s">
        <v>560</v>
      </c>
      <c r="N16" s="24" t="s">
        <v>269</v>
      </c>
      <c r="O16" s="24">
        <v>15</v>
      </c>
      <c r="P16" s="24" t="s">
        <v>265</v>
      </c>
      <c r="Q16" s="485"/>
      <c r="R16" s="26"/>
      <c r="S16" s="26"/>
      <c r="T16" s="225">
        <v>85</v>
      </c>
      <c r="V16" s="38">
        <v>16</v>
      </c>
    </row>
    <row r="17" spans="1:22">
      <c r="A17" s="182">
        <v>5</v>
      </c>
      <c r="B17" s="179">
        <v>1</v>
      </c>
      <c r="C17" s="12" t="s">
        <v>262</v>
      </c>
      <c r="D17" s="12" t="s">
        <v>263</v>
      </c>
      <c r="E17" s="12">
        <v>92</v>
      </c>
      <c r="F17" s="12">
        <v>8</v>
      </c>
      <c r="G17" s="12">
        <v>443000</v>
      </c>
      <c r="H17" s="2"/>
      <c r="I17" s="2"/>
      <c r="J17" s="2"/>
      <c r="K17" s="2"/>
      <c r="L17" s="12" t="s">
        <v>265</v>
      </c>
      <c r="M17" s="484"/>
      <c r="N17" s="2"/>
      <c r="O17" s="20"/>
      <c r="P17" s="12" t="s">
        <v>265</v>
      </c>
      <c r="R17" s="2"/>
      <c r="S17" s="2"/>
      <c r="T17" s="44">
        <v>100</v>
      </c>
      <c r="V17" s="38">
        <v>17</v>
      </c>
    </row>
    <row r="18" spans="1:22">
      <c r="A18" s="182">
        <v>5</v>
      </c>
      <c r="B18" s="179">
        <v>2</v>
      </c>
      <c r="C18" s="12" t="s">
        <v>262</v>
      </c>
      <c r="D18" s="12" t="s">
        <v>263</v>
      </c>
      <c r="E18" s="12">
        <v>92</v>
      </c>
      <c r="F18" s="12">
        <v>8</v>
      </c>
      <c r="G18" s="12">
        <v>443000</v>
      </c>
      <c r="H18" s="2"/>
      <c r="I18" s="2"/>
      <c r="J18" s="2"/>
      <c r="K18" s="2"/>
      <c r="L18" s="12" t="s">
        <v>266</v>
      </c>
      <c r="M18" s="484" t="s">
        <v>560</v>
      </c>
      <c r="N18" s="12" t="s">
        <v>104</v>
      </c>
      <c r="O18" s="12">
        <v>30</v>
      </c>
      <c r="P18" s="12" t="s">
        <v>265</v>
      </c>
      <c r="Q18" s="484"/>
      <c r="R18" s="2"/>
      <c r="S18" s="2"/>
      <c r="T18" s="44">
        <v>70</v>
      </c>
      <c r="V18" s="38">
        <v>18</v>
      </c>
    </row>
    <row r="19" spans="1:22">
      <c r="A19" s="182">
        <v>5</v>
      </c>
      <c r="B19" s="179">
        <v>3</v>
      </c>
      <c r="C19" s="12" t="s">
        <v>262</v>
      </c>
      <c r="D19" s="12" t="s">
        <v>263</v>
      </c>
      <c r="E19" s="12">
        <v>92</v>
      </c>
      <c r="F19" s="12">
        <v>8</v>
      </c>
      <c r="G19" s="12">
        <v>443000</v>
      </c>
      <c r="H19" s="2"/>
      <c r="I19" s="2"/>
      <c r="J19" s="2"/>
      <c r="K19" s="2"/>
      <c r="L19" s="12" t="s">
        <v>266</v>
      </c>
      <c r="M19" s="484" t="s">
        <v>560</v>
      </c>
      <c r="N19" s="12" t="s">
        <v>89</v>
      </c>
      <c r="O19" s="12">
        <v>30</v>
      </c>
      <c r="P19" s="12" t="s">
        <v>265</v>
      </c>
      <c r="Q19" s="484"/>
      <c r="R19" s="2"/>
      <c r="S19" s="2"/>
      <c r="T19" s="44">
        <v>70</v>
      </c>
      <c r="V19" s="38">
        <v>19</v>
      </c>
    </row>
    <row r="20" spans="1:22" ht="15.75" customHeight="1">
      <c r="A20" s="182">
        <v>5</v>
      </c>
      <c r="B20" s="179">
        <v>4</v>
      </c>
      <c r="C20" s="12" t="s">
        <v>262</v>
      </c>
      <c r="D20" s="12" t="s">
        <v>263</v>
      </c>
      <c r="E20" s="12">
        <v>92</v>
      </c>
      <c r="F20" s="12">
        <v>8</v>
      </c>
      <c r="G20" s="12">
        <v>443000</v>
      </c>
      <c r="H20" s="2"/>
      <c r="I20" s="2"/>
      <c r="J20" s="2"/>
      <c r="K20" s="2"/>
      <c r="L20" s="12" t="s">
        <v>266</v>
      </c>
      <c r="M20" s="484" t="s">
        <v>560</v>
      </c>
      <c r="N20" s="12" t="s">
        <v>92</v>
      </c>
      <c r="O20" s="12">
        <v>30</v>
      </c>
      <c r="P20" s="12" t="s">
        <v>265</v>
      </c>
      <c r="Q20" s="484"/>
      <c r="R20" s="2"/>
      <c r="S20" s="2"/>
      <c r="T20" s="44">
        <v>70</v>
      </c>
      <c r="V20" s="38">
        <v>20</v>
      </c>
    </row>
    <row r="21" spans="1:22" ht="15.75" customHeight="1">
      <c r="A21" s="182">
        <v>5</v>
      </c>
      <c r="B21" s="179">
        <v>5</v>
      </c>
      <c r="C21" s="12" t="s">
        <v>262</v>
      </c>
      <c r="D21" s="12" t="s">
        <v>263</v>
      </c>
      <c r="E21" s="12">
        <v>92</v>
      </c>
      <c r="F21" s="12">
        <v>8</v>
      </c>
      <c r="G21" s="12">
        <v>443000</v>
      </c>
      <c r="H21" s="2"/>
      <c r="I21" s="2"/>
      <c r="J21" s="2"/>
      <c r="K21" s="2"/>
      <c r="L21" s="12" t="s">
        <v>266</v>
      </c>
      <c r="M21" s="484" t="s">
        <v>560</v>
      </c>
      <c r="N21" s="12" t="s">
        <v>94</v>
      </c>
      <c r="O21" s="12">
        <v>30</v>
      </c>
      <c r="P21" s="12" t="s">
        <v>265</v>
      </c>
      <c r="Q21" s="484"/>
      <c r="R21" s="2"/>
      <c r="S21" s="2"/>
      <c r="T21" s="44">
        <v>70</v>
      </c>
      <c r="V21" s="38">
        <v>21</v>
      </c>
    </row>
    <row r="22" spans="1:22" ht="15.75" customHeight="1">
      <c r="A22" s="182">
        <v>5</v>
      </c>
      <c r="B22" s="179">
        <v>6</v>
      </c>
      <c r="C22" s="12" t="s">
        <v>262</v>
      </c>
      <c r="D22" s="12" t="s">
        <v>263</v>
      </c>
      <c r="E22" s="12">
        <v>92</v>
      </c>
      <c r="F22" s="12">
        <v>8</v>
      </c>
      <c r="G22" s="12">
        <v>443000</v>
      </c>
      <c r="H22" s="2"/>
      <c r="I22" s="2"/>
      <c r="J22" s="2"/>
      <c r="K22" s="2"/>
      <c r="L22" s="12" t="s">
        <v>266</v>
      </c>
      <c r="M22" s="484" t="s">
        <v>560</v>
      </c>
      <c r="N22" s="12" t="s">
        <v>96</v>
      </c>
      <c r="O22" s="12">
        <v>30</v>
      </c>
      <c r="P22" s="24" t="s">
        <v>265</v>
      </c>
      <c r="Q22" s="484"/>
      <c r="R22" s="2"/>
      <c r="S22" s="2"/>
      <c r="T22" s="44">
        <v>70</v>
      </c>
      <c r="V22" s="38">
        <v>22</v>
      </c>
    </row>
    <row r="23" spans="1:22" ht="15.75" customHeight="1">
      <c r="A23" s="181">
        <v>6</v>
      </c>
      <c r="B23" s="178">
        <v>1</v>
      </c>
      <c r="C23" s="199" t="s">
        <v>262</v>
      </c>
      <c r="D23" s="199" t="s">
        <v>263</v>
      </c>
      <c r="E23" s="199">
        <v>100</v>
      </c>
      <c r="F23" s="199">
        <v>0</v>
      </c>
      <c r="G23" s="199">
        <v>117869</v>
      </c>
      <c r="H23" s="199">
        <v>49078</v>
      </c>
      <c r="I23" s="194"/>
      <c r="J23" s="194"/>
      <c r="K23" s="194"/>
      <c r="L23" s="199" t="s">
        <v>265</v>
      </c>
      <c r="M23" s="486"/>
      <c r="N23" s="194"/>
      <c r="O23" s="194"/>
      <c r="P23" s="12" t="s">
        <v>265</v>
      </c>
      <c r="Q23" s="486"/>
      <c r="R23" s="194"/>
      <c r="S23" s="194"/>
      <c r="T23" s="227">
        <v>100</v>
      </c>
      <c r="V23" s="38">
        <v>23</v>
      </c>
    </row>
    <row r="24" spans="1:22" ht="15.75" customHeight="1">
      <c r="A24" s="182">
        <v>6</v>
      </c>
      <c r="B24" s="179">
        <v>2</v>
      </c>
      <c r="C24" s="12" t="s">
        <v>262</v>
      </c>
      <c r="D24" s="12" t="s">
        <v>263</v>
      </c>
      <c r="E24" s="12">
        <v>100</v>
      </c>
      <c r="F24" s="12">
        <v>0</v>
      </c>
      <c r="G24" s="12">
        <v>117869</v>
      </c>
      <c r="H24" s="12">
        <v>49078</v>
      </c>
      <c r="I24" s="20"/>
      <c r="J24" s="20"/>
      <c r="L24" s="12" t="s">
        <v>266</v>
      </c>
      <c r="M24" s="484" t="s">
        <v>560</v>
      </c>
      <c r="N24" s="12" t="s">
        <v>267</v>
      </c>
      <c r="O24" s="12">
        <v>5</v>
      </c>
      <c r="P24" s="12" t="s">
        <v>265</v>
      </c>
      <c r="Q24" s="484"/>
      <c r="R24" s="20"/>
      <c r="S24" s="20"/>
      <c r="T24" s="224">
        <v>95</v>
      </c>
      <c r="V24" s="38">
        <v>24</v>
      </c>
    </row>
    <row r="25" spans="1:22" ht="15.75" customHeight="1">
      <c r="A25" s="182">
        <v>6</v>
      </c>
      <c r="B25" s="179">
        <v>3</v>
      </c>
      <c r="C25" s="12" t="s">
        <v>262</v>
      </c>
      <c r="D25" s="12" t="s">
        <v>263</v>
      </c>
      <c r="E25" s="12">
        <v>100</v>
      </c>
      <c r="F25" s="12">
        <v>0</v>
      </c>
      <c r="G25" s="12">
        <v>117869</v>
      </c>
      <c r="H25" s="12">
        <v>49078</v>
      </c>
      <c r="I25" s="20"/>
      <c r="J25" s="20"/>
      <c r="L25" s="12" t="s">
        <v>266</v>
      </c>
      <c r="M25" s="484" t="s">
        <v>560</v>
      </c>
      <c r="N25" s="12" t="s">
        <v>267</v>
      </c>
      <c r="O25" s="12">
        <v>7</v>
      </c>
      <c r="P25" s="12" t="s">
        <v>265</v>
      </c>
      <c r="Q25" s="484"/>
      <c r="R25" s="20"/>
      <c r="S25" s="20"/>
      <c r="T25" s="224">
        <v>93</v>
      </c>
      <c r="V25" s="38">
        <v>25</v>
      </c>
    </row>
    <row r="26" spans="1:22" ht="15.75" customHeight="1">
      <c r="A26" s="183">
        <v>6</v>
      </c>
      <c r="B26" s="180">
        <v>4</v>
      </c>
      <c r="C26" s="24" t="s">
        <v>262</v>
      </c>
      <c r="D26" s="24" t="s">
        <v>263</v>
      </c>
      <c r="E26" s="24">
        <v>100</v>
      </c>
      <c r="F26" s="24">
        <v>0</v>
      </c>
      <c r="G26" s="24">
        <v>117869</v>
      </c>
      <c r="H26" s="24">
        <v>49078</v>
      </c>
      <c r="I26" s="26"/>
      <c r="J26" s="26"/>
      <c r="K26" s="30"/>
      <c r="L26" s="24" t="s">
        <v>266</v>
      </c>
      <c r="M26" s="487" t="s">
        <v>560</v>
      </c>
      <c r="N26" s="24" t="s">
        <v>267</v>
      </c>
      <c r="O26" s="24">
        <v>9</v>
      </c>
      <c r="P26" s="24" t="s">
        <v>265</v>
      </c>
      <c r="Q26" s="485"/>
      <c r="R26" s="26"/>
      <c r="S26" s="26"/>
      <c r="T26" s="225">
        <v>91</v>
      </c>
      <c r="V26" s="38">
        <v>26</v>
      </c>
    </row>
    <row r="27" spans="1:22" ht="15.75" customHeight="1">
      <c r="A27" s="182">
        <v>7</v>
      </c>
      <c r="B27" s="179">
        <v>1</v>
      </c>
      <c r="C27" s="12" t="s">
        <v>262</v>
      </c>
      <c r="D27" s="12" t="s">
        <v>263</v>
      </c>
      <c r="E27" s="12">
        <v>100</v>
      </c>
      <c r="F27" s="12">
        <v>0</v>
      </c>
      <c r="G27" s="12">
        <v>890000</v>
      </c>
      <c r="H27" s="12">
        <v>462000</v>
      </c>
      <c r="I27" s="2"/>
      <c r="J27" s="2"/>
      <c r="K27" s="2"/>
      <c r="L27" s="12" t="s">
        <v>265</v>
      </c>
      <c r="M27" s="484"/>
      <c r="N27" s="2"/>
      <c r="O27" s="20"/>
      <c r="P27" s="12" t="s">
        <v>265</v>
      </c>
      <c r="R27" s="2"/>
      <c r="S27" s="2"/>
      <c r="T27" s="47">
        <v>100</v>
      </c>
      <c r="V27" s="38">
        <v>27</v>
      </c>
    </row>
    <row r="28" spans="1:22" ht="15.75" customHeight="1">
      <c r="A28" s="182">
        <v>7</v>
      </c>
      <c r="B28" s="179">
        <v>2</v>
      </c>
      <c r="C28" s="12" t="s">
        <v>262</v>
      </c>
      <c r="D28" s="12" t="s">
        <v>263</v>
      </c>
      <c r="E28" s="12">
        <v>100</v>
      </c>
      <c r="F28" s="12">
        <v>0</v>
      </c>
      <c r="G28" s="12">
        <v>890000</v>
      </c>
      <c r="H28" s="12">
        <v>462000</v>
      </c>
      <c r="I28" s="2"/>
      <c r="J28" s="2"/>
      <c r="K28" s="2"/>
      <c r="L28" s="12" t="s">
        <v>266</v>
      </c>
      <c r="M28" s="487" t="s">
        <v>560</v>
      </c>
      <c r="N28" s="12" t="s">
        <v>270</v>
      </c>
      <c r="O28" s="12">
        <v>30</v>
      </c>
      <c r="P28" s="12" t="s">
        <v>265</v>
      </c>
      <c r="Q28" s="484"/>
      <c r="R28" s="2"/>
      <c r="S28" s="2"/>
      <c r="T28" s="47">
        <v>70</v>
      </c>
      <c r="V28" s="38">
        <v>28</v>
      </c>
    </row>
    <row r="29" spans="1:22" ht="15.75" customHeight="1">
      <c r="A29" s="181">
        <v>8</v>
      </c>
      <c r="B29" s="178">
        <v>1</v>
      </c>
      <c r="C29" s="199" t="s">
        <v>262</v>
      </c>
      <c r="D29" s="199" t="s">
        <v>262</v>
      </c>
      <c r="E29" s="199">
        <v>100</v>
      </c>
      <c r="F29" s="199">
        <v>0</v>
      </c>
      <c r="G29" s="199">
        <v>490000</v>
      </c>
      <c r="H29" s="194"/>
      <c r="I29" s="199">
        <v>1.25</v>
      </c>
      <c r="J29" s="199" t="s">
        <v>264</v>
      </c>
      <c r="K29" s="194"/>
      <c r="L29" s="199" t="s">
        <v>266</v>
      </c>
      <c r="M29" s="486" t="s">
        <v>561</v>
      </c>
      <c r="N29" s="199" t="s">
        <v>9</v>
      </c>
      <c r="O29" s="199">
        <v>10</v>
      </c>
      <c r="P29" s="199" t="s">
        <v>265</v>
      </c>
      <c r="Q29" s="486"/>
      <c r="R29" s="194"/>
      <c r="S29" s="194"/>
      <c r="T29" s="227">
        <v>90</v>
      </c>
      <c r="V29" s="38">
        <v>29</v>
      </c>
    </row>
    <row r="30" spans="1:22" ht="15.75" customHeight="1">
      <c r="A30" s="182">
        <v>8</v>
      </c>
      <c r="B30" s="179">
        <v>2</v>
      </c>
      <c r="C30" s="12" t="s">
        <v>262</v>
      </c>
      <c r="D30" s="12" t="s">
        <v>263</v>
      </c>
      <c r="E30" s="12">
        <v>100</v>
      </c>
      <c r="F30" s="12">
        <v>0</v>
      </c>
      <c r="G30" s="12">
        <v>490000</v>
      </c>
      <c r="H30" s="20"/>
      <c r="I30" s="12">
        <v>1.25</v>
      </c>
      <c r="J30" s="12" t="s">
        <v>264</v>
      </c>
      <c r="K30" s="20"/>
      <c r="L30" s="12" t="s">
        <v>266</v>
      </c>
      <c r="M30" s="484" t="s">
        <v>561</v>
      </c>
      <c r="N30" s="12" t="s">
        <v>9</v>
      </c>
      <c r="O30" s="12">
        <v>10</v>
      </c>
      <c r="P30" s="12" t="s">
        <v>266</v>
      </c>
      <c r="Q30" s="484" t="s">
        <v>560</v>
      </c>
      <c r="R30" s="12" t="s">
        <v>35</v>
      </c>
      <c r="S30" s="12">
        <v>5</v>
      </c>
      <c r="T30" s="224">
        <v>85</v>
      </c>
      <c r="V30" s="38">
        <v>30</v>
      </c>
    </row>
    <row r="31" spans="1:22" ht="15.75" customHeight="1">
      <c r="A31" s="182">
        <v>8</v>
      </c>
      <c r="B31" s="179">
        <v>3</v>
      </c>
      <c r="C31" s="12" t="s">
        <v>262</v>
      </c>
      <c r="D31" s="12" t="s">
        <v>263</v>
      </c>
      <c r="E31" s="12">
        <v>100</v>
      </c>
      <c r="F31" s="12">
        <v>0</v>
      </c>
      <c r="G31" s="12">
        <v>490000</v>
      </c>
      <c r="H31" s="20"/>
      <c r="I31" s="12">
        <v>1.25</v>
      </c>
      <c r="J31" s="12" t="s">
        <v>264</v>
      </c>
      <c r="K31" s="20"/>
      <c r="L31" s="12" t="s">
        <v>266</v>
      </c>
      <c r="M31" s="484" t="s">
        <v>561</v>
      </c>
      <c r="N31" s="12" t="s">
        <v>9</v>
      </c>
      <c r="O31" s="12">
        <v>10</v>
      </c>
      <c r="P31" s="12" t="s">
        <v>266</v>
      </c>
      <c r="Q31" s="484" t="s">
        <v>560</v>
      </c>
      <c r="R31" s="12" t="s">
        <v>35</v>
      </c>
      <c r="S31" s="12">
        <v>10</v>
      </c>
      <c r="T31" s="224">
        <v>80</v>
      </c>
      <c r="V31" s="38">
        <v>31</v>
      </c>
    </row>
    <row r="32" spans="1:22" ht="15.75" customHeight="1">
      <c r="A32" s="183">
        <v>8</v>
      </c>
      <c r="B32" s="180">
        <v>4</v>
      </c>
      <c r="C32" s="24" t="s">
        <v>262</v>
      </c>
      <c r="D32" s="24" t="s">
        <v>263</v>
      </c>
      <c r="E32" s="24">
        <v>100</v>
      </c>
      <c r="F32" s="24">
        <v>0</v>
      </c>
      <c r="G32" s="24">
        <v>490000</v>
      </c>
      <c r="H32" s="26"/>
      <c r="I32" s="24">
        <v>1.25</v>
      </c>
      <c r="J32" s="24" t="s">
        <v>264</v>
      </c>
      <c r="K32" s="26"/>
      <c r="L32" s="24" t="s">
        <v>266</v>
      </c>
      <c r="M32" s="485" t="s">
        <v>561</v>
      </c>
      <c r="N32" s="24" t="s">
        <v>9</v>
      </c>
      <c r="O32" s="24">
        <v>20</v>
      </c>
      <c r="P32" s="24" t="s">
        <v>266</v>
      </c>
      <c r="Q32" s="487" t="s">
        <v>560</v>
      </c>
      <c r="R32" s="24" t="s">
        <v>35</v>
      </c>
      <c r="S32" s="24">
        <v>5</v>
      </c>
      <c r="T32" s="225">
        <v>75</v>
      </c>
      <c r="V32" s="38">
        <v>32</v>
      </c>
    </row>
    <row r="33" spans="1:22" ht="15.75" customHeight="1">
      <c r="A33" s="182">
        <v>9</v>
      </c>
      <c r="B33" s="179">
        <v>1</v>
      </c>
      <c r="C33" s="12" t="s">
        <v>262</v>
      </c>
      <c r="D33" s="12" t="s">
        <v>263</v>
      </c>
      <c r="E33" s="12">
        <v>22.9</v>
      </c>
      <c r="F33" s="12">
        <v>77.099999999999994</v>
      </c>
      <c r="G33" s="12">
        <v>286000</v>
      </c>
      <c r="H33" s="2"/>
      <c r="I33" s="2"/>
      <c r="J33" s="2"/>
      <c r="K33" s="12">
        <v>2.5</v>
      </c>
      <c r="L33" s="12" t="s">
        <v>265</v>
      </c>
      <c r="M33" s="484"/>
      <c r="N33" s="2"/>
      <c r="O33" s="20"/>
      <c r="P33" s="12" t="s">
        <v>265</v>
      </c>
      <c r="R33" s="2"/>
      <c r="S33" s="2"/>
      <c r="T33" s="44">
        <v>100</v>
      </c>
      <c r="V33" s="38">
        <v>33</v>
      </c>
    </row>
    <row r="34" spans="1:22" ht="15.75" customHeight="1">
      <c r="A34" s="182">
        <v>9</v>
      </c>
      <c r="B34" s="179">
        <v>2</v>
      </c>
      <c r="C34" s="12" t="s">
        <v>262</v>
      </c>
      <c r="D34" s="12" t="s">
        <v>263</v>
      </c>
      <c r="E34" s="12">
        <v>22.9</v>
      </c>
      <c r="F34" s="12">
        <v>77.099999999999994</v>
      </c>
      <c r="G34" s="12">
        <v>286000</v>
      </c>
      <c r="H34" s="2"/>
      <c r="I34" s="2"/>
      <c r="J34" s="2"/>
      <c r="K34" s="12">
        <v>2.5</v>
      </c>
      <c r="L34" s="12" t="s">
        <v>266</v>
      </c>
      <c r="M34" s="484" t="s">
        <v>560</v>
      </c>
      <c r="N34" s="12" t="s">
        <v>267</v>
      </c>
      <c r="O34" s="12">
        <v>1</v>
      </c>
      <c r="P34" s="12" t="s">
        <v>265</v>
      </c>
      <c r="Q34" s="484"/>
      <c r="R34" s="2"/>
      <c r="S34" s="2"/>
      <c r="T34" s="44">
        <v>99</v>
      </c>
      <c r="V34" s="38">
        <v>34</v>
      </c>
    </row>
    <row r="35" spans="1:22" ht="15.75" customHeight="1">
      <c r="A35" s="182">
        <v>9</v>
      </c>
      <c r="B35" s="179">
        <v>3</v>
      </c>
      <c r="C35" s="12" t="s">
        <v>262</v>
      </c>
      <c r="D35" s="12" t="s">
        <v>263</v>
      </c>
      <c r="E35" s="12">
        <v>22.9</v>
      </c>
      <c r="F35" s="12">
        <v>77.099999999999994</v>
      </c>
      <c r="G35" s="12">
        <v>286000</v>
      </c>
      <c r="H35" s="2"/>
      <c r="I35" s="2"/>
      <c r="J35" s="2"/>
      <c r="K35" s="12">
        <v>2.5</v>
      </c>
      <c r="L35" s="12" t="s">
        <v>266</v>
      </c>
      <c r="M35" s="484" t="s">
        <v>560</v>
      </c>
      <c r="N35" s="12" t="s">
        <v>267</v>
      </c>
      <c r="O35" s="12">
        <v>5</v>
      </c>
      <c r="P35" s="12" t="s">
        <v>265</v>
      </c>
      <c r="Q35" s="484"/>
      <c r="R35" s="2"/>
      <c r="S35" s="2"/>
      <c r="T35" s="44">
        <v>95</v>
      </c>
      <c r="V35" s="38">
        <v>35</v>
      </c>
    </row>
    <row r="36" spans="1:22" ht="15.75" customHeight="1">
      <c r="A36" s="182">
        <v>9</v>
      </c>
      <c r="B36" s="179">
        <v>4</v>
      </c>
      <c r="C36" s="12" t="s">
        <v>262</v>
      </c>
      <c r="D36" s="12" t="s">
        <v>263</v>
      </c>
      <c r="E36" s="12">
        <v>22.9</v>
      </c>
      <c r="F36" s="12">
        <v>77.099999999999994</v>
      </c>
      <c r="G36" s="24">
        <v>286000</v>
      </c>
      <c r="H36" s="2"/>
      <c r="I36" s="2"/>
      <c r="J36" s="2"/>
      <c r="K36" s="12">
        <v>2.5</v>
      </c>
      <c r="L36" s="12" t="s">
        <v>266</v>
      </c>
      <c r="M36" s="484" t="s">
        <v>560</v>
      </c>
      <c r="N36" s="12" t="s">
        <v>267</v>
      </c>
      <c r="O36" s="12">
        <v>10</v>
      </c>
      <c r="P36" s="24" t="s">
        <v>265</v>
      </c>
      <c r="Q36" s="484"/>
      <c r="R36" s="2"/>
      <c r="S36" s="2"/>
      <c r="T36" s="44">
        <v>90</v>
      </c>
      <c r="V36" s="38">
        <v>36</v>
      </c>
    </row>
    <row r="37" spans="1:22" ht="15.75" customHeight="1">
      <c r="A37" s="181">
        <v>11</v>
      </c>
      <c r="B37" s="178" t="s">
        <v>220</v>
      </c>
      <c r="C37" s="199" t="s">
        <v>262</v>
      </c>
      <c r="D37" s="199" t="s">
        <v>263</v>
      </c>
      <c r="E37" s="199">
        <v>100</v>
      </c>
      <c r="F37" s="199">
        <v>0</v>
      </c>
      <c r="G37" s="230">
        <v>450000</v>
      </c>
      <c r="H37" s="231"/>
      <c r="I37" s="194"/>
      <c r="J37" s="194"/>
      <c r="K37" s="194"/>
      <c r="L37" s="199" t="s">
        <v>265</v>
      </c>
      <c r="M37" s="486"/>
      <c r="N37" s="199"/>
      <c r="O37" s="199"/>
      <c r="P37" s="12" t="s">
        <v>265</v>
      </c>
      <c r="Q37" s="486"/>
      <c r="R37" s="194"/>
      <c r="S37" s="194"/>
      <c r="T37" s="227">
        <v>100</v>
      </c>
      <c r="V37" s="38">
        <v>37</v>
      </c>
    </row>
    <row r="38" spans="1:22" ht="15.75" customHeight="1">
      <c r="A38" s="182">
        <v>11</v>
      </c>
      <c r="B38" s="179" t="s">
        <v>221</v>
      </c>
      <c r="C38" s="12" t="s">
        <v>262</v>
      </c>
      <c r="D38" s="12" t="s">
        <v>263</v>
      </c>
      <c r="E38" s="12">
        <v>100</v>
      </c>
      <c r="F38" s="12">
        <v>0</v>
      </c>
      <c r="G38" s="49">
        <v>450000</v>
      </c>
      <c r="H38" s="50"/>
      <c r="I38" s="20"/>
      <c r="J38" s="20"/>
      <c r="K38" s="20"/>
      <c r="L38" s="12" t="s">
        <v>266</v>
      </c>
      <c r="M38" s="484" t="s">
        <v>560</v>
      </c>
      <c r="N38" s="12" t="s">
        <v>271</v>
      </c>
      <c r="O38" s="12">
        <v>10</v>
      </c>
      <c r="P38" s="12" t="s">
        <v>265</v>
      </c>
      <c r="Q38" s="484"/>
      <c r="R38" s="20"/>
      <c r="S38" s="20"/>
      <c r="T38" s="224">
        <v>90</v>
      </c>
      <c r="V38" s="38">
        <v>38</v>
      </c>
    </row>
    <row r="39" spans="1:22" ht="15.75" customHeight="1">
      <c r="A39" s="182">
        <v>11</v>
      </c>
      <c r="B39" s="179" t="s">
        <v>222</v>
      </c>
      <c r="C39" s="12" t="s">
        <v>262</v>
      </c>
      <c r="D39" s="12" t="s">
        <v>263</v>
      </c>
      <c r="E39" s="12">
        <v>100</v>
      </c>
      <c r="F39" s="12">
        <v>0</v>
      </c>
      <c r="G39" s="49">
        <v>450000</v>
      </c>
      <c r="H39" s="50"/>
      <c r="I39" s="20"/>
      <c r="J39" s="20"/>
      <c r="K39" s="20"/>
      <c r="L39" s="12" t="s">
        <v>266</v>
      </c>
      <c r="M39" s="484" t="s">
        <v>560</v>
      </c>
      <c r="N39" s="12" t="s">
        <v>271</v>
      </c>
      <c r="O39" s="12">
        <v>20</v>
      </c>
      <c r="P39" s="12" t="s">
        <v>265</v>
      </c>
      <c r="Q39" s="484"/>
      <c r="R39" s="20"/>
      <c r="S39" s="20"/>
      <c r="T39" s="224">
        <v>80</v>
      </c>
      <c r="V39" s="38">
        <v>39</v>
      </c>
    </row>
    <row r="40" spans="1:22" ht="15.75" customHeight="1">
      <c r="A40" s="182">
        <v>11</v>
      </c>
      <c r="B40" s="179" t="s">
        <v>223</v>
      </c>
      <c r="C40" s="12" t="s">
        <v>262</v>
      </c>
      <c r="D40" s="12" t="s">
        <v>263</v>
      </c>
      <c r="E40" s="12">
        <v>100</v>
      </c>
      <c r="F40" s="12">
        <v>0</v>
      </c>
      <c r="G40" s="49">
        <v>450000</v>
      </c>
      <c r="H40" s="50"/>
      <c r="I40" s="20"/>
      <c r="J40" s="20"/>
      <c r="K40" s="20"/>
      <c r="L40" s="12" t="s">
        <v>266</v>
      </c>
      <c r="M40" s="484" t="s">
        <v>560</v>
      </c>
      <c r="N40" s="12" t="s">
        <v>271</v>
      </c>
      <c r="O40" s="12">
        <v>50</v>
      </c>
      <c r="P40" s="12" t="s">
        <v>265</v>
      </c>
      <c r="Q40" s="484"/>
      <c r="R40" s="20"/>
      <c r="S40" s="20"/>
      <c r="T40" s="224">
        <v>50</v>
      </c>
      <c r="V40" s="38">
        <v>40</v>
      </c>
    </row>
    <row r="41" spans="1:22" ht="15.75" customHeight="1">
      <c r="A41" s="182">
        <v>11</v>
      </c>
      <c r="B41" s="179" t="s">
        <v>224</v>
      </c>
      <c r="C41" s="12" t="s">
        <v>262</v>
      </c>
      <c r="D41" s="12" t="s">
        <v>263</v>
      </c>
      <c r="E41" s="12">
        <v>100</v>
      </c>
      <c r="F41" s="12">
        <v>0</v>
      </c>
      <c r="G41" s="49">
        <v>450000</v>
      </c>
      <c r="H41" s="50"/>
      <c r="I41" s="20"/>
      <c r="J41" s="20"/>
      <c r="K41" s="20"/>
      <c r="L41" s="12" t="s">
        <v>265</v>
      </c>
      <c r="M41" s="484"/>
      <c r="N41" s="12"/>
      <c r="O41" s="12"/>
      <c r="P41" s="12" t="s">
        <v>265</v>
      </c>
      <c r="Q41" s="484"/>
      <c r="R41" s="20"/>
      <c r="S41" s="20"/>
      <c r="T41" s="224">
        <v>100</v>
      </c>
      <c r="V41" s="38">
        <v>41</v>
      </c>
    </row>
    <row r="42" spans="1:22" ht="15.75" customHeight="1">
      <c r="A42" s="182">
        <v>11</v>
      </c>
      <c r="B42" s="179" t="s">
        <v>225</v>
      </c>
      <c r="C42" s="12" t="s">
        <v>262</v>
      </c>
      <c r="D42" s="12" t="s">
        <v>263</v>
      </c>
      <c r="E42" s="12">
        <v>100</v>
      </c>
      <c r="F42" s="12">
        <v>0</v>
      </c>
      <c r="G42" s="49">
        <v>450000</v>
      </c>
      <c r="H42" s="50"/>
      <c r="I42" s="20"/>
      <c r="J42" s="20"/>
      <c r="K42" s="20"/>
      <c r="L42" s="12" t="s">
        <v>266</v>
      </c>
      <c r="M42" s="484" t="s">
        <v>560</v>
      </c>
      <c r="N42" s="12" t="s">
        <v>271</v>
      </c>
      <c r="O42" s="12">
        <v>10</v>
      </c>
      <c r="P42" s="12" t="s">
        <v>265</v>
      </c>
      <c r="Q42" s="484"/>
      <c r="R42" s="20"/>
      <c r="S42" s="20"/>
      <c r="T42" s="224">
        <v>90</v>
      </c>
      <c r="V42" s="38">
        <v>42</v>
      </c>
    </row>
    <row r="43" spans="1:22" ht="15.75" customHeight="1">
      <c r="A43" s="182">
        <v>11</v>
      </c>
      <c r="B43" s="179" t="s">
        <v>226</v>
      </c>
      <c r="C43" s="12" t="s">
        <v>262</v>
      </c>
      <c r="D43" s="12" t="s">
        <v>263</v>
      </c>
      <c r="E43" s="12">
        <v>100</v>
      </c>
      <c r="F43" s="12">
        <v>0</v>
      </c>
      <c r="G43" s="49">
        <v>450000</v>
      </c>
      <c r="H43" s="50"/>
      <c r="I43" s="20"/>
      <c r="J43" s="20"/>
      <c r="K43" s="20"/>
      <c r="L43" s="12" t="s">
        <v>266</v>
      </c>
      <c r="M43" s="484" t="s">
        <v>560</v>
      </c>
      <c r="N43" s="12" t="s">
        <v>271</v>
      </c>
      <c r="O43" s="12">
        <v>20</v>
      </c>
      <c r="P43" s="12" t="s">
        <v>265</v>
      </c>
      <c r="Q43" s="484"/>
      <c r="R43" s="20"/>
      <c r="S43" s="20"/>
      <c r="T43" s="224">
        <v>80</v>
      </c>
      <c r="V43" s="38">
        <v>43</v>
      </c>
    </row>
    <row r="44" spans="1:22" ht="15.75" customHeight="1">
      <c r="A44" s="183">
        <v>11</v>
      </c>
      <c r="B44" s="180" t="s">
        <v>227</v>
      </c>
      <c r="C44" s="24" t="s">
        <v>262</v>
      </c>
      <c r="D44" s="24" t="s">
        <v>263</v>
      </c>
      <c r="E44" s="24">
        <v>100</v>
      </c>
      <c r="F44" s="24">
        <v>0</v>
      </c>
      <c r="G44" s="51">
        <v>450000</v>
      </c>
      <c r="H44" s="52"/>
      <c r="I44" s="26"/>
      <c r="J44" s="26"/>
      <c r="K44" s="26"/>
      <c r="L44" s="24" t="s">
        <v>266</v>
      </c>
      <c r="M44" s="485" t="s">
        <v>560</v>
      </c>
      <c r="N44" s="24" t="s">
        <v>271</v>
      </c>
      <c r="O44" s="24">
        <v>50</v>
      </c>
      <c r="P44" s="24" t="s">
        <v>265</v>
      </c>
      <c r="Q44" s="485"/>
      <c r="R44" s="26"/>
      <c r="S44" s="26"/>
      <c r="T44" s="225">
        <v>50</v>
      </c>
      <c r="V44" s="38">
        <v>44</v>
      </c>
    </row>
    <row r="45" spans="1:22" ht="15.75" customHeight="1">
      <c r="A45" s="182">
        <v>12</v>
      </c>
      <c r="B45" s="179" t="s">
        <v>220</v>
      </c>
      <c r="C45" s="12" t="s">
        <v>262</v>
      </c>
      <c r="D45" s="12" t="s">
        <v>263</v>
      </c>
      <c r="E45" s="12">
        <v>95</v>
      </c>
      <c r="F45" s="12">
        <v>5</v>
      </c>
      <c r="G45" s="49">
        <v>607000</v>
      </c>
      <c r="H45" s="50"/>
      <c r="I45" s="20"/>
      <c r="J45" s="20"/>
      <c r="K45" s="12">
        <v>4.04</v>
      </c>
      <c r="L45" s="12" t="s">
        <v>265</v>
      </c>
      <c r="M45" s="484"/>
      <c r="N45" s="20"/>
      <c r="O45" s="20"/>
      <c r="P45" s="12" t="s">
        <v>265</v>
      </c>
      <c r="Q45" s="484"/>
      <c r="R45" s="20"/>
      <c r="S45" s="20"/>
      <c r="T45" s="224">
        <v>100</v>
      </c>
      <c r="V45" s="38">
        <v>45</v>
      </c>
    </row>
    <row r="46" spans="1:22" ht="15.75" customHeight="1">
      <c r="A46" s="182">
        <v>12</v>
      </c>
      <c r="B46" s="179" t="s">
        <v>221</v>
      </c>
      <c r="C46" s="12" t="s">
        <v>262</v>
      </c>
      <c r="D46" s="12" t="s">
        <v>263</v>
      </c>
      <c r="E46" s="12">
        <v>95</v>
      </c>
      <c r="F46" s="12">
        <v>5</v>
      </c>
      <c r="G46" s="49">
        <v>607000</v>
      </c>
      <c r="H46" s="50"/>
      <c r="I46" s="20"/>
      <c r="J46" s="20"/>
      <c r="K46" s="12">
        <v>4.04</v>
      </c>
      <c r="L46" s="12" t="s">
        <v>266</v>
      </c>
      <c r="M46" s="484" t="s">
        <v>560</v>
      </c>
      <c r="N46" s="12" t="s">
        <v>126</v>
      </c>
      <c r="O46" s="12">
        <v>1</v>
      </c>
      <c r="P46" s="12" t="s">
        <v>265</v>
      </c>
      <c r="Q46" s="484"/>
      <c r="R46" s="20"/>
      <c r="S46" s="20"/>
      <c r="T46" s="224">
        <v>99</v>
      </c>
      <c r="V46" s="38">
        <v>46</v>
      </c>
    </row>
    <row r="47" spans="1:22" ht="15.75" customHeight="1">
      <c r="A47" s="182">
        <v>12</v>
      </c>
      <c r="B47" s="179" t="s">
        <v>222</v>
      </c>
      <c r="C47" s="12" t="s">
        <v>262</v>
      </c>
      <c r="D47" s="12" t="s">
        <v>263</v>
      </c>
      <c r="E47" s="12">
        <v>95</v>
      </c>
      <c r="F47" s="12">
        <v>5</v>
      </c>
      <c r="G47" s="49">
        <v>607000</v>
      </c>
      <c r="H47" s="50"/>
      <c r="I47" s="20"/>
      <c r="J47" s="20"/>
      <c r="K47" s="12">
        <v>4.04</v>
      </c>
      <c r="L47" s="12" t="s">
        <v>266</v>
      </c>
      <c r="M47" s="484" t="s">
        <v>560</v>
      </c>
      <c r="N47" s="12" t="s">
        <v>128</v>
      </c>
      <c r="O47" s="12">
        <v>1</v>
      </c>
      <c r="P47" s="12" t="s">
        <v>265</v>
      </c>
      <c r="Q47" s="484"/>
      <c r="R47" s="20"/>
      <c r="S47" s="20"/>
      <c r="T47" s="224">
        <v>99</v>
      </c>
      <c r="V47" s="38">
        <v>47</v>
      </c>
    </row>
    <row r="48" spans="1:22" ht="15.75" customHeight="1">
      <c r="A48" s="182">
        <v>12</v>
      </c>
      <c r="B48" s="179" t="s">
        <v>223</v>
      </c>
      <c r="C48" s="12" t="s">
        <v>262</v>
      </c>
      <c r="D48" s="12" t="s">
        <v>263</v>
      </c>
      <c r="E48" s="12">
        <v>95</v>
      </c>
      <c r="F48" s="12">
        <v>5</v>
      </c>
      <c r="G48" s="49">
        <v>607000</v>
      </c>
      <c r="H48" s="50"/>
      <c r="I48" s="20"/>
      <c r="J48" s="20"/>
      <c r="K48" s="12">
        <v>4.04</v>
      </c>
      <c r="L48" s="12" t="s">
        <v>266</v>
      </c>
      <c r="M48" s="484" t="s">
        <v>560</v>
      </c>
      <c r="N48" s="12" t="s">
        <v>126</v>
      </c>
      <c r="O48" s="12">
        <v>2.5</v>
      </c>
      <c r="P48" s="12" t="s">
        <v>265</v>
      </c>
      <c r="Q48" s="484"/>
      <c r="R48" s="20"/>
      <c r="S48" s="20"/>
      <c r="T48" s="224">
        <v>97.5</v>
      </c>
      <c r="V48" s="38">
        <v>48</v>
      </c>
    </row>
    <row r="49" spans="1:22" ht="15.75" customHeight="1">
      <c r="A49" s="182">
        <v>12</v>
      </c>
      <c r="B49" s="179" t="s">
        <v>228</v>
      </c>
      <c r="C49" s="12" t="s">
        <v>262</v>
      </c>
      <c r="D49" s="12" t="s">
        <v>263</v>
      </c>
      <c r="E49" s="12">
        <v>95</v>
      </c>
      <c r="F49" s="12">
        <v>5</v>
      </c>
      <c r="G49" s="49">
        <v>607000</v>
      </c>
      <c r="H49" s="50"/>
      <c r="I49" s="20"/>
      <c r="J49" s="20"/>
      <c r="K49" s="12">
        <v>4.04</v>
      </c>
      <c r="L49" s="12" t="s">
        <v>266</v>
      </c>
      <c r="M49" s="484" t="s">
        <v>560</v>
      </c>
      <c r="N49" s="12" t="s">
        <v>128</v>
      </c>
      <c r="O49" s="12">
        <v>2.5</v>
      </c>
      <c r="P49" s="12" t="s">
        <v>265</v>
      </c>
      <c r="Q49" s="484"/>
      <c r="R49" s="20"/>
      <c r="S49" s="20"/>
      <c r="T49" s="224">
        <v>97.5</v>
      </c>
      <c r="V49" s="38">
        <v>49</v>
      </c>
    </row>
    <row r="50" spans="1:22" ht="15.75" customHeight="1">
      <c r="A50" s="182">
        <v>12</v>
      </c>
      <c r="B50" s="179" t="s">
        <v>224</v>
      </c>
      <c r="C50" s="12" t="s">
        <v>262</v>
      </c>
      <c r="D50" s="12" t="s">
        <v>263</v>
      </c>
      <c r="E50" s="12">
        <v>95</v>
      </c>
      <c r="F50" s="12">
        <v>5</v>
      </c>
      <c r="G50" s="49">
        <v>607000</v>
      </c>
      <c r="H50" s="50"/>
      <c r="I50" s="20"/>
      <c r="J50" s="20"/>
      <c r="K50" s="12">
        <v>4.04</v>
      </c>
      <c r="L50" s="12" t="s">
        <v>265</v>
      </c>
      <c r="M50" s="484"/>
      <c r="N50" s="20"/>
      <c r="O50" s="20"/>
      <c r="P50" s="12" t="s">
        <v>265</v>
      </c>
      <c r="Q50" s="484"/>
      <c r="R50" s="20"/>
      <c r="S50" s="20"/>
      <c r="T50" s="224">
        <v>100</v>
      </c>
      <c r="V50" s="38">
        <v>50</v>
      </c>
    </row>
    <row r="51" spans="1:22" ht="15.75" customHeight="1">
      <c r="A51" s="182">
        <v>12</v>
      </c>
      <c r="B51" s="179" t="s">
        <v>225</v>
      </c>
      <c r="C51" s="12" t="s">
        <v>262</v>
      </c>
      <c r="D51" s="12" t="s">
        <v>263</v>
      </c>
      <c r="E51" s="12">
        <v>95</v>
      </c>
      <c r="F51" s="12">
        <v>5</v>
      </c>
      <c r="G51" s="49">
        <v>607000</v>
      </c>
      <c r="H51" s="50"/>
      <c r="I51" s="20"/>
      <c r="J51" s="20"/>
      <c r="K51" s="12">
        <v>4.04</v>
      </c>
      <c r="L51" s="12" t="s">
        <v>266</v>
      </c>
      <c r="M51" s="484" t="s">
        <v>560</v>
      </c>
      <c r="N51" s="12" t="s">
        <v>126</v>
      </c>
      <c r="O51" s="12">
        <v>1</v>
      </c>
      <c r="P51" s="12" t="s">
        <v>265</v>
      </c>
      <c r="Q51" s="484"/>
      <c r="R51" s="20"/>
      <c r="S51" s="20"/>
      <c r="T51" s="224">
        <v>99</v>
      </c>
      <c r="V51" s="38">
        <v>51</v>
      </c>
    </row>
    <row r="52" spans="1:22" ht="15.75" customHeight="1">
      <c r="A52" s="182">
        <v>12</v>
      </c>
      <c r="B52" s="179" t="s">
        <v>226</v>
      </c>
      <c r="C52" s="12" t="s">
        <v>262</v>
      </c>
      <c r="D52" s="12" t="s">
        <v>263</v>
      </c>
      <c r="E52" s="12">
        <v>95</v>
      </c>
      <c r="F52" s="12">
        <v>5</v>
      </c>
      <c r="G52" s="49">
        <v>607000</v>
      </c>
      <c r="H52" s="50"/>
      <c r="I52" s="20"/>
      <c r="J52" s="20"/>
      <c r="K52" s="12">
        <v>4.04</v>
      </c>
      <c r="L52" s="12" t="s">
        <v>266</v>
      </c>
      <c r="M52" s="484" t="s">
        <v>560</v>
      </c>
      <c r="N52" s="12" t="s">
        <v>128</v>
      </c>
      <c r="O52" s="12">
        <v>1</v>
      </c>
      <c r="P52" s="12" t="s">
        <v>265</v>
      </c>
      <c r="Q52" s="484"/>
      <c r="R52" s="20"/>
      <c r="S52" s="20"/>
      <c r="T52" s="224">
        <v>99</v>
      </c>
      <c r="V52" s="38">
        <v>52</v>
      </c>
    </row>
    <row r="53" spans="1:22" ht="15.75" customHeight="1">
      <c r="A53" s="182">
        <v>12</v>
      </c>
      <c r="B53" s="179" t="s">
        <v>227</v>
      </c>
      <c r="C53" s="12" t="s">
        <v>262</v>
      </c>
      <c r="D53" s="12" t="s">
        <v>263</v>
      </c>
      <c r="E53" s="12">
        <v>95</v>
      </c>
      <c r="F53" s="12">
        <v>5</v>
      </c>
      <c r="G53" s="49">
        <v>607000</v>
      </c>
      <c r="H53" s="50"/>
      <c r="I53" s="20"/>
      <c r="J53" s="20"/>
      <c r="K53" s="12">
        <v>4.04</v>
      </c>
      <c r="L53" s="12" t="s">
        <v>266</v>
      </c>
      <c r="M53" s="484" t="s">
        <v>560</v>
      </c>
      <c r="N53" s="12" t="s">
        <v>126</v>
      </c>
      <c r="O53" s="12">
        <v>2.5</v>
      </c>
      <c r="P53" s="12" t="s">
        <v>265</v>
      </c>
      <c r="Q53" s="484"/>
      <c r="R53" s="20"/>
      <c r="S53" s="20"/>
      <c r="T53" s="224">
        <v>97.5</v>
      </c>
      <c r="V53" s="38">
        <v>53</v>
      </c>
    </row>
    <row r="54" spans="1:22" ht="15.75" customHeight="1">
      <c r="A54" s="183">
        <v>12</v>
      </c>
      <c r="B54" s="180" t="s">
        <v>229</v>
      </c>
      <c r="C54" s="12" t="s">
        <v>262</v>
      </c>
      <c r="D54" s="12" t="s">
        <v>263</v>
      </c>
      <c r="E54" s="12">
        <v>95</v>
      </c>
      <c r="F54" s="12">
        <v>5</v>
      </c>
      <c r="G54" s="49">
        <v>607000</v>
      </c>
      <c r="H54" s="50"/>
      <c r="I54" s="20"/>
      <c r="J54" s="20"/>
      <c r="K54" s="12">
        <v>4.04</v>
      </c>
      <c r="L54" s="12" t="s">
        <v>266</v>
      </c>
      <c r="M54" s="484" t="s">
        <v>560</v>
      </c>
      <c r="N54" s="12" t="s">
        <v>128</v>
      </c>
      <c r="O54" s="12">
        <v>2.5</v>
      </c>
      <c r="P54" s="24" t="s">
        <v>265</v>
      </c>
      <c r="Q54" s="484"/>
      <c r="R54" s="20"/>
      <c r="S54" s="20"/>
      <c r="T54" s="224">
        <v>97.5</v>
      </c>
      <c r="V54" s="38">
        <v>54</v>
      </c>
    </row>
    <row r="55" spans="1:22" ht="15.75" customHeight="1">
      <c r="A55" s="182">
        <v>13</v>
      </c>
      <c r="B55" s="179">
        <v>1</v>
      </c>
      <c r="C55" s="199" t="s">
        <v>262</v>
      </c>
      <c r="D55" s="194" t="s">
        <v>263</v>
      </c>
      <c r="E55" s="199">
        <v>84</v>
      </c>
      <c r="F55" s="194">
        <v>16</v>
      </c>
      <c r="G55" s="196">
        <v>2800000</v>
      </c>
      <c r="H55" s="196">
        <v>1960000</v>
      </c>
      <c r="I55" s="194"/>
      <c r="J55" s="194"/>
      <c r="K55" s="194">
        <v>1.43</v>
      </c>
      <c r="L55" s="199" t="s">
        <v>265</v>
      </c>
      <c r="M55" s="486"/>
      <c r="N55" s="194"/>
      <c r="O55" s="194"/>
      <c r="P55" s="12" t="s">
        <v>265</v>
      </c>
      <c r="Q55" s="486"/>
      <c r="R55" s="194"/>
      <c r="S55" s="194"/>
      <c r="T55" s="227">
        <v>100</v>
      </c>
      <c r="V55" s="38">
        <v>55</v>
      </c>
    </row>
    <row r="56" spans="1:22" ht="15.75" customHeight="1">
      <c r="A56" s="182">
        <v>13</v>
      </c>
      <c r="B56" s="179">
        <v>2</v>
      </c>
      <c r="C56" s="12" t="s">
        <v>262</v>
      </c>
      <c r="D56" s="20" t="s">
        <v>263</v>
      </c>
      <c r="E56" s="12">
        <v>82</v>
      </c>
      <c r="F56" s="20">
        <v>18</v>
      </c>
      <c r="G56" s="22">
        <v>867000</v>
      </c>
      <c r="H56" s="22">
        <v>798000</v>
      </c>
      <c r="I56" s="20"/>
      <c r="J56" s="20"/>
      <c r="K56" s="20">
        <v>1.0900000000000001</v>
      </c>
      <c r="L56" s="12" t="s">
        <v>265</v>
      </c>
      <c r="M56" s="484"/>
      <c r="N56" s="20"/>
      <c r="O56" s="20"/>
      <c r="P56" s="12" t="s">
        <v>265</v>
      </c>
      <c r="Q56" s="484"/>
      <c r="R56" s="20"/>
      <c r="S56" s="20"/>
      <c r="T56" s="224">
        <v>100</v>
      </c>
      <c r="V56" s="38">
        <v>56</v>
      </c>
    </row>
    <row r="57" spans="1:22" ht="15.75" customHeight="1">
      <c r="A57" s="182">
        <v>13</v>
      </c>
      <c r="B57" s="179">
        <v>3</v>
      </c>
      <c r="C57" s="12" t="s">
        <v>262</v>
      </c>
      <c r="D57" s="20" t="s">
        <v>263</v>
      </c>
      <c r="E57" s="12">
        <v>81</v>
      </c>
      <c r="F57" s="20">
        <v>19</v>
      </c>
      <c r="G57" s="22">
        <v>696000</v>
      </c>
      <c r="H57" s="22">
        <v>645000</v>
      </c>
      <c r="I57" s="20"/>
      <c r="J57" s="20"/>
      <c r="K57" s="20">
        <v>1.08</v>
      </c>
      <c r="L57" s="12" t="s">
        <v>265</v>
      </c>
      <c r="M57" s="484"/>
      <c r="N57" s="20"/>
      <c r="O57" s="20"/>
      <c r="P57" s="12" t="s">
        <v>265</v>
      </c>
      <c r="Q57" s="484"/>
      <c r="R57" s="20"/>
      <c r="S57" s="20"/>
      <c r="T57" s="224">
        <v>100</v>
      </c>
      <c r="V57" s="38">
        <v>57</v>
      </c>
    </row>
    <row r="58" spans="1:22" ht="15.75" customHeight="1">
      <c r="A58" s="182">
        <v>13</v>
      </c>
      <c r="B58" s="179">
        <v>4</v>
      </c>
      <c r="C58" s="12" t="s">
        <v>262</v>
      </c>
      <c r="D58" s="20" t="s">
        <v>263</v>
      </c>
      <c r="E58" s="12">
        <v>77</v>
      </c>
      <c r="F58" s="20">
        <v>23</v>
      </c>
      <c r="G58" s="22">
        <v>854000</v>
      </c>
      <c r="H58" s="22">
        <v>752000</v>
      </c>
      <c r="I58" s="20"/>
      <c r="J58" s="20"/>
      <c r="K58" s="20">
        <v>1.1399999999999999</v>
      </c>
      <c r="L58" s="12" t="s">
        <v>265</v>
      </c>
      <c r="M58" s="484"/>
      <c r="N58" s="20"/>
      <c r="O58" s="20"/>
      <c r="P58" s="12" t="s">
        <v>265</v>
      </c>
      <c r="Q58" s="484"/>
      <c r="R58" s="20"/>
      <c r="S58" s="20"/>
      <c r="T58" s="224">
        <v>100</v>
      </c>
      <c r="V58" s="38">
        <v>58</v>
      </c>
    </row>
    <row r="59" spans="1:22" ht="15.75" customHeight="1">
      <c r="A59" s="182">
        <v>13</v>
      </c>
      <c r="B59" s="179">
        <v>5</v>
      </c>
      <c r="C59" s="12" t="s">
        <v>262</v>
      </c>
      <c r="D59" s="20" t="s">
        <v>263</v>
      </c>
      <c r="E59" s="12">
        <v>76</v>
      </c>
      <c r="F59" s="20">
        <v>24</v>
      </c>
      <c r="G59" s="22">
        <v>649000</v>
      </c>
      <c r="H59" s="22">
        <v>599000</v>
      </c>
      <c r="I59" s="20"/>
      <c r="J59" s="20"/>
      <c r="K59" s="20">
        <v>1.08</v>
      </c>
      <c r="L59" s="12" t="s">
        <v>265</v>
      </c>
      <c r="M59" s="484"/>
      <c r="N59" s="20"/>
      <c r="O59" s="20"/>
      <c r="P59" s="12" t="s">
        <v>265</v>
      </c>
      <c r="Q59" s="484"/>
      <c r="R59" s="20"/>
      <c r="S59" s="20"/>
      <c r="T59" s="224">
        <v>100</v>
      </c>
      <c r="V59" s="38">
        <v>59</v>
      </c>
    </row>
    <row r="60" spans="1:22" ht="15.75" customHeight="1">
      <c r="A60" s="182">
        <v>13</v>
      </c>
      <c r="B60" s="179">
        <v>6</v>
      </c>
      <c r="C60" s="12" t="s">
        <v>262</v>
      </c>
      <c r="D60" s="20" t="s">
        <v>263</v>
      </c>
      <c r="E60" s="12">
        <v>77</v>
      </c>
      <c r="F60" s="20">
        <v>23</v>
      </c>
      <c r="G60" s="22">
        <v>686000</v>
      </c>
      <c r="H60" s="22">
        <v>640000</v>
      </c>
      <c r="I60" s="20"/>
      <c r="J60" s="20"/>
      <c r="K60" s="20">
        <v>1.07</v>
      </c>
      <c r="L60" s="12" t="s">
        <v>265</v>
      </c>
      <c r="M60" s="484"/>
      <c r="N60" s="20"/>
      <c r="O60" s="20"/>
      <c r="P60" s="12" t="s">
        <v>265</v>
      </c>
      <c r="Q60" s="484"/>
      <c r="R60" s="20"/>
      <c r="S60" s="20"/>
      <c r="T60" s="224">
        <v>100</v>
      </c>
      <c r="V60" s="38">
        <v>60</v>
      </c>
    </row>
    <row r="61" spans="1:22" ht="15.75" customHeight="1">
      <c r="A61" s="182">
        <v>13</v>
      </c>
      <c r="B61" s="179">
        <v>7</v>
      </c>
      <c r="C61" s="12" t="s">
        <v>262</v>
      </c>
      <c r="D61" s="20" t="s">
        <v>263</v>
      </c>
      <c r="E61" s="12">
        <v>78</v>
      </c>
      <c r="F61" s="20">
        <v>22</v>
      </c>
      <c r="G61" s="22">
        <v>845000</v>
      </c>
      <c r="H61" s="22">
        <v>796000</v>
      </c>
      <c r="I61" s="20"/>
      <c r="J61" s="20"/>
      <c r="K61" s="20">
        <v>1.06</v>
      </c>
      <c r="L61" s="12" t="s">
        <v>265</v>
      </c>
      <c r="M61" s="484"/>
      <c r="N61" s="20"/>
      <c r="O61" s="20"/>
      <c r="P61" s="12" t="s">
        <v>265</v>
      </c>
      <c r="Q61" s="484"/>
      <c r="R61" s="20"/>
      <c r="S61" s="20"/>
      <c r="T61" s="224">
        <v>100</v>
      </c>
      <c r="V61" s="38">
        <v>61</v>
      </c>
    </row>
    <row r="62" spans="1:22" ht="15.75" customHeight="1">
      <c r="A62" s="183">
        <v>13</v>
      </c>
      <c r="B62" s="180">
        <v>8</v>
      </c>
      <c r="C62" s="24" t="s">
        <v>262</v>
      </c>
      <c r="D62" s="26" t="s">
        <v>263</v>
      </c>
      <c r="E62" s="24">
        <v>79</v>
      </c>
      <c r="F62" s="26">
        <v>21</v>
      </c>
      <c r="G62" s="27">
        <v>1130000</v>
      </c>
      <c r="H62" s="27">
        <v>1010000</v>
      </c>
      <c r="I62" s="26"/>
      <c r="J62" s="26"/>
      <c r="K62" s="26">
        <v>1.1200000000000001</v>
      </c>
      <c r="L62" s="24" t="s">
        <v>265</v>
      </c>
      <c r="M62" s="485"/>
      <c r="N62" s="26"/>
      <c r="O62" s="26"/>
      <c r="P62" s="24" t="s">
        <v>265</v>
      </c>
      <c r="Q62" s="485"/>
      <c r="R62" s="26"/>
      <c r="S62" s="26"/>
      <c r="T62" s="225">
        <v>100</v>
      </c>
      <c r="V62" s="38">
        <v>62</v>
      </c>
    </row>
    <row r="63" spans="1:22" ht="15.75" customHeight="1">
      <c r="A63" s="182">
        <v>14</v>
      </c>
      <c r="B63" s="179">
        <v>1</v>
      </c>
      <c r="C63" s="199" t="s">
        <v>262</v>
      </c>
      <c r="D63" s="199" t="s">
        <v>263</v>
      </c>
      <c r="E63" s="199">
        <v>88</v>
      </c>
      <c r="F63" s="199">
        <v>12</v>
      </c>
      <c r="G63" s="196">
        <v>65116</v>
      </c>
      <c r="H63" s="231"/>
      <c r="I63" s="194"/>
      <c r="J63" s="194"/>
      <c r="K63" s="194"/>
      <c r="L63" s="199" t="s">
        <v>265</v>
      </c>
      <c r="M63" s="486"/>
      <c r="N63" s="194"/>
      <c r="O63" s="194"/>
      <c r="P63" s="12" t="s">
        <v>265</v>
      </c>
      <c r="Q63" s="486"/>
      <c r="R63" s="194"/>
      <c r="S63" s="199"/>
      <c r="T63" s="227">
        <v>100</v>
      </c>
      <c r="V63" s="38">
        <v>63</v>
      </c>
    </row>
    <row r="64" spans="1:22" ht="15.75" customHeight="1">
      <c r="A64" s="182">
        <v>14</v>
      </c>
      <c r="B64" s="179">
        <v>2</v>
      </c>
      <c r="C64" s="12" t="s">
        <v>262</v>
      </c>
      <c r="D64" s="12" t="s">
        <v>263</v>
      </c>
      <c r="E64" s="12">
        <v>88</v>
      </c>
      <c r="F64" s="12">
        <v>12</v>
      </c>
      <c r="G64" s="22">
        <v>65116</v>
      </c>
      <c r="H64" s="50"/>
      <c r="I64" s="20"/>
      <c r="J64" s="20"/>
      <c r="K64" s="20"/>
      <c r="L64" s="12" t="s">
        <v>266</v>
      </c>
      <c r="M64" s="484" t="s">
        <v>560</v>
      </c>
      <c r="N64" s="12" t="s">
        <v>130</v>
      </c>
      <c r="O64" s="20">
        <v>0.5</v>
      </c>
      <c r="P64" s="12" t="s">
        <v>265</v>
      </c>
      <c r="Q64" s="484"/>
      <c r="R64" s="20"/>
      <c r="S64" s="20"/>
      <c r="T64" s="234">
        <v>99.5</v>
      </c>
      <c r="V64" s="38">
        <v>64</v>
      </c>
    </row>
    <row r="65" spans="1:22" ht="15.75" customHeight="1">
      <c r="A65" s="182">
        <v>14</v>
      </c>
      <c r="B65" s="179">
        <v>3</v>
      </c>
      <c r="C65" s="12" t="s">
        <v>262</v>
      </c>
      <c r="D65" s="12" t="s">
        <v>263</v>
      </c>
      <c r="E65" s="12">
        <v>88</v>
      </c>
      <c r="F65" s="12">
        <v>12</v>
      </c>
      <c r="G65" s="22">
        <v>65116</v>
      </c>
      <c r="H65" s="50"/>
      <c r="I65" s="20"/>
      <c r="J65" s="20"/>
      <c r="K65" s="20"/>
      <c r="L65" s="12" t="s">
        <v>266</v>
      </c>
      <c r="M65" s="484" t="s">
        <v>560</v>
      </c>
      <c r="N65" s="12" t="s">
        <v>130</v>
      </c>
      <c r="O65" s="20">
        <v>1.2</v>
      </c>
      <c r="P65" s="12" t="s">
        <v>265</v>
      </c>
      <c r="Q65" s="484"/>
      <c r="R65" s="20"/>
      <c r="S65" s="20"/>
      <c r="T65" s="234">
        <v>98.8</v>
      </c>
      <c r="V65" s="38">
        <v>65</v>
      </c>
    </row>
    <row r="66" spans="1:22" ht="15.75" customHeight="1">
      <c r="A66" s="182">
        <v>14</v>
      </c>
      <c r="B66" s="179">
        <v>4</v>
      </c>
      <c r="C66" s="12" t="s">
        <v>262</v>
      </c>
      <c r="D66" s="12" t="s">
        <v>263</v>
      </c>
      <c r="E66" s="12">
        <v>88</v>
      </c>
      <c r="F66" s="12">
        <v>12</v>
      </c>
      <c r="G66" s="22">
        <v>65116</v>
      </c>
      <c r="H66" s="50"/>
      <c r="I66" s="20"/>
      <c r="J66" s="20"/>
      <c r="K66" s="20"/>
      <c r="L66" s="12" t="s">
        <v>266</v>
      </c>
      <c r="M66" s="484" t="s">
        <v>560</v>
      </c>
      <c r="N66" s="12" t="s">
        <v>130</v>
      </c>
      <c r="O66" s="20">
        <v>2</v>
      </c>
      <c r="P66" s="12" t="s">
        <v>265</v>
      </c>
      <c r="Q66" s="484"/>
      <c r="R66" s="20"/>
      <c r="S66" s="20"/>
      <c r="T66" s="234">
        <v>98</v>
      </c>
      <c r="V66" s="38">
        <v>66</v>
      </c>
    </row>
    <row r="67" spans="1:22" ht="15.75" customHeight="1">
      <c r="A67" s="182">
        <v>14</v>
      </c>
      <c r="B67" s="179">
        <v>5</v>
      </c>
      <c r="C67" s="12" t="s">
        <v>262</v>
      </c>
      <c r="D67" s="12" t="s">
        <v>263</v>
      </c>
      <c r="E67" s="12">
        <v>88</v>
      </c>
      <c r="F67" s="12">
        <v>12</v>
      </c>
      <c r="G67" s="22">
        <v>65116</v>
      </c>
      <c r="H67" s="50"/>
      <c r="I67" s="20"/>
      <c r="J67" s="20"/>
      <c r="K67" s="20"/>
      <c r="L67" s="12" t="s">
        <v>266</v>
      </c>
      <c r="M67" s="484" t="s">
        <v>560</v>
      </c>
      <c r="N67" s="12" t="s">
        <v>130</v>
      </c>
      <c r="O67" s="20">
        <v>2.2999999999999998</v>
      </c>
      <c r="P67" s="12" t="s">
        <v>265</v>
      </c>
      <c r="Q67" s="484"/>
      <c r="R67" s="20"/>
      <c r="S67" s="20"/>
      <c r="T67" s="234">
        <v>97.7</v>
      </c>
      <c r="V67" s="38">
        <v>67</v>
      </c>
    </row>
    <row r="68" spans="1:22" ht="15.75" customHeight="1">
      <c r="A68" s="182">
        <v>14</v>
      </c>
      <c r="B68" s="179">
        <v>6</v>
      </c>
      <c r="C68" s="12" t="s">
        <v>262</v>
      </c>
      <c r="D68" s="12" t="s">
        <v>263</v>
      </c>
      <c r="E68" s="12">
        <v>88</v>
      </c>
      <c r="F68" s="12">
        <v>12</v>
      </c>
      <c r="G68" s="22">
        <v>65116</v>
      </c>
      <c r="H68" s="50"/>
      <c r="I68" s="20"/>
      <c r="J68" s="20"/>
      <c r="K68" s="20"/>
      <c r="L68" s="12" t="s">
        <v>266</v>
      </c>
      <c r="M68" s="484" t="s">
        <v>560</v>
      </c>
      <c r="N68" s="12" t="s">
        <v>130</v>
      </c>
      <c r="O68" s="20">
        <v>2.9</v>
      </c>
      <c r="P68" s="12" t="s">
        <v>265</v>
      </c>
      <c r="Q68" s="484"/>
      <c r="R68" s="20"/>
      <c r="S68" s="20"/>
      <c r="T68" s="234">
        <v>97.1</v>
      </c>
      <c r="V68" s="38">
        <v>68</v>
      </c>
    </row>
    <row r="69" spans="1:22" ht="15.75" customHeight="1">
      <c r="A69" s="182">
        <v>14</v>
      </c>
      <c r="B69" s="179">
        <v>7</v>
      </c>
      <c r="C69" s="12" t="s">
        <v>262</v>
      </c>
      <c r="D69" s="12" t="s">
        <v>263</v>
      </c>
      <c r="E69" s="12">
        <v>88</v>
      </c>
      <c r="F69" s="12">
        <v>12</v>
      </c>
      <c r="G69" s="22">
        <v>65116</v>
      </c>
      <c r="H69" s="50"/>
      <c r="I69" s="20"/>
      <c r="J69" s="20"/>
      <c r="K69" s="20"/>
      <c r="L69" s="12" t="s">
        <v>266</v>
      </c>
      <c r="M69" s="484" t="s">
        <v>560</v>
      </c>
      <c r="N69" s="12" t="s">
        <v>130</v>
      </c>
      <c r="O69" s="20">
        <v>3.3</v>
      </c>
      <c r="P69" s="12" t="s">
        <v>265</v>
      </c>
      <c r="Q69" s="484"/>
      <c r="R69" s="20"/>
      <c r="S69" s="20"/>
      <c r="T69" s="234">
        <v>96.7</v>
      </c>
      <c r="V69" s="38">
        <v>69</v>
      </c>
    </row>
    <row r="70" spans="1:22" ht="15.75" customHeight="1">
      <c r="A70" s="182">
        <v>14</v>
      </c>
      <c r="B70" s="179">
        <v>8</v>
      </c>
      <c r="C70" s="12" t="s">
        <v>262</v>
      </c>
      <c r="D70" s="12" t="s">
        <v>263</v>
      </c>
      <c r="E70" s="12">
        <v>88</v>
      </c>
      <c r="F70" s="12">
        <v>12</v>
      </c>
      <c r="G70" s="22">
        <v>65116</v>
      </c>
      <c r="H70" s="50"/>
      <c r="I70" s="20"/>
      <c r="J70" s="20"/>
      <c r="K70" s="20"/>
      <c r="L70" s="12" t="s">
        <v>266</v>
      </c>
      <c r="M70" s="484" t="s">
        <v>560</v>
      </c>
      <c r="N70" s="12" t="s">
        <v>130</v>
      </c>
      <c r="O70" s="20">
        <v>3.6</v>
      </c>
      <c r="P70" s="12" t="s">
        <v>265</v>
      </c>
      <c r="Q70" s="484"/>
      <c r="R70" s="20"/>
      <c r="S70" s="20"/>
      <c r="T70" s="234">
        <v>96.4</v>
      </c>
      <c r="V70" s="38">
        <v>70</v>
      </c>
    </row>
    <row r="71" spans="1:22" ht="15.75" customHeight="1">
      <c r="A71" s="182">
        <v>14</v>
      </c>
      <c r="B71" s="179">
        <v>9</v>
      </c>
      <c r="C71" s="12" t="s">
        <v>262</v>
      </c>
      <c r="D71" s="12" t="s">
        <v>263</v>
      </c>
      <c r="E71" s="12">
        <v>88</v>
      </c>
      <c r="F71" s="12">
        <v>12</v>
      </c>
      <c r="G71" s="22">
        <v>65116</v>
      </c>
      <c r="H71" s="50"/>
      <c r="I71" s="20"/>
      <c r="J71" s="20"/>
      <c r="K71" s="20"/>
      <c r="L71" s="12" t="s">
        <v>266</v>
      </c>
      <c r="M71" s="484" t="s">
        <v>560</v>
      </c>
      <c r="N71" s="12" t="s">
        <v>130</v>
      </c>
      <c r="O71" s="20">
        <v>4.2</v>
      </c>
      <c r="P71" s="12" t="s">
        <v>265</v>
      </c>
      <c r="Q71" s="484"/>
      <c r="R71" s="20"/>
      <c r="S71" s="20"/>
      <c r="T71" s="234">
        <v>95.8</v>
      </c>
      <c r="V71" s="38">
        <v>71</v>
      </c>
    </row>
    <row r="72" spans="1:22" ht="15.75" customHeight="1">
      <c r="A72" s="182">
        <v>14</v>
      </c>
      <c r="B72" s="179">
        <v>10</v>
      </c>
      <c r="C72" s="12" t="s">
        <v>262</v>
      </c>
      <c r="D72" s="12" t="s">
        <v>263</v>
      </c>
      <c r="E72" s="12">
        <v>88</v>
      </c>
      <c r="F72" s="12">
        <v>12</v>
      </c>
      <c r="G72" s="22">
        <v>65116</v>
      </c>
      <c r="H72" s="50"/>
      <c r="I72" s="20"/>
      <c r="J72" s="20"/>
      <c r="K72" s="20"/>
      <c r="L72" s="12" t="s">
        <v>266</v>
      </c>
      <c r="M72" s="487" t="s">
        <v>560</v>
      </c>
      <c r="N72" s="24" t="s">
        <v>130</v>
      </c>
      <c r="O72" s="20">
        <v>4.5999999999999996</v>
      </c>
      <c r="P72" s="24" t="s">
        <v>265</v>
      </c>
      <c r="Q72" s="484"/>
      <c r="R72" s="20"/>
      <c r="S72" s="20"/>
      <c r="T72" s="234">
        <v>95.4</v>
      </c>
      <c r="V72" s="38">
        <v>72</v>
      </c>
    </row>
    <row r="73" spans="1:22" ht="15.75" customHeight="1">
      <c r="A73" s="181">
        <v>15</v>
      </c>
      <c r="B73" s="178">
        <v>1</v>
      </c>
      <c r="C73" s="199" t="s">
        <v>262</v>
      </c>
      <c r="D73" s="194" t="s">
        <v>263</v>
      </c>
      <c r="E73" s="199">
        <v>88</v>
      </c>
      <c r="F73" s="194">
        <v>12</v>
      </c>
      <c r="G73" s="231"/>
      <c r="H73" s="231"/>
      <c r="I73" s="194"/>
      <c r="J73" s="194"/>
      <c r="K73" s="194"/>
      <c r="L73" s="199" t="s">
        <v>265</v>
      </c>
      <c r="M73" s="484"/>
      <c r="N73" s="12"/>
      <c r="O73" s="194"/>
      <c r="P73" s="12" t="s">
        <v>265</v>
      </c>
      <c r="Q73" s="486"/>
      <c r="R73" s="194"/>
      <c r="S73" s="194"/>
      <c r="T73" s="236">
        <v>100</v>
      </c>
      <c r="V73" s="38">
        <v>73</v>
      </c>
    </row>
    <row r="74" spans="1:22" ht="15.75" customHeight="1">
      <c r="A74" s="182">
        <v>15</v>
      </c>
      <c r="B74" s="179">
        <v>2</v>
      </c>
      <c r="C74" s="12" t="s">
        <v>262</v>
      </c>
      <c r="D74" s="20" t="s">
        <v>263</v>
      </c>
      <c r="E74" s="12">
        <v>88</v>
      </c>
      <c r="F74" s="20">
        <v>12</v>
      </c>
      <c r="G74" s="50"/>
      <c r="H74" s="50"/>
      <c r="I74" s="20"/>
      <c r="J74" s="20"/>
      <c r="K74" s="20"/>
      <c r="L74" s="12" t="s">
        <v>266</v>
      </c>
      <c r="M74" s="484" t="s">
        <v>560</v>
      </c>
      <c r="N74" s="12" t="s">
        <v>130</v>
      </c>
      <c r="O74" s="20">
        <v>1.5</v>
      </c>
      <c r="P74" s="12" t="s">
        <v>265</v>
      </c>
      <c r="Q74" s="484"/>
      <c r="R74" s="20"/>
      <c r="S74" s="20"/>
      <c r="T74" s="234">
        <v>98.5</v>
      </c>
      <c r="V74" s="38">
        <v>74</v>
      </c>
    </row>
    <row r="75" spans="1:22" ht="15.75" customHeight="1">
      <c r="A75" s="182">
        <v>15</v>
      </c>
      <c r="B75" s="179">
        <v>3</v>
      </c>
      <c r="C75" s="12" t="s">
        <v>262</v>
      </c>
      <c r="D75" s="20" t="s">
        <v>263</v>
      </c>
      <c r="E75" s="12">
        <v>88</v>
      </c>
      <c r="F75" s="20">
        <v>12</v>
      </c>
      <c r="G75" s="50"/>
      <c r="H75" s="50"/>
      <c r="I75" s="20"/>
      <c r="J75" s="20"/>
      <c r="K75" s="20"/>
      <c r="L75" s="12" t="s">
        <v>266</v>
      </c>
      <c r="M75" s="484" t="s">
        <v>560</v>
      </c>
      <c r="N75" s="12" t="s">
        <v>130</v>
      </c>
      <c r="O75" s="20">
        <v>2</v>
      </c>
      <c r="P75" s="12" t="s">
        <v>265</v>
      </c>
      <c r="Q75" s="484"/>
      <c r="R75" s="20"/>
      <c r="S75" s="20"/>
      <c r="T75" s="234">
        <v>98</v>
      </c>
      <c r="V75" s="38">
        <v>75</v>
      </c>
    </row>
    <row r="76" spans="1:22" ht="15.75" customHeight="1">
      <c r="A76" s="182">
        <v>15</v>
      </c>
      <c r="B76" s="179">
        <v>4</v>
      </c>
      <c r="C76" s="12" t="s">
        <v>262</v>
      </c>
      <c r="D76" s="20" t="s">
        <v>263</v>
      </c>
      <c r="E76" s="12">
        <v>88</v>
      </c>
      <c r="F76" s="20">
        <v>12</v>
      </c>
      <c r="G76" s="50"/>
      <c r="H76" s="50"/>
      <c r="I76" s="20"/>
      <c r="J76" s="20"/>
      <c r="K76" s="20"/>
      <c r="L76" s="12" t="s">
        <v>266</v>
      </c>
      <c r="M76" s="484" t="s">
        <v>560</v>
      </c>
      <c r="N76" s="12" t="s">
        <v>130</v>
      </c>
      <c r="O76" s="20">
        <v>3</v>
      </c>
      <c r="P76" s="12" t="s">
        <v>265</v>
      </c>
      <c r="Q76" s="484"/>
      <c r="R76" s="20"/>
      <c r="S76" s="20"/>
      <c r="T76" s="234">
        <v>97</v>
      </c>
      <c r="V76" s="38">
        <v>76</v>
      </c>
    </row>
    <row r="77" spans="1:22" ht="15.75" customHeight="1">
      <c r="A77" s="182">
        <v>15</v>
      </c>
      <c r="B77" s="179">
        <v>5</v>
      </c>
      <c r="C77" s="12" t="s">
        <v>262</v>
      </c>
      <c r="D77" s="20" t="s">
        <v>263</v>
      </c>
      <c r="E77" s="12">
        <v>88</v>
      </c>
      <c r="F77" s="20">
        <v>12</v>
      </c>
      <c r="G77" s="50"/>
      <c r="H77" s="50"/>
      <c r="I77" s="20"/>
      <c r="J77" s="20"/>
      <c r="K77" s="20"/>
      <c r="L77" s="12" t="s">
        <v>266</v>
      </c>
      <c r="M77" s="484" t="s">
        <v>560</v>
      </c>
      <c r="N77" s="12" t="s">
        <v>130</v>
      </c>
      <c r="O77" s="20">
        <v>4</v>
      </c>
      <c r="P77" s="12" t="s">
        <v>265</v>
      </c>
      <c r="Q77" s="484"/>
      <c r="R77" s="20"/>
      <c r="S77" s="20"/>
      <c r="T77" s="234">
        <v>96</v>
      </c>
      <c r="V77" s="38">
        <v>77</v>
      </c>
    </row>
    <row r="78" spans="1:22" ht="15.75" customHeight="1">
      <c r="A78" s="182">
        <v>15</v>
      </c>
      <c r="B78" s="179">
        <v>6</v>
      </c>
      <c r="C78" s="12" t="s">
        <v>262</v>
      </c>
      <c r="D78" s="20" t="s">
        <v>263</v>
      </c>
      <c r="E78" s="12">
        <v>88</v>
      </c>
      <c r="F78" s="20">
        <v>12</v>
      </c>
      <c r="G78" s="50"/>
      <c r="H78" s="50"/>
      <c r="I78" s="20"/>
      <c r="J78" s="20"/>
      <c r="K78" s="20"/>
      <c r="L78" s="12" t="s">
        <v>266</v>
      </c>
      <c r="M78" s="484" t="s">
        <v>560</v>
      </c>
      <c r="N78" s="12" t="s">
        <v>130</v>
      </c>
      <c r="O78" s="20">
        <v>5</v>
      </c>
      <c r="P78" s="24" t="s">
        <v>265</v>
      </c>
      <c r="Q78" s="484"/>
      <c r="R78" s="20"/>
      <c r="S78" s="20"/>
      <c r="T78" s="234">
        <v>95</v>
      </c>
      <c r="V78" s="38">
        <v>78</v>
      </c>
    </row>
    <row r="79" spans="1:22" ht="15.75" customHeight="1">
      <c r="A79" s="177">
        <v>16</v>
      </c>
      <c r="B79" s="58">
        <v>1</v>
      </c>
      <c r="C79" s="199" t="s">
        <v>262</v>
      </c>
      <c r="D79" s="194" t="s">
        <v>263</v>
      </c>
      <c r="E79" s="199">
        <v>88</v>
      </c>
      <c r="F79" s="194">
        <v>12</v>
      </c>
      <c r="G79" s="229"/>
      <c r="H79" s="194"/>
      <c r="I79" s="194"/>
      <c r="J79" s="194"/>
      <c r="K79" s="194"/>
      <c r="L79" s="194" t="s">
        <v>265</v>
      </c>
      <c r="M79" s="486"/>
      <c r="N79" s="194"/>
      <c r="O79" s="194"/>
      <c r="P79" s="12" t="s">
        <v>265</v>
      </c>
      <c r="Q79" s="486"/>
      <c r="R79" s="194"/>
      <c r="S79" s="194"/>
      <c r="T79" s="236">
        <v>100</v>
      </c>
      <c r="V79" s="38">
        <v>79</v>
      </c>
    </row>
    <row r="80" spans="1:22" ht="15.75" customHeight="1">
      <c r="A80" s="174">
        <v>16</v>
      </c>
      <c r="B80" s="59">
        <v>2</v>
      </c>
      <c r="C80" s="12" t="s">
        <v>262</v>
      </c>
      <c r="D80" s="20" t="s">
        <v>263</v>
      </c>
      <c r="E80" s="12">
        <v>88</v>
      </c>
      <c r="F80" s="20">
        <v>12</v>
      </c>
      <c r="G80" s="42"/>
      <c r="H80" s="20"/>
      <c r="I80" s="20"/>
      <c r="J80" s="20"/>
      <c r="K80" s="20"/>
      <c r="L80" s="12" t="s">
        <v>266</v>
      </c>
      <c r="M80" s="484" t="s">
        <v>560</v>
      </c>
      <c r="N80" s="12" t="s">
        <v>130</v>
      </c>
      <c r="O80" s="20">
        <v>1</v>
      </c>
      <c r="P80" s="12" t="s">
        <v>265</v>
      </c>
      <c r="Q80" s="484"/>
      <c r="R80" s="20"/>
      <c r="S80" s="20"/>
      <c r="T80" s="234">
        <v>99</v>
      </c>
      <c r="V80" s="38">
        <v>80</v>
      </c>
    </row>
    <row r="81" spans="1:22" ht="15.75" customHeight="1">
      <c r="A81" s="200">
        <v>16</v>
      </c>
      <c r="B81" s="59">
        <v>3</v>
      </c>
      <c r="C81" s="12" t="s">
        <v>262</v>
      </c>
      <c r="D81" s="20" t="s">
        <v>263</v>
      </c>
      <c r="E81" s="12">
        <v>88</v>
      </c>
      <c r="F81" s="20">
        <v>12</v>
      </c>
      <c r="G81" s="42"/>
      <c r="H81" s="20"/>
      <c r="I81" s="20"/>
      <c r="J81" s="20"/>
      <c r="K81" s="20"/>
      <c r="L81" s="12" t="s">
        <v>266</v>
      </c>
      <c r="M81" s="484" t="s">
        <v>560</v>
      </c>
      <c r="N81" s="12" t="s">
        <v>130</v>
      </c>
      <c r="O81" s="20">
        <v>5</v>
      </c>
      <c r="P81" s="24" t="s">
        <v>265</v>
      </c>
      <c r="Q81" s="484"/>
      <c r="R81" s="20"/>
      <c r="S81" s="20"/>
      <c r="T81" s="234">
        <v>95</v>
      </c>
      <c r="V81" s="38">
        <v>81</v>
      </c>
    </row>
    <row r="82" spans="1:22" ht="15.75" customHeight="1">
      <c r="A82" s="201">
        <v>17</v>
      </c>
      <c r="B82" s="58">
        <v>1</v>
      </c>
      <c r="C82" s="194" t="s">
        <v>262</v>
      </c>
      <c r="D82" s="194" t="s">
        <v>263</v>
      </c>
      <c r="E82" s="194">
        <v>100</v>
      </c>
      <c r="F82" s="194">
        <v>0</v>
      </c>
      <c r="G82" s="229"/>
      <c r="H82" s="194"/>
      <c r="I82" s="194"/>
      <c r="J82" s="194"/>
      <c r="K82" s="194"/>
      <c r="L82" s="194" t="s">
        <v>265</v>
      </c>
      <c r="M82" s="486"/>
      <c r="N82" s="194"/>
      <c r="O82" s="194"/>
      <c r="P82" s="12" t="s">
        <v>265</v>
      </c>
      <c r="Q82" s="486"/>
      <c r="R82" s="194"/>
      <c r="S82" s="194"/>
      <c r="T82" s="236">
        <v>100</v>
      </c>
      <c r="V82" s="38">
        <v>82</v>
      </c>
    </row>
    <row r="83" spans="1:22" ht="15.75" customHeight="1">
      <c r="A83" s="200">
        <v>17</v>
      </c>
      <c r="B83" s="59">
        <v>2</v>
      </c>
      <c r="C83" s="20" t="s">
        <v>262</v>
      </c>
      <c r="D83" s="20" t="s">
        <v>263</v>
      </c>
      <c r="E83" s="20">
        <v>95</v>
      </c>
      <c r="F83" s="20">
        <v>5</v>
      </c>
      <c r="G83" s="42"/>
      <c r="H83" s="20"/>
      <c r="I83" s="20"/>
      <c r="J83" s="20"/>
      <c r="K83" s="20">
        <v>3.64</v>
      </c>
      <c r="L83" s="20" t="s">
        <v>265</v>
      </c>
      <c r="M83" s="484"/>
      <c r="N83" s="20"/>
      <c r="O83" s="20"/>
      <c r="P83" s="12" t="s">
        <v>265</v>
      </c>
      <c r="Q83" s="484"/>
      <c r="R83" s="20"/>
      <c r="S83" s="20"/>
      <c r="T83" s="234">
        <v>100</v>
      </c>
      <c r="V83" s="38">
        <v>83</v>
      </c>
    </row>
    <row r="84" spans="1:22" ht="15.75" customHeight="1">
      <c r="A84" s="200">
        <v>17</v>
      </c>
      <c r="B84" s="59">
        <v>3</v>
      </c>
      <c r="C84" s="20" t="s">
        <v>262</v>
      </c>
      <c r="D84" s="20" t="s">
        <v>263</v>
      </c>
      <c r="E84" s="20">
        <v>92</v>
      </c>
      <c r="F84" s="20">
        <v>8</v>
      </c>
      <c r="G84" s="42"/>
      <c r="H84" s="20"/>
      <c r="I84" s="20"/>
      <c r="J84" s="20"/>
      <c r="K84" s="20">
        <v>2.54</v>
      </c>
      <c r="L84" s="20" t="s">
        <v>265</v>
      </c>
      <c r="M84" s="484"/>
      <c r="N84" s="20"/>
      <c r="O84" s="20"/>
      <c r="P84" s="12" t="s">
        <v>265</v>
      </c>
      <c r="Q84" s="484"/>
      <c r="R84" s="20"/>
      <c r="S84" s="20"/>
      <c r="T84" s="234">
        <v>100</v>
      </c>
      <c r="V84" s="38">
        <v>84</v>
      </c>
    </row>
    <row r="85" spans="1:22" ht="15.75" customHeight="1">
      <c r="A85" s="200">
        <v>17</v>
      </c>
      <c r="B85" s="59">
        <v>4</v>
      </c>
      <c r="C85" s="20" t="s">
        <v>262</v>
      </c>
      <c r="D85" s="20" t="s">
        <v>263</v>
      </c>
      <c r="E85" s="20">
        <v>80</v>
      </c>
      <c r="F85" s="20">
        <v>20</v>
      </c>
      <c r="G85" s="42"/>
      <c r="H85" s="20"/>
      <c r="I85" s="20"/>
      <c r="J85" s="20"/>
      <c r="K85" s="20">
        <v>2.65</v>
      </c>
      <c r="L85" s="20" t="s">
        <v>265</v>
      </c>
      <c r="M85" s="484"/>
      <c r="N85" s="20"/>
      <c r="O85" s="20"/>
      <c r="P85" s="24" t="s">
        <v>265</v>
      </c>
      <c r="Q85" s="484"/>
      <c r="R85" s="20"/>
      <c r="S85" s="20"/>
      <c r="T85" s="234">
        <v>100</v>
      </c>
      <c r="V85" s="38">
        <v>85</v>
      </c>
    </row>
    <row r="86" spans="1:22" ht="15.75" customHeight="1">
      <c r="A86" s="201">
        <v>18</v>
      </c>
      <c r="B86" s="58">
        <v>1</v>
      </c>
      <c r="C86" s="194" t="s">
        <v>262</v>
      </c>
      <c r="D86" s="194" t="s">
        <v>263</v>
      </c>
      <c r="E86" s="194">
        <v>95</v>
      </c>
      <c r="F86" s="194">
        <v>5</v>
      </c>
      <c r="G86" s="229">
        <v>70000</v>
      </c>
      <c r="H86" s="194"/>
      <c r="I86" s="194"/>
      <c r="J86" s="194"/>
      <c r="K86" s="194"/>
      <c r="L86" s="194" t="s">
        <v>265</v>
      </c>
      <c r="M86" s="486"/>
      <c r="N86" s="194"/>
      <c r="O86" s="194"/>
      <c r="P86" s="12" t="s">
        <v>265</v>
      </c>
      <c r="Q86" s="486"/>
      <c r="R86" s="194"/>
      <c r="S86" s="194"/>
      <c r="T86" s="236">
        <v>100</v>
      </c>
      <c r="V86" s="38">
        <v>86</v>
      </c>
    </row>
    <row r="87" spans="1:22" ht="15.75" customHeight="1">
      <c r="A87" s="200">
        <v>18</v>
      </c>
      <c r="B87" s="59">
        <v>2</v>
      </c>
      <c r="C87" s="20" t="s">
        <v>262</v>
      </c>
      <c r="D87" s="20" t="s">
        <v>263</v>
      </c>
      <c r="E87" s="20">
        <v>88</v>
      </c>
      <c r="F87" s="20">
        <v>12</v>
      </c>
      <c r="G87" s="42">
        <v>530000</v>
      </c>
      <c r="H87" s="20"/>
      <c r="I87" s="20"/>
      <c r="J87" s="20"/>
      <c r="K87" s="20"/>
      <c r="L87" s="20" t="s">
        <v>265</v>
      </c>
      <c r="M87" s="485"/>
      <c r="N87" s="20"/>
      <c r="O87" s="20"/>
      <c r="P87" s="24" t="s">
        <v>265</v>
      </c>
      <c r="Q87" s="484"/>
      <c r="R87" s="20"/>
      <c r="S87" s="20"/>
      <c r="T87" s="234">
        <v>100</v>
      </c>
      <c r="V87" s="38">
        <v>87</v>
      </c>
    </row>
    <row r="88" spans="1:22" ht="15.75" customHeight="1">
      <c r="A88" s="201">
        <v>19</v>
      </c>
      <c r="B88" s="58">
        <v>1</v>
      </c>
      <c r="C88" s="194" t="s">
        <v>262</v>
      </c>
      <c r="D88" s="194" t="s">
        <v>263</v>
      </c>
      <c r="E88" s="194"/>
      <c r="F88" s="194"/>
      <c r="G88" s="229"/>
      <c r="H88" s="194"/>
      <c r="I88" s="194">
        <v>1.25</v>
      </c>
      <c r="J88" s="194" t="s">
        <v>264</v>
      </c>
      <c r="K88" s="194"/>
      <c r="L88" s="194" t="s">
        <v>266</v>
      </c>
      <c r="M88" s="484" t="s">
        <v>560</v>
      </c>
      <c r="N88" s="194" t="s">
        <v>132</v>
      </c>
      <c r="O88" s="194">
        <v>40</v>
      </c>
      <c r="P88" s="12" t="s">
        <v>265</v>
      </c>
      <c r="Q88" s="486"/>
      <c r="R88" s="194"/>
      <c r="S88" s="194"/>
      <c r="T88" s="236">
        <v>60</v>
      </c>
      <c r="V88" s="38">
        <v>88</v>
      </c>
    </row>
    <row r="89" spans="1:22" ht="15.75" customHeight="1">
      <c r="A89" s="200">
        <v>19</v>
      </c>
      <c r="B89" s="59">
        <v>2</v>
      </c>
      <c r="C89" s="20" t="s">
        <v>262</v>
      </c>
      <c r="D89" s="20" t="s">
        <v>263</v>
      </c>
      <c r="E89" s="20"/>
      <c r="F89" s="20"/>
      <c r="G89" s="42"/>
      <c r="H89" s="20"/>
      <c r="I89" s="20">
        <v>1.25</v>
      </c>
      <c r="J89" s="20" t="s">
        <v>264</v>
      </c>
      <c r="K89" s="20"/>
      <c r="L89" s="20" t="s">
        <v>266</v>
      </c>
      <c r="M89" s="484" t="s">
        <v>560</v>
      </c>
      <c r="N89" s="20" t="s">
        <v>132</v>
      </c>
      <c r="O89" s="20">
        <v>30</v>
      </c>
      <c r="P89" s="12" t="s">
        <v>265</v>
      </c>
      <c r="Q89" s="484"/>
      <c r="R89" s="20"/>
      <c r="S89" s="20"/>
      <c r="T89" s="234">
        <v>70</v>
      </c>
      <c r="V89" s="38">
        <v>89</v>
      </c>
    </row>
    <row r="90" spans="1:22" ht="15.75" customHeight="1">
      <c r="A90" s="200">
        <v>19</v>
      </c>
      <c r="B90" s="59">
        <v>3</v>
      </c>
      <c r="C90" s="20" t="s">
        <v>262</v>
      </c>
      <c r="D90" s="20" t="s">
        <v>263</v>
      </c>
      <c r="E90" s="20"/>
      <c r="F90" s="20"/>
      <c r="G90" s="42"/>
      <c r="H90" s="20"/>
      <c r="I90" s="20">
        <v>1.25</v>
      </c>
      <c r="J90" s="20" t="s">
        <v>264</v>
      </c>
      <c r="K90" s="20"/>
      <c r="L90" s="20" t="s">
        <v>266</v>
      </c>
      <c r="M90" s="484" t="s">
        <v>560</v>
      </c>
      <c r="N90" s="20" t="s">
        <v>132</v>
      </c>
      <c r="O90" s="20">
        <v>20</v>
      </c>
      <c r="P90" s="12" t="s">
        <v>265</v>
      </c>
      <c r="Q90" s="484"/>
      <c r="R90" s="20"/>
      <c r="S90" s="20"/>
      <c r="T90" s="234">
        <v>80</v>
      </c>
      <c r="V90" s="38">
        <v>90</v>
      </c>
    </row>
    <row r="91" spans="1:22" ht="15.75" customHeight="1">
      <c r="A91" s="200">
        <v>19</v>
      </c>
      <c r="B91" s="59">
        <v>4</v>
      </c>
      <c r="C91" s="20" t="s">
        <v>262</v>
      </c>
      <c r="D91" s="20" t="s">
        <v>263</v>
      </c>
      <c r="E91" s="20"/>
      <c r="F91" s="20"/>
      <c r="G91" s="42"/>
      <c r="H91" s="20"/>
      <c r="I91" s="20">
        <v>1.25</v>
      </c>
      <c r="J91" s="20" t="s">
        <v>264</v>
      </c>
      <c r="K91" s="20"/>
      <c r="L91" s="20" t="s">
        <v>266</v>
      </c>
      <c r="M91" s="484" t="s">
        <v>560</v>
      </c>
      <c r="N91" s="20" t="s">
        <v>132</v>
      </c>
      <c r="O91" s="20">
        <v>10</v>
      </c>
      <c r="P91" s="12" t="s">
        <v>265</v>
      </c>
      <c r="Q91" s="484"/>
      <c r="R91" s="20"/>
      <c r="S91" s="20"/>
      <c r="T91" s="234">
        <v>90</v>
      </c>
      <c r="V91" s="38">
        <v>91</v>
      </c>
    </row>
    <row r="92" spans="1:22" ht="15.75" customHeight="1">
      <c r="A92" s="200">
        <v>19</v>
      </c>
      <c r="B92" s="59">
        <v>5</v>
      </c>
      <c r="C92" s="20" t="s">
        <v>262</v>
      </c>
      <c r="D92" s="20" t="s">
        <v>263</v>
      </c>
      <c r="E92" s="20"/>
      <c r="F92" s="20"/>
      <c r="G92" s="42"/>
      <c r="H92" s="20"/>
      <c r="I92" s="20">
        <v>1.25</v>
      </c>
      <c r="J92" s="20" t="s">
        <v>264</v>
      </c>
      <c r="K92" s="20"/>
      <c r="L92" s="20" t="s">
        <v>265</v>
      </c>
      <c r="M92" s="484"/>
      <c r="N92" s="20"/>
      <c r="O92" s="20"/>
      <c r="P92" s="24" t="s">
        <v>265</v>
      </c>
      <c r="Q92" s="484"/>
      <c r="R92" s="20"/>
      <c r="S92" s="20"/>
      <c r="T92" s="234">
        <v>100</v>
      </c>
      <c r="V92" s="38">
        <v>92</v>
      </c>
    </row>
    <row r="93" spans="1:22" ht="15.75" customHeight="1">
      <c r="A93" s="237">
        <v>20</v>
      </c>
      <c r="B93" s="178" t="s">
        <v>220</v>
      </c>
      <c r="C93" s="194" t="s">
        <v>262</v>
      </c>
      <c r="D93" s="194" t="s">
        <v>263</v>
      </c>
      <c r="E93" s="199">
        <v>80</v>
      </c>
      <c r="F93" s="194">
        <v>20</v>
      </c>
      <c r="G93" s="199">
        <v>280000</v>
      </c>
      <c r="H93" s="194"/>
      <c r="I93" s="206"/>
      <c r="J93" s="206"/>
      <c r="K93" s="206"/>
      <c r="L93" s="199" t="s">
        <v>265</v>
      </c>
      <c r="M93" s="486"/>
      <c r="N93" s="206"/>
      <c r="O93" s="194"/>
      <c r="P93" s="12" t="s">
        <v>265</v>
      </c>
      <c r="Q93" s="490"/>
      <c r="R93" s="206"/>
      <c r="S93" s="206"/>
      <c r="T93" s="227">
        <v>100</v>
      </c>
      <c r="V93" s="38">
        <v>93</v>
      </c>
    </row>
    <row r="94" spans="1:22" ht="15.75" customHeight="1">
      <c r="A94" s="205">
        <v>20</v>
      </c>
      <c r="B94" s="179" t="s">
        <v>221</v>
      </c>
      <c r="C94" s="20" t="s">
        <v>262</v>
      </c>
      <c r="D94" s="20" t="s">
        <v>263</v>
      </c>
      <c r="E94" s="12">
        <v>95</v>
      </c>
      <c r="F94" s="20">
        <v>5</v>
      </c>
      <c r="G94" s="12">
        <v>270000</v>
      </c>
      <c r="H94" s="2"/>
      <c r="I94" s="2"/>
      <c r="J94" s="2"/>
      <c r="K94" s="2"/>
      <c r="L94" s="12" t="s">
        <v>265</v>
      </c>
      <c r="M94" s="484"/>
      <c r="N94" s="2"/>
      <c r="O94" s="20"/>
      <c r="P94" s="12" t="s">
        <v>265</v>
      </c>
      <c r="R94" s="2"/>
      <c r="S94" s="2"/>
      <c r="T94" s="224">
        <v>100</v>
      </c>
      <c r="V94" s="38">
        <v>94</v>
      </c>
    </row>
    <row r="95" spans="1:22" ht="15.75" customHeight="1">
      <c r="A95" s="205">
        <v>20</v>
      </c>
      <c r="B95" s="179" t="s">
        <v>222</v>
      </c>
      <c r="C95" s="20" t="s">
        <v>262</v>
      </c>
      <c r="D95" s="20" t="s">
        <v>263</v>
      </c>
      <c r="E95" s="12">
        <v>88</v>
      </c>
      <c r="F95" s="20">
        <v>12</v>
      </c>
      <c r="G95" s="42">
        <v>500000</v>
      </c>
      <c r="H95" s="2"/>
      <c r="I95" s="2"/>
      <c r="J95" s="2"/>
      <c r="K95" s="2"/>
      <c r="L95" s="12" t="s">
        <v>265</v>
      </c>
      <c r="M95" s="484"/>
      <c r="N95" s="2"/>
      <c r="O95" s="20"/>
      <c r="P95" s="12" t="s">
        <v>265</v>
      </c>
      <c r="R95" s="2"/>
      <c r="S95" s="2"/>
      <c r="T95" s="224">
        <v>100</v>
      </c>
      <c r="V95" s="38">
        <v>95</v>
      </c>
    </row>
    <row r="96" spans="1:22" ht="15.75" customHeight="1">
      <c r="A96" s="205">
        <v>20</v>
      </c>
      <c r="B96" s="179" t="s">
        <v>223</v>
      </c>
      <c r="C96" s="20" t="s">
        <v>262</v>
      </c>
      <c r="D96" s="20" t="s">
        <v>263</v>
      </c>
      <c r="E96" s="12">
        <v>95</v>
      </c>
      <c r="F96" s="20">
        <v>5</v>
      </c>
      <c r="G96" s="20">
        <v>150000</v>
      </c>
      <c r="H96" s="2"/>
      <c r="I96" s="2"/>
      <c r="J96" s="2"/>
      <c r="K96" s="2"/>
      <c r="L96" s="12" t="s">
        <v>265</v>
      </c>
      <c r="M96" s="484"/>
      <c r="N96" s="2"/>
      <c r="O96" s="20"/>
      <c r="P96" s="12" t="s">
        <v>265</v>
      </c>
      <c r="R96" s="2"/>
      <c r="S96" s="2"/>
      <c r="T96" s="224">
        <v>100</v>
      </c>
      <c r="V96" s="38">
        <v>96</v>
      </c>
    </row>
    <row r="97" spans="1:22" ht="15.75" customHeight="1">
      <c r="A97" s="205">
        <v>20</v>
      </c>
      <c r="B97" s="179" t="s">
        <v>224</v>
      </c>
      <c r="C97" s="20" t="s">
        <v>262</v>
      </c>
      <c r="D97" s="20" t="s">
        <v>263</v>
      </c>
      <c r="E97" s="12">
        <v>80</v>
      </c>
      <c r="F97" s="20">
        <v>20</v>
      </c>
      <c r="G97" s="12">
        <v>280000</v>
      </c>
      <c r="H97" s="20"/>
      <c r="I97" s="2"/>
      <c r="J97" s="2"/>
      <c r="K97" s="2"/>
      <c r="L97" s="12" t="s">
        <v>265</v>
      </c>
      <c r="M97" s="484"/>
      <c r="N97" s="2"/>
      <c r="O97" s="20"/>
      <c r="P97" s="12" t="s">
        <v>265</v>
      </c>
      <c r="R97" s="2"/>
      <c r="S97" s="2"/>
      <c r="T97" s="224">
        <v>100</v>
      </c>
      <c r="V97" s="38">
        <v>97</v>
      </c>
    </row>
    <row r="98" spans="1:22" ht="15.75" customHeight="1">
      <c r="A98" s="205">
        <v>20</v>
      </c>
      <c r="B98" s="179" t="s">
        <v>225</v>
      </c>
      <c r="C98" s="20" t="s">
        <v>262</v>
      </c>
      <c r="D98" s="20" t="s">
        <v>263</v>
      </c>
      <c r="E98" s="12">
        <v>95</v>
      </c>
      <c r="F98" s="20">
        <v>5</v>
      </c>
      <c r="G98" s="12">
        <v>270000</v>
      </c>
      <c r="H98" s="2"/>
      <c r="I98" s="2"/>
      <c r="J98" s="2"/>
      <c r="K98" s="2"/>
      <c r="L98" s="12" t="s">
        <v>265</v>
      </c>
      <c r="M98" s="484"/>
      <c r="N98" s="2"/>
      <c r="O98" s="20"/>
      <c r="P98" s="12" t="s">
        <v>265</v>
      </c>
      <c r="R98" s="2"/>
      <c r="S98" s="2"/>
      <c r="T98" s="224">
        <v>100</v>
      </c>
      <c r="V98" s="38">
        <v>98</v>
      </c>
    </row>
    <row r="99" spans="1:22" ht="15.75" customHeight="1">
      <c r="A99" s="205">
        <v>20</v>
      </c>
      <c r="B99" s="179" t="s">
        <v>226</v>
      </c>
      <c r="C99" s="20" t="s">
        <v>262</v>
      </c>
      <c r="D99" s="20" t="s">
        <v>263</v>
      </c>
      <c r="E99" s="12">
        <v>88</v>
      </c>
      <c r="F99" s="20">
        <v>12</v>
      </c>
      <c r="G99" s="42">
        <v>500000</v>
      </c>
      <c r="H99" s="2"/>
      <c r="I99" s="2"/>
      <c r="J99" s="2"/>
      <c r="K99" s="2"/>
      <c r="L99" s="12" t="s">
        <v>265</v>
      </c>
      <c r="M99" s="484"/>
      <c r="N99" s="2"/>
      <c r="O99" s="20"/>
      <c r="P99" s="12" t="s">
        <v>265</v>
      </c>
      <c r="R99" s="2"/>
      <c r="S99" s="2"/>
      <c r="T99" s="224">
        <v>100</v>
      </c>
      <c r="V99" s="38">
        <v>99</v>
      </c>
    </row>
    <row r="100" spans="1:22" ht="15.75" customHeight="1">
      <c r="A100" s="205">
        <v>20</v>
      </c>
      <c r="B100" s="179" t="s">
        <v>227</v>
      </c>
      <c r="C100" s="20" t="s">
        <v>262</v>
      </c>
      <c r="D100" s="20" t="s">
        <v>263</v>
      </c>
      <c r="E100" s="12">
        <v>95</v>
      </c>
      <c r="F100" s="20">
        <v>5</v>
      </c>
      <c r="G100" s="20">
        <v>150000</v>
      </c>
      <c r="H100" s="2"/>
      <c r="I100" s="2"/>
      <c r="J100" s="2"/>
      <c r="K100" s="2"/>
      <c r="L100" s="12" t="s">
        <v>265</v>
      </c>
      <c r="M100" s="484"/>
      <c r="N100" s="2"/>
      <c r="O100" s="20"/>
      <c r="P100" s="12" t="s">
        <v>265</v>
      </c>
      <c r="R100" s="2"/>
      <c r="S100" s="2"/>
      <c r="T100" s="224">
        <v>100</v>
      </c>
      <c r="V100" s="38">
        <v>100</v>
      </c>
    </row>
    <row r="101" spans="1:22" ht="15.75" customHeight="1">
      <c r="A101" s="205">
        <v>20</v>
      </c>
      <c r="B101" s="179" t="s">
        <v>230</v>
      </c>
      <c r="C101" s="20" t="s">
        <v>262</v>
      </c>
      <c r="D101" s="20" t="s">
        <v>263</v>
      </c>
      <c r="E101" s="12">
        <v>80</v>
      </c>
      <c r="F101" s="20">
        <v>20</v>
      </c>
      <c r="G101" s="12">
        <v>280000</v>
      </c>
      <c r="H101" s="20"/>
      <c r="I101" s="2"/>
      <c r="J101" s="2"/>
      <c r="K101" s="2"/>
      <c r="L101" s="12" t="s">
        <v>265</v>
      </c>
      <c r="M101" s="484"/>
      <c r="N101" s="2"/>
      <c r="O101" s="20"/>
      <c r="P101" s="12" t="s">
        <v>265</v>
      </c>
      <c r="R101" s="2"/>
      <c r="S101" s="2"/>
      <c r="T101" s="224">
        <v>100</v>
      </c>
      <c r="V101" s="38">
        <v>101</v>
      </c>
    </row>
    <row r="102" spans="1:22" ht="15.75" customHeight="1">
      <c r="A102" s="205">
        <v>20</v>
      </c>
      <c r="B102" s="179" t="s">
        <v>231</v>
      </c>
      <c r="C102" s="20" t="s">
        <v>262</v>
      </c>
      <c r="D102" s="20" t="s">
        <v>263</v>
      </c>
      <c r="E102" s="12">
        <v>95</v>
      </c>
      <c r="F102" s="20">
        <v>5</v>
      </c>
      <c r="G102" s="12">
        <v>270000</v>
      </c>
      <c r="H102" s="2"/>
      <c r="I102" s="2"/>
      <c r="J102" s="2"/>
      <c r="K102" s="2"/>
      <c r="L102" s="12" t="s">
        <v>265</v>
      </c>
      <c r="M102" s="484"/>
      <c r="N102" s="2"/>
      <c r="O102" s="20"/>
      <c r="P102" s="12" t="s">
        <v>265</v>
      </c>
      <c r="R102" s="2"/>
      <c r="S102" s="2"/>
      <c r="T102" s="224">
        <v>100</v>
      </c>
      <c r="V102" s="38">
        <v>102</v>
      </c>
    </row>
    <row r="103" spans="1:22" ht="15.75" customHeight="1">
      <c r="A103" s="205">
        <v>20</v>
      </c>
      <c r="B103" s="179" t="s">
        <v>232</v>
      </c>
      <c r="C103" s="20" t="s">
        <v>262</v>
      </c>
      <c r="D103" s="20" t="s">
        <v>263</v>
      </c>
      <c r="E103" s="12">
        <v>88</v>
      </c>
      <c r="F103" s="20">
        <v>12</v>
      </c>
      <c r="G103" s="42">
        <v>500000</v>
      </c>
      <c r="H103" s="2"/>
      <c r="I103" s="2"/>
      <c r="J103" s="2"/>
      <c r="K103" s="2"/>
      <c r="L103" s="12" t="s">
        <v>265</v>
      </c>
      <c r="M103" s="484"/>
      <c r="N103" s="2"/>
      <c r="O103" s="20"/>
      <c r="P103" s="12" t="s">
        <v>265</v>
      </c>
      <c r="R103" s="2"/>
      <c r="S103" s="2"/>
      <c r="T103" s="224">
        <v>100</v>
      </c>
      <c r="V103" s="38">
        <v>103</v>
      </c>
    </row>
    <row r="104" spans="1:22" ht="15.75" customHeight="1">
      <c r="A104" s="205">
        <v>20</v>
      </c>
      <c r="B104" s="179" t="s">
        <v>233</v>
      </c>
      <c r="C104" s="20" t="s">
        <v>262</v>
      </c>
      <c r="D104" s="20" t="s">
        <v>263</v>
      </c>
      <c r="E104" s="12">
        <v>95</v>
      </c>
      <c r="F104" s="20">
        <v>5</v>
      </c>
      <c r="G104" s="20">
        <v>150000</v>
      </c>
      <c r="H104" s="2"/>
      <c r="I104" s="2"/>
      <c r="J104" s="2"/>
      <c r="K104" s="2"/>
      <c r="L104" s="12" t="s">
        <v>265</v>
      </c>
      <c r="M104" s="484"/>
      <c r="N104" s="2"/>
      <c r="O104" s="20"/>
      <c r="P104" s="12" t="s">
        <v>265</v>
      </c>
      <c r="R104" s="2"/>
      <c r="S104" s="2"/>
      <c r="T104" s="224">
        <v>100</v>
      </c>
      <c r="V104" s="38">
        <v>104</v>
      </c>
    </row>
    <row r="105" spans="1:22" ht="15.75" customHeight="1">
      <c r="A105" s="205">
        <v>20</v>
      </c>
      <c r="B105" s="179" t="s">
        <v>234</v>
      </c>
      <c r="C105" s="20" t="s">
        <v>262</v>
      </c>
      <c r="D105" s="20" t="s">
        <v>263</v>
      </c>
      <c r="E105" s="12">
        <v>80</v>
      </c>
      <c r="F105" s="20">
        <v>20</v>
      </c>
      <c r="G105" s="12">
        <v>280000</v>
      </c>
      <c r="H105" s="20"/>
      <c r="I105" s="2"/>
      <c r="J105" s="2"/>
      <c r="K105" s="2"/>
      <c r="L105" s="12" t="s">
        <v>265</v>
      </c>
      <c r="M105" s="484"/>
      <c r="N105" s="2"/>
      <c r="O105" s="20"/>
      <c r="P105" s="12" t="s">
        <v>265</v>
      </c>
      <c r="R105" s="2"/>
      <c r="S105" s="2"/>
      <c r="T105" s="224">
        <v>100</v>
      </c>
      <c r="V105" s="38">
        <v>105</v>
      </c>
    </row>
    <row r="106" spans="1:22" ht="15.75" customHeight="1">
      <c r="A106" s="205">
        <v>20</v>
      </c>
      <c r="B106" s="179" t="s">
        <v>235</v>
      </c>
      <c r="C106" s="20" t="s">
        <v>262</v>
      </c>
      <c r="D106" s="20" t="s">
        <v>263</v>
      </c>
      <c r="E106" s="12">
        <v>95</v>
      </c>
      <c r="F106" s="20">
        <v>5</v>
      </c>
      <c r="G106" s="12">
        <v>270000</v>
      </c>
      <c r="H106" s="2"/>
      <c r="I106" s="2"/>
      <c r="J106" s="2"/>
      <c r="K106" s="2"/>
      <c r="L106" s="12" t="s">
        <v>265</v>
      </c>
      <c r="M106" s="484"/>
      <c r="N106" s="2"/>
      <c r="O106" s="20"/>
      <c r="P106" s="12" t="s">
        <v>265</v>
      </c>
      <c r="R106" s="2"/>
      <c r="S106" s="2"/>
      <c r="T106" s="224">
        <v>100</v>
      </c>
      <c r="V106" s="38">
        <v>106</v>
      </c>
    </row>
    <row r="107" spans="1:22" ht="15.75" customHeight="1">
      <c r="A107" s="205">
        <v>20</v>
      </c>
      <c r="B107" s="179" t="s">
        <v>236</v>
      </c>
      <c r="C107" s="20" t="s">
        <v>262</v>
      </c>
      <c r="D107" s="20" t="s">
        <v>263</v>
      </c>
      <c r="E107" s="12">
        <v>88</v>
      </c>
      <c r="F107" s="20">
        <v>12</v>
      </c>
      <c r="G107" s="42">
        <v>500000</v>
      </c>
      <c r="H107" s="2"/>
      <c r="I107" s="2"/>
      <c r="J107" s="2"/>
      <c r="K107" s="2"/>
      <c r="L107" s="12" t="s">
        <v>265</v>
      </c>
      <c r="M107" s="484"/>
      <c r="N107" s="2"/>
      <c r="O107" s="20"/>
      <c r="P107" s="12" t="s">
        <v>265</v>
      </c>
      <c r="R107" s="2"/>
      <c r="S107" s="2"/>
      <c r="T107" s="224">
        <v>100</v>
      </c>
      <c r="V107" s="38">
        <v>107</v>
      </c>
    </row>
    <row r="108" spans="1:22" ht="15.75" customHeight="1">
      <c r="A108" s="205">
        <v>20</v>
      </c>
      <c r="B108" s="179" t="s">
        <v>237</v>
      </c>
      <c r="C108" s="20" t="s">
        <v>262</v>
      </c>
      <c r="D108" s="20" t="s">
        <v>263</v>
      </c>
      <c r="E108" s="12">
        <v>95</v>
      </c>
      <c r="F108" s="20">
        <v>5</v>
      </c>
      <c r="G108" s="20">
        <v>150000</v>
      </c>
      <c r="H108" s="2"/>
      <c r="I108" s="2"/>
      <c r="J108" s="2"/>
      <c r="K108" s="2"/>
      <c r="L108" s="12" t="s">
        <v>265</v>
      </c>
      <c r="M108" s="484"/>
      <c r="N108" s="2"/>
      <c r="O108" s="20"/>
      <c r="P108" s="12" t="s">
        <v>265</v>
      </c>
      <c r="R108" s="2"/>
      <c r="S108" s="2"/>
      <c r="T108" s="224">
        <v>100</v>
      </c>
      <c r="V108" s="38">
        <v>108</v>
      </c>
    </row>
    <row r="109" spans="1:22" ht="15.75" customHeight="1">
      <c r="A109" s="200">
        <v>20</v>
      </c>
      <c r="B109" s="59" t="s">
        <v>238</v>
      </c>
      <c r="C109" s="20" t="s">
        <v>262</v>
      </c>
      <c r="D109" s="20" t="s">
        <v>263</v>
      </c>
      <c r="E109" s="12">
        <v>80</v>
      </c>
      <c r="F109" s="20">
        <v>20</v>
      </c>
      <c r="G109" s="12">
        <v>280000</v>
      </c>
      <c r="H109" s="20"/>
      <c r="I109" s="2"/>
      <c r="J109" s="2"/>
      <c r="K109" s="2"/>
      <c r="L109" s="12" t="s">
        <v>265</v>
      </c>
      <c r="M109" s="484"/>
      <c r="N109" s="2"/>
      <c r="O109" s="20"/>
      <c r="P109" s="12" t="s">
        <v>265</v>
      </c>
      <c r="R109" s="2"/>
      <c r="S109" s="2"/>
      <c r="T109" s="224">
        <v>100</v>
      </c>
      <c r="V109" s="38">
        <v>109</v>
      </c>
    </row>
    <row r="110" spans="1:22" ht="15.75" customHeight="1">
      <c r="A110" s="200">
        <v>20</v>
      </c>
      <c r="B110" s="59" t="s">
        <v>239</v>
      </c>
      <c r="C110" s="20" t="s">
        <v>262</v>
      </c>
      <c r="D110" s="20" t="s">
        <v>263</v>
      </c>
      <c r="E110" s="12">
        <v>95</v>
      </c>
      <c r="F110" s="20">
        <v>5</v>
      </c>
      <c r="G110" s="12">
        <v>270000</v>
      </c>
      <c r="H110" s="2"/>
      <c r="I110" s="2"/>
      <c r="J110" s="2"/>
      <c r="K110" s="2"/>
      <c r="L110" s="12" t="s">
        <v>265</v>
      </c>
      <c r="M110" s="484"/>
      <c r="N110" s="2"/>
      <c r="O110" s="20"/>
      <c r="P110" s="12" t="s">
        <v>265</v>
      </c>
      <c r="R110" s="2"/>
      <c r="S110" s="2"/>
      <c r="T110" s="224">
        <v>100</v>
      </c>
      <c r="V110" s="38">
        <v>110</v>
      </c>
    </row>
    <row r="111" spans="1:22" ht="15.75" customHeight="1">
      <c r="A111" s="200">
        <v>20</v>
      </c>
      <c r="B111" s="59" t="s">
        <v>240</v>
      </c>
      <c r="C111" s="20" t="s">
        <v>262</v>
      </c>
      <c r="D111" s="20" t="s">
        <v>263</v>
      </c>
      <c r="E111" s="12">
        <v>88</v>
      </c>
      <c r="F111" s="20">
        <v>12</v>
      </c>
      <c r="G111" s="42">
        <v>500000</v>
      </c>
      <c r="H111" s="2"/>
      <c r="I111" s="2"/>
      <c r="J111" s="2"/>
      <c r="K111" s="2"/>
      <c r="L111" s="12" t="s">
        <v>265</v>
      </c>
      <c r="M111" s="484"/>
      <c r="N111" s="2"/>
      <c r="O111" s="20"/>
      <c r="P111" s="12" t="s">
        <v>265</v>
      </c>
      <c r="R111" s="2"/>
      <c r="S111" s="2"/>
      <c r="T111" s="224">
        <v>100</v>
      </c>
      <c r="V111" s="38">
        <v>111</v>
      </c>
    </row>
    <row r="112" spans="1:22" ht="15.75" customHeight="1">
      <c r="A112" s="200">
        <v>20</v>
      </c>
      <c r="B112" s="59" t="s">
        <v>241</v>
      </c>
      <c r="C112" s="20" t="s">
        <v>262</v>
      </c>
      <c r="D112" s="20" t="s">
        <v>263</v>
      </c>
      <c r="E112" s="12">
        <v>95</v>
      </c>
      <c r="F112" s="20">
        <v>5</v>
      </c>
      <c r="G112" s="20">
        <v>150000</v>
      </c>
      <c r="H112" s="2"/>
      <c r="I112" s="2"/>
      <c r="J112" s="2"/>
      <c r="K112" s="2"/>
      <c r="L112" s="12" t="s">
        <v>265</v>
      </c>
      <c r="M112" s="487"/>
      <c r="N112" s="2"/>
      <c r="O112" s="20"/>
      <c r="P112" s="24" t="s">
        <v>265</v>
      </c>
      <c r="R112" s="2"/>
      <c r="S112" s="2"/>
      <c r="T112" s="224">
        <v>100</v>
      </c>
      <c r="V112" s="38">
        <v>112</v>
      </c>
    </row>
    <row r="113" spans="1:22" ht="15.75" customHeight="1">
      <c r="A113" s="237">
        <v>21</v>
      </c>
      <c r="B113" s="58" t="s">
        <v>220</v>
      </c>
      <c r="C113" s="194" t="s">
        <v>262</v>
      </c>
      <c r="D113" s="194" t="s">
        <v>263</v>
      </c>
      <c r="E113" s="194">
        <v>3</v>
      </c>
      <c r="F113" s="194">
        <v>97</v>
      </c>
      <c r="G113" s="229">
        <v>350000</v>
      </c>
      <c r="H113" s="194"/>
      <c r="I113" s="194"/>
      <c r="J113" s="194"/>
      <c r="K113" s="194"/>
      <c r="L113" s="194" t="s">
        <v>265</v>
      </c>
      <c r="M113" s="484"/>
      <c r="N113" s="194"/>
      <c r="O113" s="194"/>
      <c r="P113" s="12" t="s">
        <v>265</v>
      </c>
      <c r="Q113" s="486"/>
      <c r="R113" s="194"/>
      <c r="S113" s="194"/>
      <c r="T113" s="236">
        <v>100</v>
      </c>
      <c r="V113" s="38">
        <v>113</v>
      </c>
    </row>
    <row r="114" spans="1:22" ht="15.75" customHeight="1">
      <c r="A114" s="205">
        <v>21</v>
      </c>
      <c r="B114" s="59" t="s">
        <v>221</v>
      </c>
      <c r="C114" s="20" t="s">
        <v>262</v>
      </c>
      <c r="D114" s="20" t="s">
        <v>263</v>
      </c>
      <c r="E114" s="20">
        <v>3</v>
      </c>
      <c r="F114" s="20">
        <v>97</v>
      </c>
      <c r="G114" s="42">
        <v>350000</v>
      </c>
      <c r="H114" s="20"/>
      <c r="I114" s="20"/>
      <c r="J114" s="20"/>
      <c r="K114" s="20"/>
      <c r="L114" s="20" t="s">
        <v>266</v>
      </c>
      <c r="M114" s="484" t="s">
        <v>561</v>
      </c>
      <c r="N114" s="20" t="s">
        <v>272</v>
      </c>
      <c r="O114" s="20">
        <v>10</v>
      </c>
      <c r="P114" s="12" t="s">
        <v>265</v>
      </c>
      <c r="Q114" s="484"/>
      <c r="R114" s="20"/>
      <c r="S114" s="20"/>
      <c r="T114" s="234">
        <v>90</v>
      </c>
      <c r="V114" s="38">
        <v>114</v>
      </c>
    </row>
    <row r="115" spans="1:22" ht="15.75" customHeight="1">
      <c r="A115" s="205">
        <v>21</v>
      </c>
      <c r="B115" s="59" t="s">
        <v>222</v>
      </c>
      <c r="C115" s="20" t="s">
        <v>262</v>
      </c>
      <c r="D115" s="20" t="s">
        <v>263</v>
      </c>
      <c r="E115" s="20">
        <v>3</v>
      </c>
      <c r="F115" s="20">
        <v>97</v>
      </c>
      <c r="G115" s="42">
        <v>350000</v>
      </c>
      <c r="H115" s="20"/>
      <c r="I115" s="20"/>
      <c r="J115" s="20"/>
      <c r="K115" s="20"/>
      <c r="L115" s="20" t="s">
        <v>266</v>
      </c>
      <c r="M115" s="484" t="s">
        <v>561</v>
      </c>
      <c r="N115" s="20" t="s">
        <v>272</v>
      </c>
      <c r="O115" s="20">
        <v>30</v>
      </c>
      <c r="P115" s="12" t="s">
        <v>265</v>
      </c>
      <c r="Q115" s="484"/>
      <c r="R115" s="20"/>
      <c r="S115" s="20"/>
      <c r="T115" s="234">
        <v>70</v>
      </c>
      <c r="V115" s="38">
        <v>115</v>
      </c>
    </row>
    <row r="116" spans="1:22" ht="15.75" customHeight="1">
      <c r="A116" s="205">
        <v>21</v>
      </c>
      <c r="B116" s="59" t="s">
        <v>223</v>
      </c>
      <c r="C116" s="20" t="s">
        <v>262</v>
      </c>
      <c r="D116" s="20" t="s">
        <v>263</v>
      </c>
      <c r="E116" s="20">
        <v>3</v>
      </c>
      <c r="F116" s="20">
        <v>97</v>
      </c>
      <c r="G116" s="42">
        <v>350000</v>
      </c>
      <c r="H116" s="20"/>
      <c r="I116" s="20"/>
      <c r="J116" s="20"/>
      <c r="K116" s="20"/>
      <c r="L116" s="20" t="s">
        <v>266</v>
      </c>
      <c r="M116" s="484" t="s">
        <v>561</v>
      </c>
      <c r="N116" s="20" t="s">
        <v>272</v>
      </c>
      <c r="O116" s="20">
        <v>50</v>
      </c>
      <c r="P116" s="12" t="s">
        <v>265</v>
      </c>
      <c r="Q116" s="484"/>
      <c r="R116" s="20"/>
      <c r="S116" s="20"/>
      <c r="T116" s="234">
        <v>50</v>
      </c>
      <c r="V116" s="38">
        <v>116</v>
      </c>
    </row>
    <row r="117" spans="1:22" ht="15.75" customHeight="1">
      <c r="A117" s="205">
        <v>21</v>
      </c>
      <c r="B117" s="59" t="s">
        <v>228</v>
      </c>
      <c r="C117" s="20" t="s">
        <v>262</v>
      </c>
      <c r="D117" s="20" t="s">
        <v>263</v>
      </c>
      <c r="E117" s="20">
        <v>0</v>
      </c>
      <c r="F117" s="20">
        <v>100</v>
      </c>
      <c r="G117" s="42">
        <v>350000</v>
      </c>
      <c r="H117" s="20"/>
      <c r="I117" s="20"/>
      <c r="J117" s="20"/>
      <c r="K117" s="20"/>
      <c r="L117" s="20" t="s">
        <v>265</v>
      </c>
      <c r="M117" s="484"/>
      <c r="N117" s="20"/>
      <c r="O117" s="20"/>
      <c r="P117" s="12" t="s">
        <v>265</v>
      </c>
      <c r="Q117" s="484"/>
      <c r="R117" s="20"/>
      <c r="S117" s="20"/>
      <c r="T117" s="234">
        <v>100</v>
      </c>
      <c r="V117" s="38">
        <v>117</v>
      </c>
    </row>
    <row r="118" spans="1:22" ht="15.75" customHeight="1">
      <c r="A118" s="205">
        <v>21</v>
      </c>
      <c r="B118" s="59" t="s">
        <v>242</v>
      </c>
      <c r="C118" s="20" t="s">
        <v>262</v>
      </c>
      <c r="D118" s="20" t="s">
        <v>263</v>
      </c>
      <c r="E118" s="20">
        <v>0</v>
      </c>
      <c r="F118" s="20">
        <v>100</v>
      </c>
      <c r="G118" s="42">
        <v>350000</v>
      </c>
      <c r="H118" s="20"/>
      <c r="I118" s="20"/>
      <c r="J118" s="20"/>
      <c r="K118" s="20"/>
      <c r="L118" s="20" t="s">
        <v>266</v>
      </c>
      <c r="M118" s="484" t="s">
        <v>561</v>
      </c>
      <c r="N118" s="20" t="s">
        <v>272</v>
      </c>
      <c r="O118" s="20">
        <v>10</v>
      </c>
      <c r="P118" s="12" t="s">
        <v>265</v>
      </c>
      <c r="Q118" s="484"/>
      <c r="R118" s="20"/>
      <c r="S118" s="20"/>
      <c r="T118" s="234">
        <v>90</v>
      </c>
      <c r="V118" s="38">
        <v>118</v>
      </c>
    </row>
    <row r="119" spans="1:22" ht="15.75" customHeight="1">
      <c r="A119" s="205">
        <v>21</v>
      </c>
      <c r="B119" s="59" t="s">
        <v>243</v>
      </c>
      <c r="C119" s="20" t="s">
        <v>262</v>
      </c>
      <c r="D119" s="20" t="s">
        <v>263</v>
      </c>
      <c r="E119" s="20">
        <v>0</v>
      </c>
      <c r="F119" s="20">
        <v>100</v>
      </c>
      <c r="G119" s="42">
        <v>350000</v>
      </c>
      <c r="H119" s="20"/>
      <c r="I119" s="20"/>
      <c r="J119" s="20"/>
      <c r="K119" s="20"/>
      <c r="L119" s="20" t="s">
        <v>266</v>
      </c>
      <c r="M119" s="484" t="s">
        <v>561</v>
      </c>
      <c r="N119" s="20" t="s">
        <v>272</v>
      </c>
      <c r="O119" s="20">
        <v>30</v>
      </c>
      <c r="P119" s="12" t="s">
        <v>265</v>
      </c>
      <c r="Q119" s="484"/>
      <c r="R119" s="20"/>
      <c r="S119" s="20"/>
      <c r="T119" s="234">
        <v>70</v>
      </c>
      <c r="V119" s="38">
        <v>119</v>
      </c>
    </row>
    <row r="120" spans="1:22" ht="15.75" customHeight="1">
      <c r="A120" s="205">
        <v>21</v>
      </c>
      <c r="B120" s="59" t="s">
        <v>244</v>
      </c>
      <c r="C120" s="26" t="s">
        <v>262</v>
      </c>
      <c r="D120" s="26" t="s">
        <v>263</v>
      </c>
      <c r="E120" s="26">
        <v>0</v>
      </c>
      <c r="F120" s="26">
        <v>100</v>
      </c>
      <c r="G120" s="43">
        <v>350000</v>
      </c>
      <c r="H120" s="26"/>
      <c r="I120" s="26"/>
      <c r="J120" s="26"/>
      <c r="K120" s="26"/>
      <c r="L120" s="26" t="s">
        <v>266</v>
      </c>
      <c r="M120" s="487" t="s">
        <v>561</v>
      </c>
      <c r="N120" s="26" t="s">
        <v>272</v>
      </c>
      <c r="O120" s="26">
        <v>50</v>
      </c>
      <c r="P120" s="24" t="s">
        <v>265</v>
      </c>
      <c r="Q120" s="485"/>
      <c r="R120" s="26"/>
      <c r="S120" s="26"/>
      <c r="T120" s="238">
        <v>50</v>
      </c>
      <c r="V120" s="38">
        <v>120</v>
      </c>
    </row>
    <row r="121" spans="1:22" ht="15.75" customHeight="1">
      <c r="A121" s="201">
        <v>21</v>
      </c>
      <c r="B121" s="58" t="s">
        <v>224</v>
      </c>
      <c r="C121" s="194" t="s">
        <v>262</v>
      </c>
      <c r="D121" s="194" t="s">
        <v>263</v>
      </c>
      <c r="E121" s="194">
        <v>3</v>
      </c>
      <c r="F121" s="194">
        <v>97</v>
      </c>
      <c r="G121" s="229">
        <v>350000</v>
      </c>
      <c r="H121" s="194"/>
      <c r="I121" s="194"/>
      <c r="J121" s="194"/>
      <c r="K121" s="194"/>
      <c r="L121" s="194" t="s">
        <v>265</v>
      </c>
      <c r="M121" s="484"/>
      <c r="N121" s="194"/>
      <c r="O121" s="194"/>
      <c r="P121" s="12" t="s">
        <v>265</v>
      </c>
      <c r="Q121" s="486"/>
      <c r="R121" s="194"/>
      <c r="S121" s="194"/>
      <c r="T121" s="236">
        <v>100</v>
      </c>
      <c r="V121" s="38">
        <v>121</v>
      </c>
    </row>
    <row r="122" spans="1:22" ht="15.75" customHeight="1">
      <c r="A122" s="200">
        <v>21</v>
      </c>
      <c r="B122" s="59" t="s">
        <v>225</v>
      </c>
      <c r="C122" s="20" t="s">
        <v>262</v>
      </c>
      <c r="D122" s="20" t="s">
        <v>263</v>
      </c>
      <c r="E122" s="20">
        <v>3</v>
      </c>
      <c r="F122" s="20">
        <v>97</v>
      </c>
      <c r="G122" s="42">
        <v>350000</v>
      </c>
      <c r="H122" s="20"/>
      <c r="I122" s="20"/>
      <c r="J122" s="20"/>
      <c r="K122" s="20"/>
      <c r="L122" s="20" t="s">
        <v>266</v>
      </c>
      <c r="M122" s="484" t="s">
        <v>561</v>
      </c>
      <c r="N122" s="20" t="s">
        <v>272</v>
      </c>
      <c r="O122" s="20">
        <v>10</v>
      </c>
      <c r="P122" s="12" t="s">
        <v>265</v>
      </c>
      <c r="Q122" s="484"/>
      <c r="R122" s="20"/>
      <c r="S122" s="20"/>
      <c r="T122" s="234">
        <v>90</v>
      </c>
      <c r="V122" s="38">
        <v>122</v>
      </c>
    </row>
    <row r="123" spans="1:22" ht="15.75" customHeight="1">
      <c r="A123" s="200">
        <v>21</v>
      </c>
      <c r="B123" s="59" t="s">
        <v>226</v>
      </c>
      <c r="C123" s="20" t="s">
        <v>262</v>
      </c>
      <c r="D123" s="20" t="s">
        <v>263</v>
      </c>
      <c r="E123" s="20">
        <v>3</v>
      </c>
      <c r="F123" s="20">
        <v>97</v>
      </c>
      <c r="G123" s="42">
        <v>350000</v>
      </c>
      <c r="H123" s="20"/>
      <c r="I123" s="20"/>
      <c r="J123" s="20"/>
      <c r="K123" s="20"/>
      <c r="L123" s="20" t="s">
        <v>266</v>
      </c>
      <c r="M123" s="484" t="s">
        <v>561</v>
      </c>
      <c r="N123" s="20" t="s">
        <v>272</v>
      </c>
      <c r="O123" s="20">
        <v>30</v>
      </c>
      <c r="P123" s="12" t="s">
        <v>265</v>
      </c>
      <c r="Q123" s="484"/>
      <c r="R123" s="20"/>
      <c r="S123" s="20"/>
      <c r="T123" s="234">
        <v>70</v>
      </c>
      <c r="V123" s="38">
        <v>123</v>
      </c>
    </row>
    <row r="124" spans="1:22" ht="15.75" customHeight="1">
      <c r="A124" s="200">
        <v>21</v>
      </c>
      <c r="B124" s="59" t="s">
        <v>227</v>
      </c>
      <c r="C124" s="20" t="s">
        <v>262</v>
      </c>
      <c r="D124" s="20" t="s">
        <v>263</v>
      </c>
      <c r="E124" s="20">
        <v>3</v>
      </c>
      <c r="F124" s="20">
        <v>97</v>
      </c>
      <c r="G124" s="42">
        <v>350000</v>
      </c>
      <c r="H124" s="20"/>
      <c r="I124" s="20"/>
      <c r="J124" s="20"/>
      <c r="K124" s="20"/>
      <c r="L124" s="20" t="s">
        <v>266</v>
      </c>
      <c r="M124" s="484" t="s">
        <v>561</v>
      </c>
      <c r="N124" s="20" t="s">
        <v>272</v>
      </c>
      <c r="O124" s="20">
        <v>50</v>
      </c>
      <c r="P124" s="12" t="s">
        <v>265</v>
      </c>
      <c r="Q124" s="484"/>
      <c r="R124" s="20"/>
      <c r="S124" s="20"/>
      <c r="T124" s="234">
        <v>50</v>
      </c>
      <c r="V124" s="38">
        <v>124</v>
      </c>
    </row>
    <row r="125" spans="1:22" ht="15.75" customHeight="1">
      <c r="A125" s="200">
        <v>21</v>
      </c>
      <c r="B125" s="59" t="s">
        <v>229</v>
      </c>
      <c r="C125" s="20" t="s">
        <v>262</v>
      </c>
      <c r="D125" s="20" t="s">
        <v>263</v>
      </c>
      <c r="E125" s="20">
        <v>0</v>
      </c>
      <c r="F125" s="20">
        <v>100</v>
      </c>
      <c r="G125" s="42">
        <v>350000</v>
      </c>
      <c r="H125" s="20"/>
      <c r="I125" s="20"/>
      <c r="J125" s="20"/>
      <c r="K125" s="20"/>
      <c r="L125" s="20" t="s">
        <v>265</v>
      </c>
      <c r="M125" s="484"/>
      <c r="N125" s="20"/>
      <c r="O125" s="20"/>
      <c r="P125" s="12" t="s">
        <v>265</v>
      </c>
      <c r="Q125" s="484"/>
      <c r="R125" s="20"/>
      <c r="S125" s="20"/>
      <c r="T125" s="234">
        <v>100</v>
      </c>
      <c r="V125" s="38">
        <v>125</v>
      </c>
    </row>
    <row r="126" spans="1:22" ht="15.75" customHeight="1">
      <c r="A126" s="200">
        <v>21</v>
      </c>
      <c r="B126" s="59" t="s">
        <v>245</v>
      </c>
      <c r="C126" s="20" t="s">
        <v>262</v>
      </c>
      <c r="D126" s="20" t="s">
        <v>263</v>
      </c>
      <c r="E126" s="20">
        <v>0</v>
      </c>
      <c r="F126" s="20">
        <v>100</v>
      </c>
      <c r="G126" s="42">
        <v>350000</v>
      </c>
      <c r="H126" s="20"/>
      <c r="I126" s="20"/>
      <c r="J126" s="20"/>
      <c r="K126" s="20"/>
      <c r="L126" s="20" t="s">
        <v>266</v>
      </c>
      <c r="M126" s="484" t="s">
        <v>561</v>
      </c>
      <c r="N126" s="20" t="s">
        <v>272</v>
      </c>
      <c r="O126" s="20">
        <v>10</v>
      </c>
      <c r="P126" s="12" t="s">
        <v>265</v>
      </c>
      <c r="Q126" s="484"/>
      <c r="R126" s="20"/>
      <c r="S126" s="20"/>
      <c r="T126" s="234">
        <v>90</v>
      </c>
      <c r="V126" s="38">
        <v>126</v>
      </c>
    </row>
    <row r="127" spans="1:22" ht="15.75" customHeight="1">
      <c r="A127" s="200">
        <v>21</v>
      </c>
      <c r="B127" s="59" t="s">
        <v>246</v>
      </c>
      <c r="C127" s="20" t="s">
        <v>262</v>
      </c>
      <c r="D127" s="20" t="s">
        <v>263</v>
      </c>
      <c r="E127" s="20">
        <v>0</v>
      </c>
      <c r="F127" s="20">
        <v>100</v>
      </c>
      <c r="G127" s="42">
        <v>350000</v>
      </c>
      <c r="H127" s="20"/>
      <c r="I127" s="20"/>
      <c r="J127" s="20"/>
      <c r="K127" s="20"/>
      <c r="L127" s="20" t="s">
        <v>266</v>
      </c>
      <c r="M127" s="484" t="s">
        <v>561</v>
      </c>
      <c r="N127" s="20" t="s">
        <v>272</v>
      </c>
      <c r="O127" s="20">
        <v>30</v>
      </c>
      <c r="P127" s="12" t="s">
        <v>265</v>
      </c>
      <c r="Q127" s="484"/>
      <c r="R127" s="20"/>
      <c r="S127" s="20"/>
      <c r="T127" s="234">
        <v>70</v>
      </c>
      <c r="V127" s="38">
        <v>127</v>
      </c>
    </row>
    <row r="128" spans="1:22" ht="15.75" customHeight="1">
      <c r="A128" s="202">
        <v>21</v>
      </c>
      <c r="B128" s="203" t="s">
        <v>247</v>
      </c>
      <c r="C128" s="26" t="s">
        <v>262</v>
      </c>
      <c r="D128" s="26" t="s">
        <v>263</v>
      </c>
      <c r="E128" s="26">
        <v>0</v>
      </c>
      <c r="F128" s="26">
        <v>100</v>
      </c>
      <c r="G128" s="43">
        <v>350000</v>
      </c>
      <c r="H128" s="26"/>
      <c r="I128" s="26"/>
      <c r="J128" s="26"/>
      <c r="K128" s="26"/>
      <c r="L128" s="26" t="s">
        <v>266</v>
      </c>
      <c r="M128" s="487" t="s">
        <v>561</v>
      </c>
      <c r="N128" s="26" t="s">
        <v>272</v>
      </c>
      <c r="O128" s="26">
        <v>50</v>
      </c>
      <c r="P128" s="24" t="s">
        <v>265</v>
      </c>
      <c r="Q128" s="485"/>
      <c r="R128" s="26"/>
      <c r="S128" s="26"/>
      <c r="T128" s="238">
        <v>50</v>
      </c>
      <c r="V128" s="38">
        <v>128</v>
      </c>
    </row>
    <row r="129" spans="1:22" ht="15.75" customHeight="1">
      <c r="A129" s="200">
        <v>22</v>
      </c>
      <c r="B129" s="59">
        <v>1</v>
      </c>
      <c r="C129" s="20" t="s">
        <v>262</v>
      </c>
      <c r="D129" s="20" t="s">
        <v>263</v>
      </c>
      <c r="E129" s="20">
        <v>3</v>
      </c>
      <c r="F129" s="20">
        <v>97</v>
      </c>
      <c r="G129" s="42">
        <v>300000</v>
      </c>
      <c r="H129" s="20"/>
      <c r="I129" s="20"/>
      <c r="J129" s="20"/>
      <c r="K129" s="20"/>
      <c r="L129" s="20" t="s">
        <v>265</v>
      </c>
      <c r="M129" s="484"/>
      <c r="N129" s="20"/>
      <c r="O129" s="20"/>
      <c r="P129" s="12" t="s">
        <v>265</v>
      </c>
      <c r="Q129" s="484"/>
      <c r="R129" s="20"/>
      <c r="S129" s="20"/>
      <c r="T129" s="234">
        <v>100</v>
      </c>
      <c r="V129" s="38">
        <v>129</v>
      </c>
    </row>
    <row r="130" spans="1:22" ht="15.75" customHeight="1">
      <c r="A130" s="200">
        <v>22</v>
      </c>
      <c r="B130" s="59">
        <v>2</v>
      </c>
      <c r="C130" s="20" t="s">
        <v>262</v>
      </c>
      <c r="D130" s="20" t="s">
        <v>263</v>
      </c>
      <c r="E130" s="20">
        <v>3</v>
      </c>
      <c r="F130" s="20">
        <v>97</v>
      </c>
      <c r="G130" s="42">
        <v>300000</v>
      </c>
      <c r="H130" s="20"/>
      <c r="I130" s="20"/>
      <c r="J130" s="20"/>
      <c r="K130" s="20"/>
      <c r="L130" s="20" t="s">
        <v>266</v>
      </c>
      <c r="M130" s="484" t="s">
        <v>561</v>
      </c>
      <c r="N130" s="20" t="s">
        <v>273</v>
      </c>
      <c r="O130" s="20">
        <v>0.1</v>
      </c>
      <c r="P130" s="12" t="s">
        <v>265</v>
      </c>
      <c r="Q130" s="484"/>
      <c r="R130" s="20"/>
      <c r="S130" s="20"/>
      <c r="T130" s="234">
        <v>99.9</v>
      </c>
      <c r="V130" s="38">
        <v>130</v>
      </c>
    </row>
    <row r="131" spans="1:22" ht="15.75" customHeight="1">
      <c r="A131" s="200">
        <v>22</v>
      </c>
      <c r="B131" s="59">
        <v>3</v>
      </c>
      <c r="C131" s="20" t="s">
        <v>262</v>
      </c>
      <c r="D131" s="20" t="s">
        <v>263</v>
      </c>
      <c r="E131" s="20">
        <v>3</v>
      </c>
      <c r="F131" s="20">
        <v>97</v>
      </c>
      <c r="G131" s="42">
        <v>300000</v>
      </c>
      <c r="H131" s="20"/>
      <c r="I131" s="20"/>
      <c r="J131" s="20"/>
      <c r="K131" s="20"/>
      <c r="L131" s="20" t="s">
        <v>266</v>
      </c>
      <c r="M131" s="484" t="s">
        <v>561</v>
      </c>
      <c r="N131" s="20" t="s">
        <v>273</v>
      </c>
      <c r="O131" s="20">
        <v>0.2</v>
      </c>
      <c r="P131" s="12" t="s">
        <v>265</v>
      </c>
      <c r="Q131" s="484"/>
      <c r="R131" s="20"/>
      <c r="S131" s="20"/>
      <c r="T131" s="234">
        <v>99.8</v>
      </c>
      <c r="V131" s="38">
        <v>131</v>
      </c>
    </row>
    <row r="132" spans="1:22" ht="15.75" customHeight="1">
      <c r="A132" s="200">
        <v>22</v>
      </c>
      <c r="B132" s="59">
        <v>4</v>
      </c>
      <c r="C132" s="20" t="s">
        <v>262</v>
      </c>
      <c r="D132" s="20" t="s">
        <v>263</v>
      </c>
      <c r="E132" s="20">
        <v>3</v>
      </c>
      <c r="F132" s="20">
        <v>97</v>
      </c>
      <c r="G132" s="42">
        <v>300000</v>
      </c>
      <c r="H132" s="20"/>
      <c r="I132" s="20"/>
      <c r="J132" s="20"/>
      <c r="K132" s="20"/>
      <c r="L132" s="20" t="s">
        <v>266</v>
      </c>
      <c r="M132" s="484" t="s">
        <v>561</v>
      </c>
      <c r="N132" s="20" t="s">
        <v>273</v>
      </c>
      <c r="O132" s="20">
        <v>0.3</v>
      </c>
      <c r="P132" s="12" t="s">
        <v>265</v>
      </c>
      <c r="Q132" s="484"/>
      <c r="R132" s="20"/>
      <c r="S132" s="20"/>
      <c r="T132" s="234">
        <v>99.7</v>
      </c>
      <c r="V132" s="38">
        <v>132</v>
      </c>
    </row>
    <row r="133" spans="1:22" ht="15.75" customHeight="1">
      <c r="A133" s="200">
        <v>22</v>
      </c>
      <c r="B133" s="59">
        <v>5</v>
      </c>
      <c r="C133" s="20" t="s">
        <v>262</v>
      </c>
      <c r="D133" s="20" t="s">
        <v>263</v>
      </c>
      <c r="E133" s="20">
        <v>3</v>
      </c>
      <c r="F133" s="20">
        <v>97</v>
      </c>
      <c r="G133" s="42">
        <v>300000</v>
      </c>
      <c r="H133" s="20"/>
      <c r="I133" s="20"/>
      <c r="J133" s="20"/>
      <c r="K133" s="20"/>
      <c r="L133" s="20" t="s">
        <v>266</v>
      </c>
      <c r="M133" s="484" t="s">
        <v>561</v>
      </c>
      <c r="N133" s="20" t="s">
        <v>273</v>
      </c>
      <c r="O133" s="20">
        <v>0.4</v>
      </c>
      <c r="P133" s="12" t="s">
        <v>265</v>
      </c>
      <c r="Q133" s="484"/>
      <c r="R133" s="20"/>
      <c r="S133" s="20"/>
      <c r="T133" s="234">
        <v>99.6</v>
      </c>
      <c r="V133" s="38">
        <v>133</v>
      </c>
    </row>
    <row r="134" spans="1:22" ht="15.75" customHeight="1">
      <c r="A134" s="200">
        <v>22</v>
      </c>
      <c r="B134" s="59">
        <v>6</v>
      </c>
      <c r="C134" s="20" t="s">
        <v>262</v>
      </c>
      <c r="D134" s="20" t="s">
        <v>263</v>
      </c>
      <c r="E134" s="20">
        <v>3</v>
      </c>
      <c r="F134" s="20">
        <v>97</v>
      </c>
      <c r="G134" s="42">
        <v>300000</v>
      </c>
      <c r="H134" s="20"/>
      <c r="I134" s="20"/>
      <c r="J134" s="20"/>
      <c r="K134" s="20"/>
      <c r="L134" s="20" t="s">
        <v>266</v>
      </c>
      <c r="M134" s="484" t="s">
        <v>561</v>
      </c>
      <c r="N134" s="20" t="s">
        <v>273</v>
      </c>
      <c r="O134" s="20">
        <v>0.5</v>
      </c>
      <c r="P134" s="12" t="s">
        <v>265</v>
      </c>
      <c r="Q134" s="484"/>
      <c r="R134" s="20"/>
      <c r="S134" s="20"/>
      <c r="T134" s="234">
        <v>99.5</v>
      </c>
      <c r="V134" s="38">
        <v>134</v>
      </c>
    </row>
    <row r="135" spans="1:22" ht="15.75" customHeight="1">
      <c r="A135" s="200">
        <v>22</v>
      </c>
      <c r="B135" s="59">
        <v>7</v>
      </c>
      <c r="C135" s="20" t="s">
        <v>262</v>
      </c>
      <c r="D135" s="20" t="s">
        <v>263</v>
      </c>
      <c r="E135" s="20">
        <v>3</v>
      </c>
      <c r="F135" s="20">
        <v>97</v>
      </c>
      <c r="G135" s="42">
        <v>300000</v>
      </c>
      <c r="H135" s="20"/>
      <c r="I135" s="20"/>
      <c r="J135" s="20"/>
      <c r="K135" s="20"/>
      <c r="L135" s="20" t="s">
        <v>266</v>
      </c>
      <c r="M135" s="484" t="s">
        <v>561</v>
      </c>
      <c r="N135" s="20" t="s">
        <v>273</v>
      </c>
      <c r="O135" s="20">
        <v>0.6</v>
      </c>
      <c r="P135" s="12" t="s">
        <v>265</v>
      </c>
      <c r="Q135" s="484"/>
      <c r="R135" s="20"/>
      <c r="S135" s="20"/>
      <c r="T135" s="234">
        <v>99.4</v>
      </c>
      <c r="V135" s="38">
        <v>135</v>
      </c>
    </row>
    <row r="136" spans="1:22" ht="15.75" customHeight="1">
      <c r="A136" s="200">
        <v>22</v>
      </c>
      <c r="B136" s="59">
        <v>8</v>
      </c>
      <c r="C136" s="20" t="s">
        <v>262</v>
      </c>
      <c r="D136" s="20" t="s">
        <v>263</v>
      </c>
      <c r="E136" s="20">
        <v>3</v>
      </c>
      <c r="F136" s="20">
        <v>97</v>
      </c>
      <c r="G136" s="42">
        <v>300000</v>
      </c>
      <c r="H136" s="20"/>
      <c r="I136" s="20"/>
      <c r="J136" s="20"/>
      <c r="K136" s="20"/>
      <c r="L136" s="20" t="s">
        <v>266</v>
      </c>
      <c r="M136" s="484" t="s">
        <v>561</v>
      </c>
      <c r="N136" s="20" t="s">
        <v>273</v>
      </c>
      <c r="O136" s="20">
        <v>0.7</v>
      </c>
      <c r="P136" s="24" t="s">
        <v>265</v>
      </c>
      <c r="Q136" s="484"/>
      <c r="R136" s="20"/>
      <c r="S136" s="20"/>
      <c r="T136" s="234">
        <v>99.3</v>
      </c>
      <c r="V136" s="38">
        <v>136</v>
      </c>
    </row>
    <row r="137" spans="1:22" ht="15.75" customHeight="1">
      <c r="A137" s="201">
        <v>23</v>
      </c>
      <c r="B137" s="58">
        <v>1</v>
      </c>
      <c r="C137" s="194" t="s">
        <v>262</v>
      </c>
      <c r="D137" s="194" t="s">
        <v>263</v>
      </c>
      <c r="E137" s="199">
        <v>92</v>
      </c>
      <c r="F137" s="199">
        <v>8</v>
      </c>
      <c r="G137" s="229"/>
      <c r="H137" s="206"/>
      <c r="I137" s="194">
        <v>1.25</v>
      </c>
      <c r="J137" s="194" t="s">
        <v>264</v>
      </c>
      <c r="K137" s="206"/>
      <c r="L137" s="194" t="s">
        <v>265</v>
      </c>
      <c r="M137" s="486"/>
      <c r="N137" s="206"/>
      <c r="O137" s="194"/>
      <c r="P137" s="12" t="s">
        <v>265</v>
      </c>
      <c r="Q137" s="490"/>
      <c r="R137" s="206"/>
      <c r="S137" s="206"/>
      <c r="T137" s="236">
        <v>100</v>
      </c>
      <c r="V137" s="38">
        <v>137</v>
      </c>
    </row>
    <row r="138" spans="1:22" ht="15.75" customHeight="1">
      <c r="A138" s="200">
        <v>23</v>
      </c>
      <c r="B138" s="59">
        <v>2</v>
      </c>
      <c r="C138" s="20" t="s">
        <v>262</v>
      </c>
      <c r="D138" s="20" t="s">
        <v>263</v>
      </c>
      <c r="E138" s="12">
        <v>92</v>
      </c>
      <c r="F138" s="12">
        <v>8</v>
      </c>
      <c r="G138" s="42"/>
      <c r="H138" s="2"/>
      <c r="I138" s="20">
        <v>1.25</v>
      </c>
      <c r="J138" s="20" t="s">
        <v>264</v>
      </c>
      <c r="K138" s="2"/>
      <c r="L138" s="20" t="s">
        <v>266</v>
      </c>
      <c r="M138" s="484" t="s">
        <v>560</v>
      </c>
      <c r="N138" s="20" t="s">
        <v>161</v>
      </c>
      <c r="O138" s="20">
        <v>0.1</v>
      </c>
      <c r="P138" s="12" t="s">
        <v>265</v>
      </c>
      <c r="R138" s="2"/>
      <c r="S138" s="2"/>
      <c r="T138" s="234">
        <v>99.9</v>
      </c>
      <c r="V138" s="38">
        <v>138</v>
      </c>
    </row>
    <row r="139" spans="1:22" ht="15.75" customHeight="1">
      <c r="A139" s="200">
        <v>23</v>
      </c>
      <c r="B139" s="59">
        <v>3</v>
      </c>
      <c r="C139" s="20" t="s">
        <v>262</v>
      </c>
      <c r="D139" s="20" t="s">
        <v>263</v>
      </c>
      <c r="E139" s="12">
        <v>92</v>
      </c>
      <c r="F139" s="12">
        <v>8</v>
      </c>
      <c r="G139" s="42"/>
      <c r="H139" s="2"/>
      <c r="I139" s="20">
        <v>1.25</v>
      </c>
      <c r="J139" s="20" t="s">
        <v>264</v>
      </c>
      <c r="K139" s="2"/>
      <c r="L139" s="20" t="s">
        <v>266</v>
      </c>
      <c r="M139" s="484" t="s">
        <v>560</v>
      </c>
      <c r="N139" s="20" t="s">
        <v>161</v>
      </c>
      <c r="O139" s="20">
        <v>3</v>
      </c>
      <c r="P139" s="12" t="s">
        <v>265</v>
      </c>
      <c r="R139" s="2"/>
      <c r="S139" s="2"/>
      <c r="T139" s="234">
        <v>97</v>
      </c>
      <c r="V139" s="38">
        <v>139</v>
      </c>
    </row>
    <row r="140" spans="1:22" ht="15.75" customHeight="1">
      <c r="A140" s="200">
        <v>23</v>
      </c>
      <c r="B140" s="59">
        <v>4</v>
      </c>
      <c r="C140" s="20" t="s">
        <v>262</v>
      </c>
      <c r="D140" s="20" t="s">
        <v>263</v>
      </c>
      <c r="E140" s="12">
        <v>92</v>
      </c>
      <c r="F140" s="12">
        <v>8</v>
      </c>
      <c r="G140" s="42"/>
      <c r="H140" s="2"/>
      <c r="I140" s="20">
        <v>1.25</v>
      </c>
      <c r="J140" s="20" t="s">
        <v>264</v>
      </c>
      <c r="K140" s="2"/>
      <c r="L140" s="20" t="s">
        <v>266</v>
      </c>
      <c r="M140" s="484" t="s">
        <v>560</v>
      </c>
      <c r="N140" s="20" t="s">
        <v>161</v>
      </c>
      <c r="O140" s="20">
        <v>5</v>
      </c>
      <c r="P140" s="12" t="s">
        <v>265</v>
      </c>
      <c r="R140" s="2"/>
      <c r="S140" s="2"/>
      <c r="T140" s="234">
        <v>95</v>
      </c>
      <c r="V140" s="38">
        <v>140</v>
      </c>
    </row>
    <row r="141" spans="1:22" ht="15.75" customHeight="1">
      <c r="A141" s="202">
        <v>23</v>
      </c>
      <c r="B141" s="203">
        <v>5</v>
      </c>
      <c r="C141" s="20" t="s">
        <v>262</v>
      </c>
      <c r="D141" s="20" t="s">
        <v>263</v>
      </c>
      <c r="E141" s="24">
        <v>92</v>
      </c>
      <c r="F141" s="24">
        <v>8</v>
      </c>
      <c r="G141" s="43"/>
      <c r="H141" s="30"/>
      <c r="I141" s="26">
        <v>1.25</v>
      </c>
      <c r="J141" s="26" t="s">
        <v>264</v>
      </c>
      <c r="K141" s="30"/>
      <c r="L141" s="26" t="s">
        <v>266</v>
      </c>
      <c r="M141" s="487" t="s">
        <v>560</v>
      </c>
      <c r="N141" s="26" t="s">
        <v>161</v>
      </c>
      <c r="O141" s="26">
        <v>7</v>
      </c>
      <c r="P141" s="24" t="s">
        <v>265</v>
      </c>
      <c r="Q141" s="492"/>
      <c r="R141" s="30"/>
      <c r="S141" s="30"/>
      <c r="T141" s="238">
        <v>93</v>
      </c>
      <c r="V141" s="38">
        <v>141</v>
      </c>
    </row>
    <row r="142" spans="1:22" ht="15.75" customHeight="1">
      <c r="A142" s="210">
        <v>24</v>
      </c>
      <c r="B142" s="211">
        <v>1</v>
      </c>
      <c r="C142" s="241" t="s">
        <v>262</v>
      </c>
      <c r="D142" s="241" t="s">
        <v>263</v>
      </c>
      <c r="E142" s="53">
        <v>1.5</v>
      </c>
      <c r="F142" s="53">
        <v>98.5</v>
      </c>
      <c r="G142" s="54">
        <v>400000</v>
      </c>
      <c r="H142" s="53"/>
      <c r="I142" s="53"/>
      <c r="J142" s="53"/>
      <c r="K142" s="53"/>
      <c r="L142" s="53" t="s">
        <v>265</v>
      </c>
      <c r="M142" s="488"/>
      <c r="N142" s="53"/>
      <c r="O142" s="53"/>
      <c r="P142" s="12" t="s">
        <v>265</v>
      </c>
      <c r="Q142" s="488"/>
      <c r="R142" s="53"/>
      <c r="S142" s="53"/>
      <c r="T142" s="242">
        <v>100</v>
      </c>
      <c r="V142" s="38">
        <v>142</v>
      </c>
    </row>
    <row r="143" spans="1:22" ht="15.75" customHeight="1">
      <c r="A143" s="210">
        <v>24</v>
      </c>
      <c r="B143" s="211">
        <v>2</v>
      </c>
      <c r="C143" s="53" t="s">
        <v>262</v>
      </c>
      <c r="D143" s="53" t="s">
        <v>263</v>
      </c>
      <c r="E143" s="53">
        <v>1.5</v>
      </c>
      <c r="F143" s="53">
        <v>98.5</v>
      </c>
      <c r="G143" s="54">
        <v>400000</v>
      </c>
      <c r="H143" s="53"/>
      <c r="I143" s="53"/>
      <c r="J143" s="53"/>
      <c r="K143" s="53"/>
      <c r="L143" s="53" t="s">
        <v>266</v>
      </c>
      <c r="M143" s="484" t="s">
        <v>560</v>
      </c>
      <c r="N143" s="53" t="s">
        <v>134</v>
      </c>
      <c r="O143" s="53">
        <v>0.5</v>
      </c>
      <c r="P143" s="12" t="s">
        <v>265</v>
      </c>
      <c r="Q143" s="488"/>
      <c r="R143" s="53"/>
      <c r="S143" s="53"/>
      <c r="T143" s="242">
        <v>99.5</v>
      </c>
      <c r="V143" s="38">
        <v>143</v>
      </c>
    </row>
    <row r="144" spans="1:22" ht="15.75" customHeight="1">
      <c r="A144" s="210">
        <v>24</v>
      </c>
      <c r="B144" s="211">
        <v>3</v>
      </c>
      <c r="C144" s="53" t="s">
        <v>262</v>
      </c>
      <c r="D144" s="53" t="s">
        <v>263</v>
      </c>
      <c r="E144" s="53">
        <v>1.5</v>
      </c>
      <c r="F144" s="53">
        <v>98.5</v>
      </c>
      <c r="G144" s="54">
        <v>400000</v>
      </c>
      <c r="H144" s="53"/>
      <c r="I144" s="53"/>
      <c r="J144" s="53"/>
      <c r="K144" s="53"/>
      <c r="L144" s="53" t="s">
        <v>266</v>
      </c>
      <c r="M144" s="484" t="s">
        <v>560</v>
      </c>
      <c r="N144" s="53" t="s">
        <v>134</v>
      </c>
      <c r="O144" s="53">
        <v>1</v>
      </c>
      <c r="P144" s="12" t="s">
        <v>265</v>
      </c>
      <c r="Q144" s="488"/>
      <c r="R144" s="53"/>
      <c r="S144" s="53"/>
      <c r="T144" s="242">
        <v>99</v>
      </c>
      <c r="V144" s="38">
        <v>144</v>
      </c>
    </row>
    <row r="145" spans="1:22" ht="15.75" customHeight="1">
      <c r="A145" s="210">
        <v>24</v>
      </c>
      <c r="B145" s="211">
        <v>4</v>
      </c>
      <c r="C145" s="53" t="s">
        <v>262</v>
      </c>
      <c r="D145" s="53" t="s">
        <v>263</v>
      </c>
      <c r="E145" s="53">
        <v>1.5</v>
      </c>
      <c r="F145" s="53">
        <v>98.5</v>
      </c>
      <c r="G145" s="54">
        <v>400000</v>
      </c>
      <c r="H145" s="53"/>
      <c r="I145" s="53"/>
      <c r="J145" s="53"/>
      <c r="K145" s="53"/>
      <c r="L145" s="53" t="s">
        <v>266</v>
      </c>
      <c r="M145" s="484" t="s">
        <v>560</v>
      </c>
      <c r="N145" s="53" t="s">
        <v>134</v>
      </c>
      <c r="O145" s="53">
        <v>1.5</v>
      </c>
      <c r="P145" s="12" t="s">
        <v>265</v>
      </c>
      <c r="Q145" s="488"/>
      <c r="R145" s="53"/>
      <c r="S145" s="53"/>
      <c r="T145" s="242">
        <v>98.5</v>
      </c>
      <c r="V145" s="38">
        <v>145</v>
      </c>
    </row>
    <row r="146" spans="1:22" ht="15.75" customHeight="1">
      <c r="A146" s="210">
        <v>24</v>
      </c>
      <c r="B146" s="211">
        <v>5</v>
      </c>
      <c r="C146" s="53" t="s">
        <v>262</v>
      </c>
      <c r="D146" s="53" t="s">
        <v>263</v>
      </c>
      <c r="E146" s="53">
        <v>1.5</v>
      </c>
      <c r="F146" s="53">
        <v>98.5</v>
      </c>
      <c r="G146" s="54">
        <v>400000</v>
      </c>
      <c r="H146" s="53"/>
      <c r="I146" s="53"/>
      <c r="J146" s="53"/>
      <c r="K146" s="53"/>
      <c r="L146" s="53" t="s">
        <v>266</v>
      </c>
      <c r="M146" s="484" t="s">
        <v>560</v>
      </c>
      <c r="N146" s="53" t="s">
        <v>134</v>
      </c>
      <c r="O146" s="53">
        <v>2</v>
      </c>
      <c r="P146" s="12" t="s">
        <v>265</v>
      </c>
      <c r="Q146" s="488"/>
      <c r="R146" s="53"/>
      <c r="S146" s="53"/>
      <c r="T146" s="242">
        <v>98</v>
      </c>
      <c r="V146" s="38">
        <v>146</v>
      </c>
    </row>
    <row r="147" spans="1:22" ht="15.75" customHeight="1">
      <c r="A147" s="210">
        <v>24</v>
      </c>
      <c r="B147" s="211">
        <v>6</v>
      </c>
      <c r="C147" s="53" t="s">
        <v>262</v>
      </c>
      <c r="D147" s="53" t="s">
        <v>263</v>
      </c>
      <c r="E147" s="53">
        <v>1.5</v>
      </c>
      <c r="F147" s="53">
        <v>98.5</v>
      </c>
      <c r="G147" s="54">
        <v>400000</v>
      </c>
      <c r="H147" s="53"/>
      <c r="I147" s="53"/>
      <c r="J147" s="53"/>
      <c r="K147" s="53"/>
      <c r="L147" s="53" t="s">
        <v>266</v>
      </c>
      <c r="M147" s="484" t="s">
        <v>560</v>
      </c>
      <c r="N147" s="53" t="s">
        <v>134</v>
      </c>
      <c r="O147" s="53">
        <v>3</v>
      </c>
      <c r="P147" s="12" t="s">
        <v>265</v>
      </c>
      <c r="Q147" s="488"/>
      <c r="R147" s="53"/>
      <c r="S147" s="53"/>
      <c r="T147" s="242">
        <v>97</v>
      </c>
      <c r="V147" s="38">
        <v>147</v>
      </c>
    </row>
    <row r="148" spans="1:22" ht="15.75" customHeight="1">
      <c r="A148" s="210">
        <v>24</v>
      </c>
      <c r="B148" s="211">
        <v>7</v>
      </c>
      <c r="C148" s="53" t="s">
        <v>262</v>
      </c>
      <c r="D148" s="53" t="s">
        <v>263</v>
      </c>
      <c r="E148" s="53">
        <v>1.5</v>
      </c>
      <c r="F148" s="53">
        <v>98.5</v>
      </c>
      <c r="G148" s="54">
        <v>400000</v>
      </c>
      <c r="H148" s="53"/>
      <c r="I148" s="53"/>
      <c r="J148" s="53"/>
      <c r="K148" s="53"/>
      <c r="L148" s="53" t="s">
        <v>266</v>
      </c>
      <c r="M148" s="484" t="s">
        <v>560</v>
      </c>
      <c r="N148" s="53" t="s">
        <v>134</v>
      </c>
      <c r="O148" s="53">
        <v>5</v>
      </c>
      <c r="P148" s="24" t="s">
        <v>265</v>
      </c>
      <c r="Q148" s="488"/>
      <c r="R148" s="53"/>
      <c r="S148" s="53"/>
      <c r="T148" s="242">
        <v>95</v>
      </c>
      <c r="V148" s="38">
        <v>148</v>
      </c>
    </row>
    <row r="149" spans="1:22" ht="15.75" customHeight="1">
      <c r="A149" s="201">
        <v>25</v>
      </c>
      <c r="B149" s="58">
        <v>1</v>
      </c>
      <c r="C149" s="241" t="s">
        <v>262</v>
      </c>
      <c r="D149" s="241" t="s">
        <v>263</v>
      </c>
      <c r="E149" s="194">
        <v>20</v>
      </c>
      <c r="F149" s="194">
        <v>80</v>
      </c>
      <c r="G149" s="229">
        <v>380000</v>
      </c>
      <c r="H149" s="194"/>
      <c r="I149" s="194"/>
      <c r="J149" s="194"/>
      <c r="K149" s="194"/>
      <c r="L149" s="194" t="s">
        <v>265</v>
      </c>
      <c r="M149" s="486"/>
      <c r="N149" s="194"/>
      <c r="O149" s="194"/>
      <c r="P149" s="12" t="s">
        <v>265</v>
      </c>
      <c r="Q149" s="486"/>
      <c r="R149" s="194"/>
      <c r="S149" s="194"/>
      <c r="T149" s="227">
        <v>100</v>
      </c>
      <c r="V149" s="38">
        <v>149</v>
      </c>
    </row>
    <row r="150" spans="1:22" ht="15.75" customHeight="1">
      <c r="A150" s="200">
        <v>25</v>
      </c>
      <c r="B150" s="59">
        <v>2</v>
      </c>
      <c r="C150" s="53" t="s">
        <v>262</v>
      </c>
      <c r="D150" s="53" t="s">
        <v>263</v>
      </c>
      <c r="E150" s="20">
        <v>20</v>
      </c>
      <c r="F150" s="20">
        <v>80</v>
      </c>
      <c r="G150" s="42">
        <v>380000</v>
      </c>
      <c r="H150" s="20"/>
      <c r="I150" s="20"/>
      <c r="J150" s="20"/>
      <c r="K150" s="20"/>
      <c r="L150" s="20" t="s">
        <v>266</v>
      </c>
      <c r="M150" s="484" t="s">
        <v>560</v>
      </c>
      <c r="N150" s="20" t="s">
        <v>136</v>
      </c>
      <c r="O150" s="20">
        <v>0.1</v>
      </c>
      <c r="P150" s="12" t="s">
        <v>265</v>
      </c>
      <c r="Q150" s="484"/>
      <c r="R150" s="20"/>
      <c r="S150" s="20"/>
      <c r="T150" s="234">
        <v>99.9</v>
      </c>
      <c r="V150" s="38">
        <v>150</v>
      </c>
    </row>
    <row r="151" spans="1:22" ht="15.75" customHeight="1">
      <c r="A151" s="200">
        <v>25</v>
      </c>
      <c r="B151" s="59">
        <v>3</v>
      </c>
      <c r="C151" s="53" t="s">
        <v>262</v>
      </c>
      <c r="D151" s="53" t="s">
        <v>263</v>
      </c>
      <c r="E151" s="20">
        <v>20</v>
      </c>
      <c r="F151" s="20">
        <v>80</v>
      </c>
      <c r="G151" s="42">
        <v>380000</v>
      </c>
      <c r="H151" s="20"/>
      <c r="I151" s="20"/>
      <c r="J151" s="20"/>
      <c r="K151" s="20"/>
      <c r="L151" s="20" t="s">
        <v>266</v>
      </c>
      <c r="M151" s="484" t="s">
        <v>560</v>
      </c>
      <c r="N151" s="20" t="s">
        <v>136</v>
      </c>
      <c r="O151" s="20">
        <v>0.5</v>
      </c>
      <c r="P151" s="12" t="s">
        <v>265</v>
      </c>
      <c r="Q151" s="484"/>
      <c r="R151" s="20"/>
      <c r="S151" s="20"/>
      <c r="T151" s="234">
        <v>99.5</v>
      </c>
      <c r="V151" s="38">
        <v>151</v>
      </c>
    </row>
    <row r="152" spans="1:22" ht="15.75" customHeight="1">
      <c r="A152" s="202">
        <v>25</v>
      </c>
      <c r="B152" s="203">
        <v>4</v>
      </c>
      <c r="C152" s="55" t="s">
        <v>262</v>
      </c>
      <c r="D152" s="55" t="s">
        <v>263</v>
      </c>
      <c r="E152" s="26">
        <v>20</v>
      </c>
      <c r="F152" s="26">
        <v>80</v>
      </c>
      <c r="G152" s="43">
        <v>380000</v>
      </c>
      <c r="H152" s="26"/>
      <c r="I152" s="26"/>
      <c r="J152" s="26"/>
      <c r="K152" s="26"/>
      <c r="L152" s="26" t="s">
        <v>266</v>
      </c>
      <c r="M152" s="487" t="s">
        <v>560</v>
      </c>
      <c r="N152" s="26" t="s">
        <v>136</v>
      </c>
      <c r="O152" s="26">
        <v>1</v>
      </c>
      <c r="P152" s="24" t="s">
        <v>265</v>
      </c>
      <c r="Q152" s="485"/>
      <c r="R152" s="26"/>
      <c r="S152" s="26"/>
      <c r="T152" s="238">
        <v>99</v>
      </c>
      <c r="V152" s="38">
        <v>152</v>
      </c>
    </row>
    <row r="153" spans="1:22" ht="15.75" customHeight="1">
      <c r="A153" s="200">
        <v>26</v>
      </c>
      <c r="B153" s="178" t="s">
        <v>220</v>
      </c>
      <c r="C153" s="12" t="s">
        <v>262</v>
      </c>
      <c r="D153" s="12" t="s">
        <v>263</v>
      </c>
      <c r="E153" s="12">
        <v>100</v>
      </c>
      <c r="F153" s="12">
        <v>0</v>
      </c>
      <c r="G153" s="20"/>
      <c r="H153" s="20"/>
      <c r="I153" s="56"/>
      <c r="J153" s="2"/>
      <c r="K153" s="2"/>
      <c r="L153" s="12" t="s">
        <v>265</v>
      </c>
      <c r="M153" s="484"/>
      <c r="N153" s="2"/>
      <c r="O153" s="20"/>
      <c r="P153" s="12" t="s">
        <v>265</v>
      </c>
      <c r="R153" s="2"/>
      <c r="S153" s="2"/>
      <c r="T153" s="227">
        <v>100</v>
      </c>
      <c r="V153" s="38">
        <v>153</v>
      </c>
    </row>
    <row r="154" spans="1:22" ht="15.75" customHeight="1">
      <c r="A154" s="200">
        <v>26</v>
      </c>
      <c r="B154" s="179" t="s">
        <v>221</v>
      </c>
      <c r="C154" s="12" t="s">
        <v>262</v>
      </c>
      <c r="D154" s="12" t="s">
        <v>263</v>
      </c>
      <c r="E154" s="12">
        <v>100</v>
      </c>
      <c r="F154" s="12">
        <v>0</v>
      </c>
      <c r="G154" s="20"/>
      <c r="H154" s="20"/>
      <c r="I154" s="56"/>
      <c r="J154" s="2"/>
      <c r="K154" s="2"/>
      <c r="L154" s="12" t="s">
        <v>266</v>
      </c>
      <c r="M154" s="484" t="s">
        <v>560</v>
      </c>
      <c r="N154" s="20" t="s">
        <v>274</v>
      </c>
      <c r="O154" s="20">
        <v>0.5</v>
      </c>
      <c r="P154" s="12" t="s">
        <v>265</v>
      </c>
      <c r="R154" s="2"/>
      <c r="S154" s="2"/>
      <c r="T154" s="224">
        <v>99.5</v>
      </c>
      <c r="V154" s="38">
        <v>154</v>
      </c>
    </row>
    <row r="155" spans="1:22" ht="15.75" customHeight="1">
      <c r="A155" s="200">
        <v>26</v>
      </c>
      <c r="B155" s="179" t="s">
        <v>222</v>
      </c>
      <c r="C155" s="12" t="s">
        <v>262</v>
      </c>
      <c r="D155" s="12" t="s">
        <v>263</v>
      </c>
      <c r="E155" s="12">
        <v>100</v>
      </c>
      <c r="F155" s="12">
        <v>0</v>
      </c>
      <c r="G155" s="20"/>
      <c r="H155" s="20"/>
      <c r="I155" s="56"/>
      <c r="J155" s="2"/>
      <c r="K155" s="2"/>
      <c r="L155" s="12" t="s">
        <v>266</v>
      </c>
      <c r="M155" s="484" t="s">
        <v>560</v>
      </c>
      <c r="N155" s="20" t="s">
        <v>274</v>
      </c>
      <c r="O155" s="20">
        <v>1</v>
      </c>
      <c r="P155" s="12" t="s">
        <v>265</v>
      </c>
      <c r="R155" s="2"/>
      <c r="S155" s="2"/>
      <c r="T155" s="224">
        <v>99</v>
      </c>
      <c r="V155" s="38">
        <v>155</v>
      </c>
    </row>
    <row r="156" spans="1:22" ht="15.75" customHeight="1">
      <c r="A156" s="200">
        <v>26</v>
      </c>
      <c r="B156" s="179" t="s">
        <v>223</v>
      </c>
      <c r="C156" s="12" t="s">
        <v>262</v>
      </c>
      <c r="D156" s="12" t="s">
        <v>263</v>
      </c>
      <c r="E156" s="12">
        <v>100</v>
      </c>
      <c r="F156" s="12">
        <v>0</v>
      </c>
      <c r="G156" s="20"/>
      <c r="H156" s="20"/>
      <c r="I156" s="56"/>
      <c r="J156" s="2"/>
      <c r="K156" s="2"/>
      <c r="L156" s="12" t="s">
        <v>266</v>
      </c>
      <c r="M156" s="484" t="s">
        <v>560</v>
      </c>
      <c r="N156" s="20" t="s">
        <v>274</v>
      </c>
      <c r="O156" s="20">
        <v>1.5</v>
      </c>
      <c r="P156" s="12" t="s">
        <v>265</v>
      </c>
      <c r="R156" s="2"/>
      <c r="S156" s="2"/>
      <c r="T156" s="224">
        <v>98.5</v>
      </c>
      <c r="V156" s="38">
        <v>156</v>
      </c>
    </row>
    <row r="157" spans="1:22" ht="15.75" customHeight="1">
      <c r="A157" s="200">
        <v>26</v>
      </c>
      <c r="B157" s="179" t="s">
        <v>228</v>
      </c>
      <c r="C157" s="12" t="s">
        <v>262</v>
      </c>
      <c r="D157" s="12" t="s">
        <v>263</v>
      </c>
      <c r="E157" s="12">
        <v>100</v>
      </c>
      <c r="F157" s="12">
        <v>0</v>
      </c>
      <c r="G157" s="20"/>
      <c r="H157" s="20"/>
      <c r="I157" s="56"/>
      <c r="J157" s="2"/>
      <c r="K157" s="2"/>
      <c r="L157" s="12" t="s">
        <v>266</v>
      </c>
      <c r="M157" s="484" t="s">
        <v>560</v>
      </c>
      <c r="N157" s="20" t="s">
        <v>274</v>
      </c>
      <c r="O157" s="20">
        <v>2</v>
      </c>
      <c r="P157" s="12" t="s">
        <v>265</v>
      </c>
      <c r="R157" s="2"/>
      <c r="S157" s="2"/>
      <c r="T157" s="224">
        <v>98</v>
      </c>
      <c r="V157" s="38">
        <v>157</v>
      </c>
    </row>
    <row r="158" spans="1:22" ht="15.75" customHeight="1">
      <c r="A158" s="200">
        <v>26</v>
      </c>
      <c r="B158" s="179" t="s">
        <v>224</v>
      </c>
      <c r="C158" s="12" t="s">
        <v>262</v>
      </c>
      <c r="D158" s="12" t="s">
        <v>263</v>
      </c>
      <c r="E158" s="12">
        <v>100</v>
      </c>
      <c r="F158" s="12">
        <v>0</v>
      </c>
      <c r="G158" s="20"/>
      <c r="H158" s="20"/>
      <c r="I158" s="56"/>
      <c r="J158" s="2"/>
      <c r="K158" s="2"/>
      <c r="L158" s="12" t="s">
        <v>265</v>
      </c>
      <c r="M158" s="484"/>
      <c r="N158" s="2"/>
      <c r="O158" s="20"/>
      <c r="P158" s="12" t="s">
        <v>265</v>
      </c>
      <c r="R158" s="2"/>
      <c r="S158" s="2"/>
      <c r="T158" s="224">
        <v>100</v>
      </c>
      <c r="V158" s="38">
        <v>158</v>
      </c>
    </row>
    <row r="159" spans="1:22" ht="15.75" customHeight="1">
      <c r="A159" s="200">
        <v>26</v>
      </c>
      <c r="B159" s="179" t="s">
        <v>225</v>
      </c>
      <c r="C159" s="12" t="s">
        <v>262</v>
      </c>
      <c r="D159" s="12" t="s">
        <v>263</v>
      </c>
      <c r="E159" s="12">
        <v>100</v>
      </c>
      <c r="F159" s="12">
        <v>0</v>
      </c>
      <c r="G159" s="20"/>
      <c r="H159" s="20"/>
      <c r="I159" s="56"/>
      <c r="J159" s="2"/>
      <c r="K159" s="2"/>
      <c r="L159" s="12" t="s">
        <v>266</v>
      </c>
      <c r="M159" s="484" t="s">
        <v>560</v>
      </c>
      <c r="N159" s="20" t="s">
        <v>274</v>
      </c>
      <c r="O159" s="20">
        <v>0.5</v>
      </c>
      <c r="P159" s="12" t="s">
        <v>265</v>
      </c>
      <c r="R159" s="2"/>
      <c r="S159" s="2"/>
      <c r="T159" s="224">
        <v>99.5</v>
      </c>
      <c r="V159" s="38">
        <v>159</v>
      </c>
    </row>
    <row r="160" spans="1:22" ht="15.75" customHeight="1">
      <c r="A160" s="200">
        <v>26</v>
      </c>
      <c r="B160" s="179" t="s">
        <v>226</v>
      </c>
      <c r="C160" s="12" t="s">
        <v>262</v>
      </c>
      <c r="D160" s="12" t="s">
        <v>263</v>
      </c>
      <c r="E160" s="12">
        <v>100</v>
      </c>
      <c r="F160" s="12">
        <v>0</v>
      </c>
      <c r="G160" s="20"/>
      <c r="H160" s="20"/>
      <c r="I160" s="56"/>
      <c r="J160" s="2"/>
      <c r="K160" s="2"/>
      <c r="L160" s="12" t="s">
        <v>266</v>
      </c>
      <c r="M160" s="484" t="s">
        <v>560</v>
      </c>
      <c r="N160" s="20" t="s">
        <v>274</v>
      </c>
      <c r="O160" s="20">
        <v>1</v>
      </c>
      <c r="P160" s="12" t="s">
        <v>265</v>
      </c>
      <c r="R160" s="2"/>
      <c r="S160" s="2"/>
      <c r="T160" s="224">
        <v>99</v>
      </c>
      <c r="V160" s="38">
        <v>160</v>
      </c>
    </row>
    <row r="161" spans="1:22" ht="15.75" customHeight="1">
      <c r="A161" s="200">
        <v>26</v>
      </c>
      <c r="B161" s="179" t="s">
        <v>227</v>
      </c>
      <c r="C161" s="12" t="s">
        <v>262</v>
      </c>
      <c r="D161" s="12" t="s">
        <v>263</v>
      </c>
      <c r="E161" s="12">
        <v>100</v>
      </c>
      <c r="F161" s="12">
        <v>0</v>
      </c>
      <c r="G161" s="20"/>
      <c r="H161" s="20"/>
      <c r="I161" s="56"/>
      <c r="J161" s="2"/>
      <c r="K161" s="2"/>
      <c r="L161" s="12" t="s">
        <v>266</v>
      </c>
      <c r="M161" s="484" t="s">
        <v>560</v>
      </c>
      <c r="N161" s="20" t="s">
        <v>274</v>
      </c>
      <c r="O161" s="20">
        <v>1.5</v>
      </c>
      <c r="P161" s="12" t="s">
        <v>265</v>
      </c>
      <c r="R161" s="2"/>
      <c r="S161" s="2"/>
      <c r="T161" s="224">
        <v>98.5</v>
      </c>
      <c r="V161" s="38">
        <v>161</v>
      </c>
    </row>
    <row r="162" spans="1:22" ht="15.75" customHeight="1">
      <c r="A162" s="202">
        <v>26</v>
      </c>
      <c r="B162" s="203" t="s">
        <v>229</v>
      </c>
      <c r="C162" s="24" t="s">
        <v>262</v>
      </c>
      <c r="D162" s="24" t="s">
        <v>263</v>
      </c>
      <c r="E162" s="24">
        <v>100</v>
      </c>
      <c r="F162" s="24">
        <v>0</v>
      </c>
      <c r="G162" s="26"/>
      <c r="H162" s="26"/>
      <c r="I162" s="57"/>
      <c r="J162" s="30"/>
      <c r="K162" s="30"/>
      <c r="L162" s="24" t="s">
        <v>266</v>
      </c>
      <c r="M162" s="484" t="s">
        <v>560</v>
      </c>
      <c r="N162" s="26" t="s">
        <v>274</v>
      </c>
      <c r="O162" s="26">
        <v>2</v>
      </c>
      <c r="P162" s="24" t="s">
        <v>265</v>
      </c>
      <c r="Q162" s="492"/>
      <c r="R162" s="30"/>
      <c r="S162" s="30"/>
      <c r="T162" s="225">
        <v>98</v>
      </c>
      <c r="V162" s="38">
        <v>162</v>
      </c>
    </row>
    <row r="163" spans="1:22" ht="15.75" customHeight="1">
      <c r="A163" s="177">
        <v>27</v>
      </c>
      <c r="B163" s="178">
        <v>1</v>
      </c>
      <c r="C163" s="199" t="s">
        <v>262</v>
      </c>
      <c r="D163" s="199" t="s">
        <v>263</v>
      </c>
      <c r="E163" s="199">
        <v>100</v>
      </c>
      <c r="F163" s="199">
        <v>0</v>
      </c>
      <c r="G163" s="199"/>
      <c r="H163" s="194"/>
      <c r="I163" s="243"/>
      <c r="J163" s="206"/>
      <c r="K163" s="206"/>
      <c r="L163" s="199" t="s">
        <v>265</v>
      </c>
      <c r="M163" s="486"/>
      <c r="N163" s="194"/>
      <c r="O163" s="206"/>
      <c r="P163" s="199" t="s">
        <v>265</v>
      </c>
      <c r="Q163" s="490"/>
      <c r="R163" s="206"/>
      <c r="S163" s="206"/>
      <c r="T163" s="227">
        <v>100</v>
      </c>
      <c r="V163" s="38">
        <v>163</v>
      </c>
    </row>
    <row r="164" spans="1:22" ht="15.75" customHeight="1">
      <c r="A164" s="174">
        <v>27</v>
      </c>
      <c r="B164" s="179">
        <v>2</v>
      </c>
      <c r="C164" s="12" t="s">
        <v>262</v>
      </c>
      <c r="D164" s="12" t="s">
        <v>263</v>
      </c>
      <c r="E164" s="12">
        <v>100</v>
      </c>
      <c r="F164" s="12">
        <v>0</v>
      </c>
      <c r="G164" s="12"/>
      <c r="H164" s="20"/>
      <c r="I164" s="56"/>
      <c r="L164" s="12" t="s">
        <v>266</v>
      </c>
      <c r="M164" s="484" t="s">
        <v>560</v>
      </c>
      <c r="N164" s="12" t="s">
        <v>144</v>
      </c>
      <c r="O164" s="12">
        <v>2</v>
      </c>
      <c r="P164" s="12" t="s">
        <v>265</v>
      </c>
      <c r="T164" s="224">
        <v>98</v>
      </c>
      <c r="V164" s="38">
        <v>164</v>
      </c>
    </row>
    <row r="165" spans="1:22" ht="15.75" customHeight="1">
      <c r="A165" s="174">
        <v>27</v>
      </c>
      <c r="B165" s="179">
        <v>3</v>
      </c>
      <c r="C165" s="12" t="s">
        <v>262</v>
      </c>
      <c r="D165" s="12" t="s">
        <v>263</v>
      </c>
      <c r="E165" s="12">
        <v>100</v>
      </c>
      <c r="F165" s="12">
        <v>0</v>
      </c>
      <c r="G165" s="12"/>
      <c r="H165" s="20"/>
      <c r="I165" s="56"/>
      <c r="L165" s="12" t="s">
        <v>266</v>
      </c>
      <c r="M165" s="484" t="s">
        <v>560</v>
      </c>
      <c r="N165" s="12" t="s">
        <v>146</v>
      </c>
      <c r="O165" s="12">
        <v>2</v>
      </c>
      <c r="P165" s="12" t="s">
        <v>265</v>
      </c>
      <c r="T165" s="224">
        <v>98</v>
      </c>
      <c r="V165" s="38">
        <v>165</v>
      </c>
    </row>
    <row r="166" spans="1:22" ht="15.75" customHeight="1">
      <c r="A166" s="174">
        <v>27</v>
      </c>
      <c r="B166" s="179">
        <v>4</v>
      </c>
      <c r="C166" s="12" t="s">
        <v>262</v>
      </c>
      <c r="D166" s="12" t="s">
        <v>263</v>
      </c>
      <c r="E166" s="12">
        <v>100</v>
      </c>
      <c r="F166" s="12">
        <v>0</v>
      </c>
      <c r="G166" s="12"/>
      <c r="H166" s="20"/>
      <c r="I166" s="56"/>
      <c r="J166" s="2"/>
      <c r="K166" s="2"/>
      <c r="L166" s="12" t="s">
        <v>266</v>
      </c>
      <c r="M166" s="484" t="s">
        <v>560</v>
      </c>
      <c r="N166" s="12" t="s">
        <v>148</v>
      </c>
      <c r="O166" s="12">
        <v>2</v>
      </c>
      <c r="P166" s="12" t="s">
        <v>265</v>
      </c>
      <c r="R166" s="2"/>
      <c r="S166" s="2"/>
      <c r="T166" s="224">
        <v>98</v>
      </c>
      <c r="V166" s="38">
        <v>166</v>
      </c>
    </row>
    <row r="167" spans="1:22" ht="15.75" customHeight="1">
      <c r="A167" s="201">
        <v>28</v>
      </c>
      <c r="B167" s="58">
        <v>1</v>
      </c>
      <c r="C167" s="199" t="s">
        <v>262</v>
      </c>
      <c r="D167" s="199" t="s">
        <v>263</v>
      </c>
      <c r="E167" s="194">
        <v>98.5</v>
      </c>
      <c r="F167" s="194">
        <v>1.5</v>
      </c>
      <c r="G167" s="229">
        <v>400000</v>
      </c>
      <c r="H167" s="194"/>
      <c r="I167" s="194"/>
      <c r="J167" s="194"/>
      <c r="K167" s="194"/>
      <c r="L167" s="194" t="s">
        <v>265</v>
      </c>
      <c r="M167" s="486"/>
      <c r="N167" s="194"/>
      <c r="O167" s="194"/>
      <c r="P167" s="199" t="s">
        <v>265</v>
      </c>
      <c r="Q167" s="486"/>
      <c r="R167" s="194"/>
      <c r="S167" s="194"/>
      <c r="T167" s="236">
        <v>100</v>
      </c>
      <c r="V167" s="38">
        <v>167</v>
      </c>
    </row>
    <row r="168" spans="1:22" ht="15.75" customHeight="1">
      <c r="A168" s="200">
        <v>28</v>
      </c>
      <c r="B168" s="59">
        <v>2</v>
      </c>
      <c r="C168" s="12" t="s">
        <v>262</v>
      </c>
      <c r="D168" s="12" t="s">
        <v>263</v>
      </c>
      <c r="E168" s="20">
        <v>98.5</v>
      </c>
      <c r="F168" s="20">
        <v>1.5</v>
      </c>
      <c r="G168" s="42">
        <v>400000</v>
      </c>
      <c r="H168" s="20"/>
      <c r="I168" s="20"/>
      <c r="J168" s="20"/>
      <c r="K168" s="20"/>
      <c r="L168" s="20" t="s">
        <v>266</v>
      </c>
      <c r="M168" s="484" t="s">
        <v>560</v>
      </c>
      <c r="N168" s="20" t="s">
        <v>134</v>
      </c>
      <c r="O168" s="20">
        <v>3</v>
      </c>
      <c r="P168" s="12" t="s">
        <v>265</v>
      </c>
      <c r="Q168" s="484"/>
      <c r="R168" s="20"/>
      <c r="S168" s="20"/>
      <c r="T168" s="234">
        <v>97</v>
      </c>
      <c r="V168" s="38">
        <v>168</v>
      </c>
    </row>
    <row r="169" spans="1:22" ht="15.75" customHeight="1">
      <c r="A169" s="200">
        <v>28</v>
      </c>
      <c r="B169" s="59">
        <v>3</v>
      </c>
      <c r="C169" s="12" t="s">
        <v>262</v>
      </c>
      <c r="D169" s="12" t="s">
        <v>263</v>
      </c>
      <c r="E169" s="20">
        <v>98.5</v>
      </c>
      <c r="F169" s="20">
        <v>1.5</v>
      </c>
      <c r="G169" s="42">
        <v>400000</v>
      </c>
      <c r="H169" s="20"/>
      <c r="I169" s="20"/>
      <c r="J169" s="20"/>
      <c r="K169" s="20"/>
      <c r="L169" s="20" t="s">
        <v>266</v>
      </c>
      <c r="M169" s="484" t="s">
        <v>560</v>
      </c>
      <c r="N169" s="20" t="s">
        <v>138</v>
      </c>
      <c r="O169" s="20">
        <v>3</v>
      </c>
      <c r="P169" s="12" t="s">
        <v>265</v>
      </c>
      <c r="Q169" s="484"/>
      <c r="R169" s="20"/>
      <c r="S169" s="20"/>
      <c r="T169" s="234">
        <v>97</v>
      </c>
      <c r="V169" s="38">
        <v>169</v>
      </c>
    </row>
    <row r="170" spans="1:22" ht="15.75" customHeight="1">
      <c r="A170" s="200">
        <v>28</v>
      </c>
      <c r="B170" s="59">
        <v>4</v>
      </c>
      <c r="C170" s="12" t="s">
        <v>262</v>
      </c>
      <c r="D170" s="12" t="s">
        <v>263</v>
      </c>
      <c r="E170" s="20">
        <v>98.5</v>
      </c>
      <c r="F170" s="20">
        <v>1.5</v>
      </c>
      <c r="G170" s="42">
        <v>400000</v>
      </c>
      <c r="H170" s="20"/>
      <c r="I170" s="20"/>
      <c r="J170" s="20"/>
      <c r="K170" s="20"/>
      <c r="L170" s="20" t="s">
        <v>266</v>
      </c>
      <c r="M170" s="484" t="s">
        <v>560</v>
      </c>
      <c r="N170" s="20" t="s">
        <v>134</v>
      </c>
      <c r="O170" s="20">
        <v>2</v>
      </c>
      <c r="P170" s="20" t="s">
        <v>266</v>
      </c>
      <c r="Q170" s="484" t="s">
        <v>560</v>
      </c>
      <c r="R170" s="20" t="s">
        <v>138</v>
      </c>
      <c r="S170" s="20">
        <v>1</v>
      </c>
      <c r="T170" s="234">
        <v>97</v>
      </c>
      <c r="V170" s="38">
        <v>170</v>
      </c>
    </row>
    <row r="171" spans="1:22" ht="15.75" customHeight="1">
      <c r="A171" s="200">
        <v>28</v>
      </c>
      <c r="B171" s="59">
        <v>5</v>
      </c>
      <c r="C171" s="12" t="s">
        <v>262</v>
      </c>
      <c r="D171" s="12" t="s">
        <v>263</v>
      </c>
      <c r="E171" s="20">
        <v>98.5</v>
      </c>
      <c r="F171" s="20">
        <v>1.5</v>
      </c>
      <c r="G171" s="42">
        <v>400000</v>
      </c>
      <c r="H171" s="20"/>
      <c r="I171" s="20"/>
      <c r="J171" s="20"/>
      <c r="K171" s="20"/>
      <c r="L171" s="20" t="s">
        <v>266</v>
      </c>
      <c r="M171" s="484" t="s">
        <v>560</v>
      </c>
      <c r="N171" s="20" t="s">
        <v>134</v>
      </c>
      <c r="O171" s="20">
        <v>1.5</v>
      </c>
      <c r="P171" s="20" t="s">
        <v>266</v>
      </c>
      <c r="Q171" s="484" t="s">
        <v>560</v>
      </c>
      <c r="R171" s="20" t="s">
        <v>138</v>
      </c>
      <c r="S171" s="20">
        <v>1.5</v>
      </c>
      <c r="T171" s="234">
        <v>97</v>
      </c>
      <c r="V171" s="38">
        <v>171</v>
      </c>
    </row>
    <row r="172" spans="1:22" ht="15.75" customHeight="1">
      <c r="A172" s="200">
        <v>28</v>
      </c>
      <c r="B172" s="59">
        <v>6</v>
      </c>
      <c r="C172" s="12" t="s">
        <v>262</v>
      </c>
      <c r="D172" s="12" t="s">
        <v>263</v>
      </c>
      <c r="E172" s="20">
        <v>98.5</v>
      </c>
      <c r="F172" s="20">
        <v>1.5</v>
      </c>
      <c r="G172" s="42">
        <v>400000</v>
      </c>
      <c r="H172" s="20"/>
      <c r="I172" s="20"/>
      <c r="J172" s="20"/>
      <c r="K172" s="20"/>
      <c r="L172" s="20" t="s">
        <v>266</v>
      </c>
      <c r="M172" s="484" t="s">
        <v>560</v>
      </c>
      <c r="N172" s="20" t="s">
        <v>134</v>
      </c>
      <c r="O172" s="20">
        <v>1</v>
      </c>
      <c r="P172" s="20" t="s">
        <v>266</v>
      </c>
      <c r="Q172" s="484" t="s">
        <v>560</v>
      </c>
      <c r="R172" s="20" t="s">
        <v>134</v>
      </c>
      <c r="S172" s="20">
        <v>2</v>
      </c>
      <c r="T172" s="234">
        <v>97</v>
      </c>
      <c r="V172" s="38">
        <v>172</v>
      </c>
    </row>
    <row r="173" spans="1:22" ht="15.75" customHeight="1">
      <c r="A173" s="201">
        <v>29</v>
      </c>
      <c r="B173" s="58">
        <v>1</v>
      </c>
      <c r="C173" s="199" t="s">
        <v>262</v>
      </c>
      <c r="D173" s="199" t="s">
        <v>263</v>
      </c>
      <c r="E173" s="194">
        <v>95</v>
      </c>
      <c r="F173" s="194">
        <v>5</v>
      </c>
      <c r="G173" s="229"/>
      <c r="H173" s="194"/>
      <c r="I173" s="194"/>
      <c r="J173" s="194"/>
      <c r="K173" s="194"/>
      <c r="L173" s="194" t="s">
        <v>265</v>
      </c>
      <c r="M173" s="486"/>
      <c r="N173" s="194"/>
      <c r="O173" s="194"/>
      <c r="P173" s="199" t="s">
        <v>265</v>
      </c>
      <c r="Q173" s="486"/>
      <c r="R173" s="194"/>
      <c r="S173" s="194"/>
      <c r="T173" s="236">
        <v>100</v>
      </c>
      <c r="V173" s="38">
        <v>173</v>
      </c>
    </row>
    <row r="174" spans="1:22" ht="15.75" customHeight="1">
      <c r="A174" s="200">
        <v>29</v>
      </c>
      <c r="B174" s="59">
        <v>2</v>
      </c>
      <c r="C174" s="12" t="s">
        <v>262</v>
      </c>
      <c r="D174" s="12" t="s">
        <v>263</v>
      </c>
      <c r="E174" s="20">
        <v>95</v>
      </c>
      <c r="F174" s="20">
        <v>5</v>
      </c>
      <c r="G174" s="42"/>
      <c r="H174" s="20"/>
      <c r="I174" s="20"/>
      <c r="J174" s="20"/>
      <c r="K174" s="20"/>
      <c r="L174" s="20" t="s">
        <v>266</v>
      </c>
      <c r="M174" s="484" t="s">
        <v>560</v>
      </c>
      <c r="N174" s="20" t="s">
        <v>140</v>
      </c>
      <c r="O174" s="20">
        <v>1</v>
      </c>
      <c r="P174" s="12" t="s">
        <v>265</v>
      </c>
      <c r="Q174" s="484"/>
      <c r="R174" s="20"/>
      <c r="S174" s="20"/>
      <c r="T174" s="234">
        <v>99</v>
      </c>
      <c r="V174" s="38">
        <v>174</v>
      </c>
    </row>
    <row r="175" spans="1:22" ht="15.75" customHeight="1">
      <c r="A175" s="200">
        <v>29</v>
      </c>
      <c r="B175" s="59">
        <v>3</v>
      </c>
      <c r="C175" s="12" t="s">
        <v>262</v>
      </c>
      <c r="D175" s="12" t="s">
        <v>263</v>
      </c>
      <c r="E175" s="20">
        <v>95</v>
      </c>
      <c r="F175" s="20">
        <v>5</v>
      </c>
      <c r="G175" s="42"/>
      <c r="H175" s="20"/>
      <c r="I175" s="20"/>
      <c r="J175" s="20"/>
      <c r="K175" s="20"/>
      <c r="L175" s="20" t="s">
        <v>266</v>
      </c>
      <c r="M175" s="484" t="s">
        <v>560</v>
      </c>
      <c r="N175" s="20" t="s">
        <v>140</v>
      </c>
      <c r="O175" s="20">
        <v>3</v>
      </c>
      <c r="P175" s="12" t="s">
        <v>265</v>
      </c>
      <c r="Q175" s="484"/>
      <c r="R175" s="20"/>
      <c r="S175" s="20"/>
      <c r="T175" s="234">
        <v>97</v>
      </c>
      <c r="V175" s="38">
        <v>175</v>
      </c>
    </row>
    <row r="176" spans="1:22" ht="15.75" customHeight="1">
      <c r="A176" s="200">
        <v>29</v>
      </c>
      <c r="B176" s="59">
        <v>4</v>
      </c>
      <c r="C176" s="12" t="s">
        <v>262</v>
      </c>
      <c r="D176" s="12" t="s">
        <v>263</v>
      </c>
      <c r="E176" s="20">
        <v>95</v>
      </c>
      <c r="F176" s="20">
        <v>5</v>
      </c>
      <c r="G176" s="42"/>
      <c r="H176" s="20"/>
      <c r="I176" s="20"/>
      <c r="J176" s="20"/>
      <c r="K176" s="20"/>
      <c r="L176" s="20" t="s">
        <v>266</v>
      </c>
      <c r="M176" s="484" t="s">
        <v>560</v>
      </c>
      <c r="N176" s="20" t="s">
        <v>140</v>
      </c>
      <c r="O176" s="20">
        <v>5</v>
      </c>
      <c r="P176" s="12" t="s">
        <v>265</v>
      </c>
      <c r="Q176" s="484"/>
      <c r="R176" s="20"/>
      <c r="S176" s="20"/>
      <c r="T176" s="234">
        <v>95</v>
      </c>
      <c r="V176" s="38">
        <v>176</v>
      </c>
    </row>
    <row r="177" spans="1:22" ht="15.75" customHeight="1">
      <c r="A177" s="200">
        <v>29</v>
      </c>
      <c r="B177" s="59">
        <v>5</v>
      </c>
      <c r="C177" s="12" t="s">
        <v>262</v>
      </c>
      <c r="D177" s="12" t="s">
        <v>263</v>
      </c>
      <c r="E177" s="20">
        <v>95</v>
      </c>
      <c r="F177" s="20">
        <v>5</v>
      </c>
      <c r="G177" s="42"/>
      <c r="H177" s="20"/>
      <c r="I177" s="20"/>
      <c r="J177" s="20"/>
      <c r="K177" s="20"/>
      <c r="L177" s="20" t="s">
        <v>266</v>
      </c>
      <c r="M177" s="484" t="s">
        <v>560</v>
      </c>
      <c r="N177" s="20" t="s">
        <v>140</v>
      </c>
      <c r="O177" s="20">
        <v>7</v>
      </c>
      <c r="P177" s="12" t="s">
        <v>265</v>
      </c>
      <c r="Q177" s="484"/>
      <c r="R177" s="20"/>
      <c r="S177" s="20"/>
      <c r="T177" s="234">
        <v>93</v>
      </c>
      <c r="V177" s="38">
        <v>177</v>
      </c>
    </row>
    <row r="178" spans="1:22" ht="15.75" customHeight="1">
      <c r="A178" s="201">
        <v>30</v>
      </c>
      <c r="B178" s="58">
        <v>1</v>
      </c>
      <c r="C178" s="199" t="s">
        <v>262</v>
      </c>
      <c r="D178" s="199" t="s">
        <v>263</v>
      </c>
      <c r="E178" s="199">
        <v>92</v>
      </c>
      <c r="F178" s="199">
        <v>8</v>
      </c>
      <c r="G178" s="229"/>
      <c r="H178" s="206"/>
      <c r="I178" s="194">
        <v>1.25</v>
      </c>
      <c r="J178" s="194" t="s">
        <v>264</v>
      </c>
      <c r="K178" s="206"/>
      <c r="L178" s="194" t="s">
        <v>265</v>
      </c>
      <c r="M178" s="486"/>
      <c r="N178" s="206"/>
      <c r="O178" s="194"/>
      <c r="P178" s="199" t="s">
        <v>265</v>
      </c>
      <c r="Q178" s="490"/>
      <c r="R178" s="206"/>
      <c r="S178" s="206"/>
      <c r="T178" s="236">
        <v>100</v>
      </c>
      <c r="V178" s="38">
        <v>178</v>
      </c>
    </row>
    <row r="179" spans="1:22" ht="15.75" customHeight="1">
      <c r="A179" s="200">
        <v>30</v>
      </c>
      <c r="B179" s="59">
        <v>2</v>
      </c>
      <c r="C179" s="12" t="s">
        <v>262</v>
      </c>
      <c r="D179" s="12" t="s">
        <v>263</v>
      </c>
      <c r="E179" s="12">
        <v>92</v>
      </c>
      <c r="F179" s="12">
        <v>8</v>
      </c>
      <c r="G179" s="42"/>
      <c r="H179" s="2"/>
      <c r="I179" s="20">
        <v>1.25</v>
      </c>
      <c r="J179" s="20" t="s">
        <v>264</v>
      </c>
      <c r="K179" s="2"/>
      <c r="L179" s="20" t="s">
        <v>266</v>
      </c>
      <c r="M179" s="484" t="s">
        <v>560</v>
      </c>
      <c r="N179" s="20" t="s">
        <v>142</v>
      </c>
      <c r="O179" s="20">
        <v>30</v>
      </c>
      <c r="P179" s="12" t="s">
        <v>265</v>
      </c>
      <c r="R179" s="2"/>
      <c r="S179" s="2"/>
      <c r="T179" s="234">
        <v>70</v>
      </c>
      <c r="V179" s="38">
        <v>179</v>
      </c>
    </row>
    <row r="180" spans="1:22" ht="15.75" customHeight="1">
      <c r="A180" s="200">
        <v>30</v>
      </c>
      <c r="B180" s="59">
        <v>3</v>
      </c>
      <c r="C180" s="24" t="s">
        <v>262</v>
      </c>
      <c r="D180" s="24" t="s">
        <v>263</v>
      </c>
      <c r="E180" s="24">
        <v>92</v>
      </c>
      <c r="F180" s="24">
        <v>8</v>
      </c>
      <c r="G180" s="42"/>
      <c r="H180" s="2"/>
      <c r="I180" s="20">
        <v>1.25</v>
      </c>
      <c r="J180" s="20" t="s">
        <v>264</v>
      </c>
      <c r="K180" s="2"/>
      <c r="L180" s="20" t="s">
        <v>266</v>
      </c>
      <c r="M180" s="487" t="s">
        <v>560</v>
      </c>
      <c r="N180" s="20" t="s">
        <v>142</v>
      </c>
      <c r="O180" s="20">
        <v>40</v>
      </c>
      <c r="P180" s="12" t="s">
        <v>265</v>
      </c>
      <c r="R180" s="2"/>
      <c r="S180" s="2"/>
      <c r="T180" s="234">
        <v>60</v>
      </c>
      <c r="V180" s="38">
        <v>180</v>
      </c>
    </row>
    <row r="181" spans="1:22" ht="15.75" customHeight="1">
      <c r="A181" s="201">
        <v>31</v>
      </c>
      <c r="B181" s="58">
        <v>1</v>
      </c>
      <c r="C181" s="12" t="s">
        <v>262</v>
      </c>
      <c r="D181" s="12" t="s">
        <v>263</v>
      </c>
      <c r="E181" s="20">
        <v>87</v>
      </c>
      <c r="F181" s="20">
        <v>13</v>
      </c>
      <c r="G181" s="229">
        <v>450000</v>
      </c>
      <c r="H181" s="194"/>
      <c r="I181" s="194">
        <v>1.25</v>
      </c>
      <c r="J181" s="194" t="s">
        <v>264</v>
      </c>
      <c r="K181" s="194"/>
      <c r="L181" s="194" t="s">
        <v>265</v>
      </c>
      <c r="M181" s="489"/>
      <c r="N181" s="194"/>
      <c r="O181" s="194"/>
      <c r="P181" s="199" t="s">
        <v>265</v>
      </c>
      <c r="Q181" s="486"/>
      <c r="R181" s="194"/>
      <c r="S181" s="194"/>
      <c r="T181" s="236">
        <v>100</v>
      </c>
      <c r="V181" s="38">
        <v>181</v>
      </c>
    </row>
    <row r="182" spans="1:22" ht="15.75" customHeight="1">
      <c r="A182" s="200">
        <v>31</v>
      </c>
      <c r="B182" s="59">
        <v>2</v>
      </c>
      <c r="C182" s="12" t="s">
        <v>262</v>
      </c>
      <c r="D182" s="12" t="s">
        <v>263</v>
      </c>
      <c r="E182" s="20">
        <v>87</v>
      </c>
      <c r="F182" s="20">
        <v>13</v>
      </c>
      <c r="G182" s="42">
        <v>450000</v>
      </c>
      <c r="H182" s="20"/>
      <c r="I182" s="20">
        <v>1.25</v>
      </c>
      <c r="J182" s="20" t="s">
        <v>264</v>
      </c>
      <c r="K182" s="20"/>
      <c r="L182" s="20" t="s">
        <v>266</v>
      </c>
      <c r="M182" s="484" t="s">
        <v>560</v>
      </c>
      <c r="N182" s="20" t="s">
        <v>275</v>
      </c>
      <c r="O182" s="20">
        <v>15</v>
      </c>
      <c r="P182" s="12" t="s">
        <v>265</v>
      </c>
      <c r="Q182" s="484"/>
      <c r="R182" s="20"/>
      <c r="S182" s="20"/>
      <c r="T182" s="234">
        <v>85</v>
      </c>
      <c r="V182" s="38">
        <v>182</v>
      </c>
    </row>
    <row r="183" spans="1:22" ht="15.75" customHeight="1">
      <c r="A183" s="200">
        <v>31</v>
      </c>
      <c r="B183" s="59">
        <v>3</v>
      </c>
      <c r="C183" s="12" t="s">
        <v>262</v>
      </c>
      <c r="D183" s="12" t="s">
        <v>263</v>
      </c>
      <c r="E183" s="20">
        <v>87</v>
      </c>
      <c r="F183" s="20">
        <v>13</v>
      </c>
      <c r="G183" s="42">
        <v>450000</v>
      </c>
      <c r="H183" s="20"/>
      <c r="I183" s="20">
        <v>1.25</v>
      </c>
      <c r="J183" s="20" t="s">
        <v>264</v>
      </c>
      <c r="K183" s="20"/>
      <c r="L183" s="20" t="s">
        <v>266</v>
      </c>
      <c r="M183" s="484" t="s">
        <v>560</v>
      </c>
      <c r="N183" s="20" t="s">
        <v>275</v>
      </c>
      <c r="O183" s="20">
        <v>30</v>
      </c>
      <c r="P183" s="12" t="s">
        <v>265</v>
      </c>
      <c r="Q183" s="484"/>
      <c r="R183" s="20"/>
      <c r="S183" s="20"/>
      <c r="T183" s="234">
        <v>70</v>
      </c>
      <c r="V183" s="38">
        <v>183</v>
      </c>
    </row>
    <row r="184" spans="1:22" ht="15.75" customHeight="1">
      <c r="A184" s="200">
        <v>31</v>
      </c>
      <c r="B184" s="59">
        <v>4</v>
      </c>
      <c r="C184" s="12" t="s">
        <v>262</v>
      </c>
      <c r="D184" s="12" t="s">
        <v>263</v>
      </c>
      <c r="E184" s="20">
        <v>87</v>
      </c>
      <c r="F184" s="20">
        <v>13</v>
      </c>
      <c r="G184" s="42">
        <v>450000</v>
      </c>
      <c r="H184" s="20"/>
      <c r="I184" s="20">
        <v>1.25</v>
      </c>
      <c r="J184" s="20" t="s">
        <v>264</v>
      </c>
      <c r="K184" s="20"/>
      <c r="L184" s="20" t="s">
        <v>266</v>
      </c>
      <c r="M184" s="484" t="s">
        <v>560</v>
      </c>
      <c r="N184" s="20" t="s">
        <v>275</v>
      </c>
      <c r="O184" s="20">
        <v>40</v>
      </c>
      <c r="P184" s="12" t="s">
        <v>265</v>
      </c>
      <c r="Q184" s="484"/>
      <c r="R184" s="20"/>
      <c r="S184" s="20"/>
      <c r="T184" s="234">
        <v>60</v>
      </c>
      <c r="V184" s="38">
        <v>184</v>
      </c>
    </row>
    <row r="185" spans="1:22" ht="15.75" customHeight="1">
      <c r="A185" s="202">
        <v>31</v>
      </c>
      <c r="B185" s="203">
        <v>5</v>
      </c>
      <c r="C185" s="24" t="s">
        <v>262</v>
      </c>
      <c r="D185" s="24" t="s">
        <v>263</v>
      </c>
      <c r="E185" s="26">
        <v>87</v>
      </c>
      <c r="F185" s="26">
        <v>13</v>
      </c>
      <c r="G185" s="43">
        <v>450000</v>
      </c>
      <c r="H185" s="26"/>
      <c r="I185" s="26">
        <v>1.25</v>
      </c>
      <c r="J185" s="26" t="s">
        <v>264</v>
      </c>
      <c r="K185" s="26"/>
      <c r="L185" s="26" t="s">
        <v>266</v>
      </c>
      <c r="M185" s="484" t="s">
        <v>560</v>
      </c>
      <c r="N185" s="26" t="s">
        <v>275</v>
      </c>
      <c r="O185" s="26">
        <v>50</v>
      </c>
      <c r="P185" s="12" t="s">
        <v>265</v>
      </c>
      <c r="Q185" s="485"/>
      <c r="R185" s="26"/>
      <c r="S185" s="26"/>
      <c r="T185" s="238">
        <v>50</v>
      </c>
      <c r="V185" s="38">
        <v>185</v>
      </c>
    </row>
    <row r="186" spans="1:22" ht="15.75" customHeight="1">
      <c r="A186" s="177">
        <v>32</v>
      </c>
      <c r="B186" s="178">
        <v>1</v>
      </c>
      <c r="C186" s="199" t="s">
        <v>262</v>
      </c>
      <c r="D186" s="199" t="s">
        <v>263</v>
      </c>
      <c r="E186" s="199">
        <v>100</v>
      </c>
      <c r="F186" s="199">
        <v>0</v>
      </c>
      <c r="G186" s="244">
        <v>548277</v>
      </c>
      <c r="H186" s="199"/>
      <c r="I186" s="199">
        <v>1.0900000000000001</v>
      </c>
      <c r="J186" s="199" t="s">
        <v>264</v>
      </c>
      <c r="K186" s="199"/>
      <c r="L186" s="199" t="s">
        <v>265</v>
      </c>
      <c r="M186" s="486"/>
      <c r="N186" s="199"/>
      <c r="O186" s="199"/>
      <c r="P186" s="199" t="s">
        <v>265</v>
      </c>
      <c r="Q186" s="486"/>
      <c r="R186" s="199"/>
      <c r="S186" s="199"/>
      <c r="T186" s="227">
        <v>95</v>
      </c>
      <c r="V186" s="38">
        <v>186</v>
      </c>
    </row>
    <row r="187" spans="1:22" ht="15.75" customHeight="1">
      <c r="A187" s="174">
        <v>32</v>
      </c>
      <c r="B187" s="179">
        <v>2</v>
      </c>
      <c r="C187" s="12" t="s">
        <v>262</v>
      </c>
      <c r="D187" s="12" t="s">
        <v>263</v>
      </c>
      <c r="E187" s="12">
        <v>100</v>
      </c>
      <c r="F187" s="12">
        <v>0</v>
      </c>
      <c r="G187" s="60">
        <v>548277</v>
      </c>
      <c r="H187" s="12"/>
      <c r="I187" s="12">
        <v>1.0900000000000001</v>
      </c>
      <c r="J187" s="12" t="s">
        <v>264</v>
      </c>
      <c r="K187" s="12"/>
      <c r="L187" s="12" t="s">
        <v>266</v>
      </c>
      <c r="M187" s="484" t="s">
        <v>560</v>
      </c>
      <c r="N187" s="12" t="s">
        <v>167</v>
      </c>
      <c r="O187" s="12">
        <v>5</v>
      </c>
      <c r="P187" s="12" t="s">
        <v>265</v>
      </c>
      <c r="Q187" s="484"/>
      <c r="R187" s="12"/>
      <c r="S187" s="12"/>
      <c r="T187" s="224">
        <v>95</v>
      </c>
      <c r="V187" s="38">
        <v>187</v>
      </c>
    </row>
    <row r="188" spans="1:22" ht="15.75" customHeight="1">
      <c r="A188" s="201">
        <v>33</v>
      </c>
      <c r="B188" s="178">
        <v>1</v>
      </c>
      <c r="C188" s="199" t="s">
        <v>262</v>
      </c>
      <c r="D188" s="199" t="s">
        <v>263</v>
      </c>
      <c r="E188" s="199">
        <v>100</v>
      </c>
      <c r="F188" s="199">
        <v>0</v>
      </c>
      <c r="G188" s="229"/>
      <c r="H188" s="199">
        <v>40000</v>
      </c>
      <c r="I188" s="199">
        <v>1.25</v>
      </c>
      <c r="J188" s="199" t="s">
        <v>264</v>
      </c>
      <c r="K188" s="199"/>
      <c r="L188" s="199" t="s">
        <v>265</v>
      </c>
      <c r="M188" s="486"/>
      <c r="N188" s="199"/>
      <c r="O188" s="199"/>
      <c r="P188" s="199" t="s">
        <v>265</v>
      </c>
      <c r="Q188" s="486"/>
      <c r="R188" s="199"/>
      <c r="S188" s="199"/>
      <c r="T188" s="227">
        <v>100</v>
      </c>
      <c r="V188" s="38">
        <v>188</v>
      </c>
    </row>
    <row r="189" spans="1:22" ht="15.75" customHeight="1">
      <c r="A189" s="200">
        <v>33</v>
      </c>
      <c r="B189" s="179">
        <v>2</v>
      </c>
      <c r="C189" s="12" t="s">
        <v>262</v>
      </c>
      <c r="D189" s="12" t="s">
        <v>263</v>
      </c>
      <c r="E189" s="12">
        <v>100</v>
      </c>
      <c r="F189" s="12">
        <v>0</v>
      </c>
      <c r="G189" s="42"/>
      <c r="H189" s="12">
        <v>40000</v>
      </c>
      <c r="I189" s="12">
        <v>1.25</v>
      </c>
      <c r="J189" s="12" t="s">
        <v>264</v>
      </c>
      <c r="K189" s="12"/>
      <c r="L189" s="12" t="s">
        <v>266</v>
      </c>
      <c r="M189" s="484" t="s">
        <v>560</v>
      </c>
      <c r="N189" s="12" t="s">
        <v>169</v>
      </c>
      <c r="O189" s="12">
        <v>1</v>
      </c>
      <c r="P189" s="12" t="s">
        <v>265</v>
      </c>
      <c r="Q189" s="484"/>
      <c r="R189" s="12"/>
      <c r="S189" s="12"/>
      <c r="T189" s="224">
        <v>99</v>
      </c>
      <c r="V189" s="38">
        <v>189</v>
      </c>
    </row>
    <row r="190" spans="1:22" ht="15.75" customHeight="1">
      <c r="A190" s="200">
        <v>33</v>
      </c>
      <c r="B190" s="179">
        <v>3</v>
      </c>
      <c r="C190" s="12" t="s">
        <v>262</v>
      </c>
      <c r="D190" s="12" t="s">
        <v>263</v>
      </c>
      <c r="E190" s="12">
        <v>100</v>
      </c>
      <c r="F190" s="12">
        <v>0</v>
      </c>
      <c r="G190" s="42"/>
      <c r="H190" s="12">
        <v>40000</v>
      </c>
      <c r="I190" s="12">
        <v>1.25</v>
      </c>
      <c r="J190" s="12" t="s">
        <v>264</v>
      </c>
      <c r="K190" s="12"/>
      <c r="L190" s="12" t="s">
        <v>266</v>
      </c>
      <c r="M190" s="484" t="s">
        <v>560</v>
      </c>
      <c r="N190" s="12" t="s">
        <v>169</v>
      </c>
      <c r="O190" s="12">
        <v>5</v>
      </c>
      <c r="P190" s="12" t="s">
        <v>265</v>
      </c>
      <c r="Q190" s="484"/>
      <c r="R190" s="12"/>
      <c r="S190" s="12"/>
      <c r="T190" s="224">
        <v>95</v>
      </c>
      <c r="V190" s="38">
        <v>190</v>
      </c>
    </row>
    <row r="191" spans="1:22" ht="15.75" customHeight="1">
      <c r="A191" s="200">
        <v>33</v>
      </c>
      <c r="B191" s="180">
        <v>4</v>
      </c>
      <c r="C191" s="24" t="s">
        <v>262</v>
      </c>
      <c r="D191" s="24" t="s">
        <v>263</v>
      </c>
      <c r="E191" s="24">
        <v>100</v>
      </c>
      <c r="F191" s="24">
        <v>0</v>
      </c>
      <c r="G191" s="43"/>
      <c r="H191" s="24">
        <v>40000</v>
      </c>
      <c r="I191" s="24">
        <v>1.25</v>
      </c>
      <c r="J191" s="24" t="s">
        <v>264</v>
      </c>
      <c r="K191" s="24"/>
      <c r="L191" s="24" t="s">
        <v>266</v>
      </c>
      <c r="M191" s="484" t="s">
        <v>560</v>
      </c>
      <c r="N191" s="24" t="s">
        <v>169</v>
      </c>
      <c r="O191" s="24">
        <v>20</v>
      </c>
      <c r="P191" s="24" t="s">
        <v>265</v>
      </c>
      <c r="Q191" s="485"/>
      <c r="R191" s="24"/>
      <c r="S191" s="24"/>
      <c r="T191" s="225">
        <v>80</v>
      </c>
      <c r="V191" s="38">
        <v>191</v>
      </c>
    </row>
    <row r="192" spans="1:22" ht="15.75" customHeight="1">
      <c r="A192" s="181">
        <v>34</v>
      </c>
      <c r="B192" s="178">
        <v>1</v>
      </c>
      <c r="C192" s="199" t="s">
        <v>262</v>
      </c>
      <c r="D192" s="199" t="s">
        <v>263</v>
      </c>
      <c r="E192" s="199">
        <v>100</v>
      </c>
      <c r="F192" s="199">
        <v>0</v>
      </c>
      <c r="G192" s="244"/>
      <c r="H192" s="199"/>
      <c r="I192" s="199"/>
      <c r="J192" s="199"/>
      <c r="K192" s="199"/>
      <c r="L192" s="199" t="s">
        <v>265</v>
      </c>
      <c r="M192" s="486"/>
      <c r="N192" s="199"/>
      <c r="O192" s="199"/>
      <c r="P192" s="199" t="s">
        <v>265</v>
      </c>
      <c r="Q192" s="486"/>
      <c r="R192" s="199"/>
      <c r="S192" s="199"/>
      <c r="T192" s="227">
        <v>100</v>
      </c>
      <c r="V192" s="38">
        <v>192</v>
      </c>
    </row>
    <row r="193" spans="1:22" ht="15.75" customHeight="1">
      <c r="A193" s="182">
        <v>34</v>
      </c>
      <c r="B193" s="179">
        <v>2</v>
      </c>
      <c r="C193" s="12" t="s">
        <v>262</v>
      </c>
      <c r="D193" s="12" t="s">
        <v>263</v>
      </c>
      <c r="E193" s="12">
        <v>100</v>
      </c>
      <c r="F193" s="12">
        <v>0</v>
      </c>
      <c r="G193" s="60"/>
      <c r="H193" s="12"/>
      <c r="I193" s="12"/>
      <c r="J193" s="12"/>
      <c r="K193" s="12"/>
      <c r="L193" s="12" t="s">
        <v>266</v>
      </c>
      <c r="M193" s="484" t="s">
        <v>279</v>
      </c>
      <c r="N193" s="60" t="s">
        <v>126</v>
      </c>
      <c r="O193" s="12">
        <v>2</v>
      </c>
      <c r="P193" s="12" t="s">
        <v>265</v>
      </c>
      <c r="Q193" s="484"/>
      <c r="R193" s="12"/>
      <c r="S193" s="12"/>
      <c r="T193" s="224">
        <v>98</v>
      </c>
      <c r="V193" s="38">
        <v>193</v>
      </c>
    </row>
    <row r="194" spans="1:22" ht="15.75" customHeight="1">
      <c r="A194" s="182">
        <v>34</v>
      </c>
      <c r="B194" s="179">
        <v>3</v>
      </c>
      <c r="C194" s="12" t="s">
        <v>262</v>
      </c>
      <c r="D194" s="12" t="s">
        <v>263</v>
      </c>
      <c r="E194" s="12">
        <v>100</v>
      </c>
      <c r="F194" s="12">
        <v>0</v>
      </c>
      <c r="G194" s="60"/>
      <c r="H194" s="12"/>
      <c r="I194" s="12"/>
      <c r="J194" s="12"/>
      <c r="K194" s="12"/>
      <c r="L194" s="12" t="s">
        <v>266</v>
      </c>
      <c r="M194" s="484" t="s">
        <v>279</v>
      </c>
      <c r="N194" s="60" t="s">
        <v>151</v>
      </c>
      <c r="O194" s="12">
        <v>2</v>
      </c>
      <c r="P194" s="12" t="s">
        <v>265</v>
      </c>
      <c r="Q194" s="484"/>
      <c r="R194" s="12"/>
      <c r="S194" s="12"/>
      <c r="T194" s="224">
        <v>98</v>
      </c>
      <c r="V194" s="38">
        <v>194</v>
      </c>
    </row>
    <row r="195" spans="1:22" ht="15.75" customHeight="1">
      <c r="A195" s="182">
        <v>34</v>
      </c>
      <c r="B195" s="179">
        <v>4</v>
      </c>
      <c r="C195" s="12" t="s">
        <v>262</v>
      </c>
      <c r="D195" s="12" t="s">
        <v>263</v>
      </c>
      <c r="E195" s="12">
        <v>100</v>
      </c>
      <c r="F195" s="12">
        <v>0</v>
      </c>
      <c r="G195" s="60"/>
      <c r="H195" s="12"/>
      <c r="I195" s="12"/>
      <c r="J195" s="12"/>
      <c r="K195" s="12"/>
      <c r="L195" s="12" t="s">
        <v>266</v>
      </c>
      <c r="M195" s="484" t="s">
        <v>279</v>
      </c>
      <c r="N195" s="60" t="s">
        <v>153</v>
      </c>
      <c r="O195" s="12">
        <v>2</v>
      </c>
      <c r="P195" s="12" t="s">
        <v>265</v>
      </c>
      <c r="Q195" s="484"/>
      <c r="R195" s="12"/>
      <c r="S195" s="12"/>
      <c r="T195" s="224">
        <v>98</v>
      </c>
      <c r="V195" s="38">
        <v>195</v>
      </c>
    </row>
    <row r="196" spans="1:22" ht="15.75" customHeight="1">
      <c r="A196" s="201">
        <v>35</v>
      </c>
      <c r="B196" s="58">
        <v>1</v>
      </c>
      <c r="C196" s="199" t="s">
        <v>262</v>
      </c>
      <c r="D196" s="199" t="s">
        <v>263</v>
      </c>
      <c r="E196" s="199">
        <v>100</v>
      </c>
      <c r="F196" s="199">
        <v>0</v>
      </c>
      <c r="G196" s="229"/>
      <c r="H196" s="194"/>
      <c r="I196" s="199">
        <v>1.25</v>
      </c>
      <c r="J196" s="199" t="s">
        <v>264</v>
      </c>
      <c r="K196" s="194"/>
      <c r="L196" s="194" t="s">
        <v>265</v>
      </c>
      <c r="M196" s="486"/>
      <c r="N196" s="194"/>
      <c r="O196" s="194"/>
      <c r="P196" s="199" t="s">
        <v>265</v>
      </c>
      <c r="Q196" s="486"/>
      <c r="R196" s="194"/>
      <c r="S196" s="194"/>
      <c r="T196" s="236">
        <v>100</v>
      </c>
      <c r="V196" s="38">
        <v>196</v>
      </c>
    </row>
    <row r="197" spans="1:22" ht="15.75" customHeight="1">
      <c r="A197" s="200">
        <v>35</v>
      </c>
      <c r="B197" s="59">
        <v>2</v>
      </c>
      <c r="C197" s="12" t="s">
        <v>262</v>
      </c>
      <c r="D197" s="12" t="s">
        <v>263</v>
      </c>
      <c r="E197" s="12">
        <v>100</v>
      </c>
      <c r="F197" s="12">
        <v>0</v>
      </c>
      <c r="G197" s="42"/>
      <c r="H197" s="20"/>
      <c r="I197" s="12">
        <v>1.25</v>
      </c>
      <c r="J197" s="12" t="s">
        <v>264</v>
      </c>
      <c r="K197" s="20"/>
      <c r="L197" s="20" t="s">
        <v>266</v>
      </c>
      <c r="M197" s="484" t="s">
        <v>560</v>
      </c>
      <c r="N197" s="20" t="s">
        <v>126</v>
      </c>
      <c r="O197" s="20">
        <v>1</v>
      </c>
      <c r="P197" s="12" t="s">
        <v>265</v>
      </c>
      <c r="Q197" s="484"/>
      <c r="R197" s="20"/>
      <c r="S197" s="20"/>
      <c r="T197" s="234">
        <v>99</v>
      </c>
      <c r="V197" s="38">
        <v>197</v>
      </c>
    </row>
    <row r="198" spans="1:22" ht="15.75" customHeight="1">
      <c r="A198" s="200">
        <v>35</v>
      </c>
      <c r="B198" s="59">
        <v>3</v>
      </c>
      <c r="C198" s="12" t="s">
        <v>262</v>
      </c>
      <c r="D198" s="12" t="s">
        <v>263</v>
      </c>
      <c r="E198" s="12">
        <v>100</v>
      </c>
      <c r="F198" s="12">
        <v>0</v>
      </c>
      <c r="G198" s="42"/>
      <c r="H198" s="20"/>
      <c r="I198" s="12">
        <v>1.25</v>
      </c>
      <c r="J198" s="12" t="s">
        <v>264</v>
      </c>
      <c r="K198" s="20"/>
      <c r="L198" s="20" t="s">
        <v>266</v>
      </c>
      <c r="M198" s="484" t="s">
        <v>560</v>
      </c>
      <c r="N198" s="20" t="s">
        <v>126</v>
      </c>
      <c r="O198" s="20">
        <v>2</v>
      </c>
      <c r="P198" s="12" t="s">
        <v>265</v>
      </c>
      <c r="Q198" s="484"/>
      <c r="R198" s="20"/>
      <c r="S198" s="20"/>
      <c r="T198" s="234">
        <v>98</v>
      </c>
      <c r="V198" s="38">
        <v>198</v>
      </c>
    </row>
    <row r="199" spans="1:22" ht="15.75" customHeight="1">
      <c r="A199" s="202">
        <v>35</v>
      </c>
      <c r="B199" s="203">
        <v>4</v>
      </c>
      <c r="C199" s="12" t="s">
        <v>262</v>
      </c>
      <c r="D199" s="12" t="s">
        <v>263</v>
      </c>
      <c r="E199" s="24">
        <v>100</v>
      </c>
      <c r="F199" s="24">
        <v>0</v>
      </c>
      <c r="G199" s="43"/>
      <c r="H199" s="26"/>
      <c r="I199" s="24">
        <v>1.25</v>
      </c>
      <c r="J199" s="24" t="s">
        <v>264</v>
      </c>
      <c r="K199" s="26"/>
      <c r="L199" s="26" t="s">
        <v>266</v>
      </c>
      <c r="M199" s="484" t="s">
        <v>560</v>
      </c>
      <c r="N199" s="26" t="s">
        <v>126</v>
      </c>
      <c r="O199" s="26">
        <v>5</v>
      </c>
      <c r="P199" s="24" t="s">
        <v>265</v>
      </c>
      <c r="Q199" s="485"/>
      <c r="R199" s="26"/>
      <c r="S199" s="26"/>
      <c r="T199" s="238">
        <v>95</v>
      </c>
      <c r="V199" s="38">
        <v>199</v>
      </c>
    </row>
    <row r="200" spans="1:22" ht="15.75" customHeight="1">
      <c r="A200" s="205">
        <v>36</v>
      </c>
      <c r="B200" s="59">
        <v>1</v>
      </c>
      <c r="C200" s="199" t="s">
        <v>262</v>
      </c>
      <c r="D200" s="199" t="s">
        <v>263</v>
      </c>
      <c r="E200" s="12">
        <v>89</v>
      </c>
      <c r="F200" s="12">
        <v>11</v>
      </c>
      <c r="G200" s="42"/>
      <c r="H200" s="20"/>
      <c r="I200" s="20">
        <v>1.23</v>
      </c>
      <c r="J200" s="12" t="s">
        <v>264</v>
      </c>
      <c r="K200" s="20"/>
      <c r="L200" s="20" t="s">
        <v>265</v>
      </c>
      <c r="M200" s="484"/>
      <c r="N200" s="20"/>
      <c r="O200" s="20"/>
      <c r="P200" s="20" t="s">
        <v>265</v>
      </c>
      <c r="Q200" s="484"/>
      <c r="R200" s="20"/>
      <c r="S200" s="20"/>
      <c r="T200" s="234">
        <v>100</v>
      </c>
      <c r="V200" s="38">
        <v>200</v>
      </c>
    </row>
    <row r="201" spans="1:22" ht="15.75" customHeight="1">
      <c r="A201" s="205">
        <v>36</v>
      </c>
      <c r="B201" s="59">
        <v>2</v>
      </c>
      <c r="C201" s="12" t="s">
        <v>262</v>
      </c>
      <c r="D201" s="12" t="s">
        <v>263</v>
      </c>
      <c r="E201" s="12">
        <v>89</v>
      </c>
      <c r="F201" s="12">
        <v>11</v>
      </c>
      <c r="G201" s="42"/>
      <c r="H201" s="20"/>
      <c r="I201" s="20">
        <v>1.23</v>
      </c>
      <c r="J201" s="12" t="s">
        <v>264</v>
      </c>
      <c r="K201" s="20"/>
      <c r="L201" s="20" t="s">
        <v>266</v>
      </c>
      <c r="M201" s="484" t="s">
        <v>560</v>
      </c>
      <c r="N201" s="20" t="s">
        <v>155</v>
      </c>
      <c r="O201" s="20">
        <v>30</v>
      </c>
      <c r="P201" s="20" t="s">
        <v>265</v>
      </c>
      <c r="Q201" s="484"/>
      <c r="R201" s="20"/>
      <c r="S201" s="20"/>
      <c r="T201" s="234">
        <v>70</v>
      </c>
      <c r="V201" s="38">
        <v>201</v>
      </c>
    </row>
    <row r="202" spans="1:22" ht="15.75" customHeight="1">
      <c r="A202" s="205">
        <v>36</v>
      </c>
      <c r="B202" s="59">
        <v>3</v>
      </c>
      <c r="C202" s="12" t="s">
        <v>262</v>
      </c>
      <c r="D202" s="12" t="s">
        <v>263</v>
      </c>
      <c r="E202" s="12">
        <v>89</v>
      </c>
      <c r="F202" s="12">
        <v>11</v>
      </c>
      <c r="G202" s="42"/>
      <c r="H202" s="20"/>
      <c r="I202" s="20">
        <v>1.23</v>
      </c>
      <c r="J202" s="12" t="s">
        <v>264</v>
      </c>
      <c r="K202" s="20"/>
      <c r="L202" s="20" t="s">
        <v>266</v>
      </c>
      <c r="M202" s="484" t="s">
        <v>560</v>
      </c>
      <c r="N202" s="20" t="s">
        <v>157</v>
      </c>
      <c r="O202" s="20">
        <v>30</v>
      </c>
      <c r="P202" s="20" t="s">
        <v>265</v>
      </c>
      <c r="Q202" s="484"/>
      <c r="R202" s="20"/>
      <c r="S202" s="20"/>
      <c r="T202" s="234">
        <v>70</v>
      </c>
      <c r="V202" s="38">
        <v>202</v>
      </c>
    </row>
    <row r="203" spans="1:22" ht="15.75" customHeight="1">
      <c r="A203" s="213">
        <v>36</v>
      </c>
      <c r="B203" s="59">
        <v>4</v>
      </c>
      <c r="C203" s="12" t="s">
        <v>262</v>
      </c>
      <c r="D203" s="12" t="s">
        <v>263</v>
      </c>
      <c r="E203" s="12">
        <v>89</v>
      </c>
      <c r="F203" s="12">
        <v>11</v>
      </c>
      <c r="G203" s="42"/>
      <c r="H203" s="20"/>
      <c r="I203" s="20">
        <v>1.23</v>
      </c>
      <c r="J203" s="12" t="s">
        <v>264</v>
      </c>
      <c r="K203" s="20"/>
      <c r="L203" s="20" t="s">
        <v>266</v>
      </c>
      <c r="M203" s="484" t="s">
        <v>560</v>
      </c>
      <c r="N203" s="20" t="s">
        <v>159</v>
      </c>
      <c r="O203" s="20">
        <v>30</v>
      </c>
      <c r="P203" s="20" t="s">
        <v>265</v>
      </c>
      <c r="Q203" s="484"/>
      <c r="R203" s="20"/>
      <c r="S203" s="20"/>
      <c r="T203" s="234">
        <v>70</v>
      </c>
      <c r="V203" s="38">
        <v>203</v>
      </c>
    </row>
    <row r="204" spans="1:22" ht="15.75" customHeight="1">
      <c r="A204" s="205">
        <v>37</v>
      </c>
      <c r="B204" s="178">
        <v>1</v>
      </c>
      <c r="C204" s="199" t="s">
        <v>262</v>
      </c>
      <c r="D204" s="199" t="s">
        <v>263</v>
      </c>
      <c r="E204" s="199">
        <v>100</v>
      </c>
      <c r="F204" s="199">
        <v>0</v>
      </c>
      <c r="G204" s="244"/>
      <c r="H204" s="199"/>
      <c r="I204" s="199">
        <v>1.25</v>
      </c>
      <c r="J204" s="199" t="s">
        <v>264</v>
      </c>
      <c r="K204" s="199"/>
      <c r="L204" s="199" t="s">
        <v>265</v>
      </c>
      <c r="M204" s="486"/>
      <c r="N204" s="199"/>
      <c r="O204" s="199"/>
      <c r="P204" s="199" t="s">
        <v>266</v>
      </c>
      <c r="Q204" s="493" t="s">
        <v>561</v>
      </c>
      <c r="R204" s="199" t="s">
        <v>163</v>
      </c>
      <c r="S204" s="199">
        <v>10</v>
      </c>
      <c r="T204" s="227">
        <v>90</v>
      </c>
      <c r="V204" s="38">
        <v>204</v>
      </c>
    </row>
    <row r="205" spans="1:22" ht="15.75" customHeight="1">
      <c r="A205" s="205">
        <v>37</v>
      </c>
      <c r="B205" s="179">
        <v>2</v>
      </c>
      <c r="C205" s="12" t="s">
        <v>262</v>
      </c>
      <c r="D205" s="12" t="s">
        <v>263</v>
      </c>
      <c r="E205" s="12">
        <v>100</v>
      </c>
      <c r="F205" s="12">
        <v>0</v>
      </c>
      <c r="G205" s="60"/>
      <c r="H205" s="12"/>
      <c r="I205" s="12">
        <v>1.25</v>
      </c>
      <c r="J205" s="12" t="s">
        <v>264</v>
      </c>
      <c r="K205" s="12"/>
      <c r="L205" s="12" t="s">
        <v>266</v>
      </c>
      <c r="M205" s="484" t="s">
        <v>560</v>
      </c>
      <c r="N205" s="12" t="s">
        <v>165</v>
      </c>
      <c r="O205" s="12">
        <v>0</v>
      </c>
      <c r="P205" s="12" t="s">
        <v>266</v>
      </c>
      <c r="Q205" s="484" t="s">
        <v>561</v>
      </c>
      <c r="R205" s="12" t="s">
        <v>163</v>
      </c>
      <c r="S205" s="12">
        <v>10</v>
      </c>
      <c r="T205" s="224">
        <v>90</v>
      </c>
      <c r="V205" s="38">
        <v>205</v>
      </c>
    </row>
    <row r="206" spans="1:22" ht="15.75" customHeight="1">
      <c r="A206" s="205">
        <v>37</v>
      </c>
      <c r="B206" s="179">
        <v>3</v>
      </c>
      <c r="C206" s="12" t="s">
        <v>262</v>
      </c>
      <c r="D206" s="12" t="s">
        <v>263</v>
      </c>
      <c r="E206" s="12">
        <v>100</v>
      </c>
      <c r="F206" s="12">
        <v>0</v>
      </c>
      <c r="G206" s="60"/>
      <c r="H206" s="12"/>
      <c r="I206" s="12">
        <v>1.25</v>
      </c>
      <c r="J206" s="12" t="s">
        <v>264</v>
      </c>
      <c r="K206" s="12"/>
      <c r="L206" s="12" t="s">
        <v>266</v>
      </c>
      <c r="M206" s="484" t="s">
        <v>560</v>
      </c>
      <c r="N206" s="12" t="s">
        <v>276</v>
      </c>
      <c r="O206" s="12">
        <v>2</v>
      </c>
      <c r="P206" s="12" t="s">
        <v>266</v>
      </c>
      <c r="Q206" s="484" t="s">
        <v>561</v>
      </c>
      <c r="R206" s="12" t="s">
        <v>163</v>
      </c>
      <c r="S206" s="12">
        <v>10</v>
      </c>
      <c r="T206" s="224">
        <v>88</v>
      </c>
      <c r="V206" s="38">
        <v>206</v>
      </c>
    </row>
    <row r="207" spans="1:22" ht="15.75" customHeight="1">
      <c r="A207" s="205">
        <v>37</v>
      </c>
      <c r="B207" s="179">
        <v>4</v>
      </c>
      <c r="C207" s="12" t="s">
        <v>262</v>
      </c>
      <c r="D207" s="12" t="s">
        <v>263</v>
      </c>
      <c r="E207" s="12">
        <v>100</v>
      </c>
      <c r="F207" s="12">
        <v>0</v>
      </c>
      <c r="G207" s="60"/>
      <c r="H207" s="12"/>
      <c r="I207" s="12">
        <v>1.25</v>
      </c>
      <c r="J207" s="12" t="s">
        <v>264</v>
      </c>
      <c r="K207" s="12"/>
      <c r="L207" s="12" t="s">
        <v>266</v>
      </c>
      <c r="M207" s="484" t="s">
        <v>560</v>
      </c>
      <c r="N207" s="12" t="s">
        <v>277</v>
      </c>
      <c r="O207" s="12">
        <v>2</v>
      </c>
      <c r="P207" s="12" t="s">
        <v>266</v>
      </c>
      <c r="Q207" s="484" t="s">
        <v>561</v>
      </c>
      <c r="R207" s="12" t="s">
        <v>163</v>
      </c>
      <c r="S207" s="12">
        <v>10</v>
      </c>
      <c r="T207" s="224">
        <v>88</v>
      </c>
      <c r="V207" s="38">
        <v>207</v>
      </c>
    </row>
    <row r="208" spans="1:22" ht="15.75" customHeight="1">
      <c r="A208" s="205">
        <v>37</v>
      </c>
      <c r="B208" s="179">
        <v>5</v>
      </c>
      <c r="C208" s="12" t="s">
        <v>262</v>
      </c>
      <c r="D208" s="12" t="s">
        <v>263</v>
      </c>
      <c r="E208" s="12">
        <v>100</v>
      </c>
      <c r="F208" s="12">
        <v>0</v>
      </c>
      <c r="G208" s="60"/>
      <c r="H208" s="12"/>
      <c r="I208" s="12">
        <v>1.25</v>
      </c>
      <c r="J208" s="12" t="s">
        <v>264</v>
      </c>
      <c r="K208" s="12"/>
      <c r="L208" s="12" t="s">
        <v>266</v>
      </c>
      <c r="M208" s="484" t="s">
        <v>560</v>
      </c>
      <c r="N208" s="12" t="s">
        <v>276</v>
      </c>
      <c r="O208" s="12">
        <v>5</v>
      </c>
      <c r="P208" s="12" t="s">
        <v>266</v>
      </c>
      <c r="Q208" s="484" t="s">
        <v>561</v>
      </c>
      <c r="R208" s="12" t="s">
        <v>163</v>
      </c>
      <c r="S208" s="12">
        <v>10</v>
      </c>
      <c r="T208" s="224">
        <v>85</v>
      </c>
      <c r="V208" s="38">
        <v>208</v>
      </c>
    </row>
    <row r="209" spans="1:22" ht="15.75" customHeight="1">
      <c r="A209" s="205">
        <v>37</v>
      </c>
      <c r="B209" s="179">
        <v>6</v>
      </c>
      <c r="C209" s="12" t="s">
        <v>262</v>
      </c>
      <c r="D209" s="12" t="s">
        <v>263</v>
      </c>
      <c r="E209" s="12">
        <v>100</v>
      </c>
      <c r="F209" s="12">
        <v>0</v>
      </c>
      <c r="G209" s="60"/>
      <c r="H209" s="12"/>
      <c r="I209" s="12">
        <v>1.25</v>
      </c>
      <c r="J209" s="12" t="s">
        <v>264</v>
      </c>
      <c r="K209" s="12"/>
      <c r="L209" s="12" t="s">
        <v>266</v>
      </c>
      <c r="M209" s="484" t="s">
        <v>560</v>
      </c>
      <c r="N209" s="12" t="s">
        <v>277</v>
      </c>
      <c r="O209" s="12">
        <v>5</v>
      </c>
      <c r="P209" s="12" t="s">
        <v>266</v>
      </c>
      <c r="Q209" s="484" t="s">
        <v>561</v>
      </c>
      <c r="R209" s="12" t="s">
        <v>163</v>
      </c>
      <c r="S209" s="12">
        <v>10</v>
      </c>
      <c r="T209" s="224">
        <v>85</v>
      </c>
      <c r="V209" s="38">
        <v>209</v>
      </c>
    </row>
    <row r="210" spans="1:22" ht="15.75" customHeight="1">
      <c r="A210" s="205">
        <v>37</v>
      </c>
      <c r="B210" s="179">
        <v>7</v>
      </c>
      <c r="C210" s="12" t="s">
        <v>262</v>
      </c>
      <c r="D210" s="12" t="s">
        <v>263</v>
      </c>
      <c r="E210" s="12">
        <v>100</v>
      </c>
      <c r="F210" s="12">
        <v>0</v>
      </c>
      <c r="G210" s="60"/>
      <c r="H210" s="12"/>
      <c r="I210" s="12">
        <v>1.25</v>
      </c>
      <c r="J210" s="12" t="s">
        <v>264</v>
      </c>
      <c r="K210" s="12"/>
      <c r="L210" s="12" t="s">
        <v>266</v>
      </c>
      <c r="M210" s="484" t="s">
        <v>560</v>
      </c>
      <c r="N210" s="12" t="s">
        <v>278</v>
      </c>
      <c r="O210" s="12">
        <v>2</v>
      </c>
      <c r="P210" s="12" t="s">
        <v>266</v>
      </c>
      <c r="Q210" s="484" t="s">
        <v>561</v>
      </c>
      <c r="R210" s="12" t="s">
        <v>163</v>
      </c>
      <c r="S210" s="12">
        <v>10</v>
      </c>
      <c r="T210" s="224">
        <v>88</v>
      </c>
      <c r="V210" s="38">
        <v>210</v>
      </c>
    </row>
    <row r="211" spans="1:22" ht="15.75" customHeight="1">
      <c r="A211" s="201">
        <v>38</v>
      </c>
      <c r="B211" s="58">
        <v>1</v>
      </c>
      <c r="C211" s="199" t="s">
        <v>262</v>
      </c>
      <c r="D211" s="199" t="s">
        <v>263</v>
      </c>
      <c r="E211" s="194">
        <v>97</v>
      </c>
      <c r="F211" s="194">
        <v>3</v>
      </c>
      <c r="G211" s="229"/>
      <c r="H211" s="194"/>
      <c r="I211" s="194"/>
      <c r="J211" s="194"/>
      <c r="K211" s="194"/>
      <c r="L211" s="194" t="s">
        <v>265</v>
      </c>
      <c r="M211" s="486"/>
      <c r="N211" s="194"/>
      <c r="O211" s="194"/>
      <c r="P211" s="199" t="s">
        <v>265</v>
      </c>
      <c r="Q211" s="486"/>
      <c r="R211" s="194"/>
      <c r="S211" s="194"/>
      <c r="T211" s="236">
        <v>100</v>
      </c>
      <c r="V211" s="38">
        <v>211</v>
      </c>
    </row>
    <row r="212" spans="1:22" ht="15.75" customHeight="1">
      <c r="A212" s="200">
        <v>38</v>
      </c>
      <c r="B212" s="59">
        <v>2</v>
      </c>
      <c r="C212" s="12" t="s">
        <v>262</v>
      </c>
      <c r="D212" s="12" t="s">
        <v>263</v>
      </c>
      <c r="E212" s="20">
        <v>97</v>
      </c>
      <c r="F212" s="20">
        <v>3</v>
      </c>
      <c r="G212" s="42"/>
      <c r="H212" s="20"/>
      <c r="I212" s="20"/>
      <c r="J212" s="20"/>
      <c r="K212" s="20"/>
      <c r="L212" s="20" t="s">
        <v>266</v>
      </c>
      <c r="M212" s="484" t="s">
        <v>560</v>
      </c>
      <c r="N212" s="20" t="s">
        <v>171</v>
      </c>
      <c r="O212" s="20">
        <v>3</v>
      </c>
      <c r="P212" s="12" t="s">
        <v>265</v>
      </c>
      <c r="Q212" s="484"/>
      <c r="R212" s="20"/>
      <c r="S212" s="20"/>
      <c r="T212" s="234">
        <v>97</v>
      </c>
      <c r="V212" s="38">
        <v>212</v>
      </c>
    </row>
    <row r="213" spans="1:22" ht="15.75" customHeight="1">
      <c r="A213" s="200">
        <v>38</v>
      </c>
      <c r="B213" s="59">
        <v>3</v>
      </c>
      <c r="C213" s="12" t="s">
        <v>262</v>
      </c>
      <c r="D213" s="12" t="s">
        <v>263</v>
      </c>
      <c r="E213" s="20">
        <v>97</v>
      </c>
      <c r="F213" s="20">
        <v>3</v>
      </c>
      <c r="G213" s="42"/>
      <c r="H213" s="20"/>
      <c r="I213" s="20"/>
      <c r="J213" s="20"/>
      <c r="K213" s="20"/>
      <c r="L213" s="20" t="s">
        <v>266</v>
      </c>
      <c r="M213" s="484" t="s">
        <v>560</v>
      </c>
      <c r="N213" s="20" t="s">
        <v>173</v>
      </c>
      <c r="O213" s="20">
        <v>3</v>
      </c>
      <c r="P213" s="12" t="s">
        <v>265</v>
      </c>
      <c r="Q213" s="484"/>
      <c r="R213" s="20"/>
      <c r="S213" s="20"/>
      <c r="T213" s="234">
        <v>97</v>
      </c>
      <c r="V213" s="38">
        <v>213</v>
      </c>
    </row>
    <row r="214" spans="1:22" ht="15.75" customHeight="1">
      <c r="A214" s="200">
        <v>38</v>
      </c>
      <c r="B214" s="59">
        <v>4</v>
      </c>
      <c r="C214" s="12" t="s">
        <v>262</v>
      </c>
      <c r="D214" s="12" t="s">
        <v>263</v>
      </c>
      <c r="E214" s="20">
        <v>97</v>
      </c>
      <c r="F214" s="20">
        <v>3</v>
      </c>
      <c r="G214" s="42"/>
      <c r="H214" s="20"/>
      <c r="I214" s="20"/>
      <c r="J214" s="20"/>
      <c r="K214" s="20"/>
      <c r="L214" s="20" t="s">
        <v>265</v>
      </c>
      <c r="M214" s="484"/>
      <c r="N214" s="20"/>
      <c r="O214" s="20"/>
      <c r="P214" s="12" t="s">
        <v>265</v>
      </c>
      <c r="Q214" s="484"/>
      <c r="R214" s="20"/>
      <c r="S214" s="20"/>
      <c r="T214" s="234">
        <v>100</v>
      </c>
      <c r="V214" s="38">
        <v>214</v>
      </c>
    </row>
    <row r="215" spans="1:22" ht="15.75" customHeight="1">
      <c r="A215" s="200">
        <v>38</v>
      </c>
      <c r="B215" s="59">
        <v>5</v>
      </c>
      <c r="C215" s="12" t="s">
        <v>262</v>
      </c>
      <c r="D215" s="12" t="s">
        <v>263</v>
      </c>
      <c r="E215" s="20">
        <v>97</v>
      </c>
      <c r="F215" s="20">
        <v>3</v>
      </c>
      <c r="G215" s="42"/>
      <c r="H215" s="20"/>
      <c r="I215" s="20"/>
      <c r="J215" s="20"/>
      <c r="K215" s="20"/>
      <c r="L215" s="20" t="s">
        <v>266</v>
      </c>
      <c r="M215" s="484" t="s">
        <v>560</v>
      </c>
      <c r="N215" s="20" t="s">
        <v>171</v>
      </c>
      <c r="O215" s="20">
        <v>3</v>
      </c>
      <c r="P215" s="12" t="s">
        <v>265</v>
      </c>
      <c r="Q215" s="484"/>
      <c r="R215" s="20"/>
      <c r="S215" s="20"/>
      <c r="T215" s="234">
        <v>97</v>
      </c>
      <c r="V215" s="38">
        <v>215</v>
      </c>
    </row>
    <row r="216" spans="1:22" ht="15.75" customHeight="1">
      <c r="A216" s="200">
        <v>38</v>
      </c>
      <c r="B216" s="59">
        <v>6</v>
      </c>
      <c r="C216" s="12" t="s">
        <v>262</v>
      </c>
      <c r="D216" s="12" t="s">
        <v>263</v>
      </c>
      <c r="E216" s="20">
        <v>97</v>
      </c>
      <c r="F216" s="20">
        <v>3</v>
      </c>
      <c r="G216" s="42"/>
      <c r="H216" s="20"/>
      <c r="I216" s="20"/>
      <c r="J216" s="20"/>
      <c r="K216" s="20"/>
      <c r="L216" s="20" t="s">
        <v>266</v>
      </c>
      <c r="M216" s="484" t="s">
        <v>560</v>
      </c>
      <c r="N216" s="20" t="s">
        <v>173</v>
      </c>
      <c r="O216" s="20">
        <v>3</v>
      </c>
      <c r="P216" s="12" t="s">
        <v>265</v>
      </c>
      <c r="Q216" s="484"/>
      <c r="R216" s="20"/>
      <c r="S216" s="20"/>
      <c r="T216" s="234">
        <v>97</v>
      </c>
      <c r="V216" s="38">
        <v>216</v>
      </c>
    </row>
    <row r="217" spans="1:22" ht="15.75" customHeight="1">
      <c r="A217" s="201">
        <v>39</v>
      </c>
      <c r="B217" s="58">
        <v>1</v>
      </c>
      <c r="C217" s="199" t="s">
        <v>262</v>
      </c>
      <c r="D217" s="199" t="s">
        <v>263</v>
      </c>
      <c r="E217" s="194">
        <v>95</v>
      </c>
      <c r="F217" s="194">
        <v>5</v>
      </c>
      <c r="G217" s="229"/>
      <c r="H217" s="206"/>
      <c r="I217" s="206"/>
      <c r="J217" s="206"/>
      <c r="K217" s="206"/>
      <c r="L217" s="194" t="s">
        <v>265</v>
      </c>
      <c r="M217" s="486"/>
      <c r="N217" s="206"/>
      <c r="O217" s="194"/>
      <c r="P217" s="199" t="s">
        <v>265</v>
      </c>
      <c r="Q217" s="490"/>
      <c r="R217" s="206"/>
      <c r="S217" s="206"/>
      <c r="T217" s="236">
        <v>100</v>
      </c>
      <c r="V217" s="38">
        <v>217</v>
      </c>
    </row>
    <row r="218" spans="1:22" ht="15.75" customHeight="1">
      <c r="A218" s="200">
        <v>39</v>
      </c>
      <c r="B218" s="59">
        <v>2</v>
      </c>
      <c r="C218" s="12" t="s">
        <v>262</v>
      </c>
      <c r="D218" s="12" t="s">
        <v>263</v>
      </c>
      <c r="E218" s="20">
        <v>95</v>
      </c>
      <c r="F218" s="20">
        <v>5</v>
      </c>
      <c r="G218" s="42"/>
      <c r="H218" s="2"/>
      <c r="I218" s="2"/>
      <c r="J218" s="2"/>
      <c r="K218" s="2"/>
      <c r="L218" s="20" t="s">
        <v>266</v>
      </c>
      <c r="M218" s="484" t="s">
        <v>560</v>
      </c>
      <c r="N218" s="20" t="s">
        <v>269</v>
      </c>
      <c r="O218" s="20">
        <v>1</v>
      </c>
      <c r="P218" s="12" t="s">
        <v>265</v>
      </c>
      <c r="R218" s="2"/>
      <c r="S218" s="2"/>
      <c r="T218" s="234">
        <v>99</v>
      </c>
      <c r="V218" s="38">
        <v>218</v>
      </c>
    </row>
    <row r="219" spans="1:22" ht="15.75" customHeight="1">
      <c r="A219" s="200">
        <v>39</v>
      </c>
      <c r="B219" s="59">
        <v>3</v>
      </c>
      <c r="C219" s="12" t="s">
        <v>262</v>
      </c>
      <c r="D219" s="12" t="s">
        <v>263</v>
      </c>
      <c r="E219" s="20">
        <v>95</v>
      </c>
      <c r="F219" s="20">
        <v>5</v>
      </c>
      <c r="G219" s="42"/>
      <c r="H219" s="2"/>
      <c r="I219" s="2"/>
      <c r="J219" s="2"/>
      <c r="K219" s="2"/>
      <c r="L219" s="20" t="s">
        <v>266</v>
      </c>
      <c r="M219" s="484" t="s">
        <v>560</v>
      </c>
      <c r="N219" s="20" t="s">
        <v>269</v>
      </c>
      <c r="O219" s="20">
        <v>0.5</v>
      </c>
      <c r="P219" s="12" t="s">
        <v>265</v>
      </c>
      <c r="R219" s="2"/>
      <c r="S219" s="2"/>
      <c r="T219" s="234">
        <v>99.5</v>
      </c>
      <c r="V219" s="38">
        <v>219</v>
      </c>
    </row>
    <row r="220" spans="1:22" ht="15.75" customHeight="1">
      <c r="A220" s="200">
        <v>39</v>
      </c>
      <c r="B220" s="59">
        <v>4</v>
      </c>
      <c r="C220" s="12" t="s">
        <v>262</v>
      </c>
      <c r="D220" s="12" t="s">
        <v>263</v>
      </c>
      <c r="E220" s="20">
        <v>95</v>
      </c>
      <c r="F220" s="20">
        <v>5</v>
      </c>
      <c r="G220" s="42"/>
      <c r="H220" s="2"/>
      <c r="I220" s="2"/>
      <c r="J220" s="2"/>
      <c r="K220" s="2"/>
      <c r="L220" s="20" t="s">
        <v>266</v>
      </c>
      <c r="M220" s="484" t="s">
        <v>560</v>
      </c>
      <c r="N220" s="20" t="s">
        <v>269</v>
      </c>
      <c r="O220" s="20">
        <v>2</v>
      </c>
      <c r="P220" s="12" t="s">
        <v>265</v>
      </c>
      <c r="R220" s="2"/>
      <c r="S220" s="2"/>
      <c r="T220" s="234">
        <v>98</v>
      </c>
      <c r="V220" s="38">
        <v>220</v>
      </c>
    </row>
    <row r="221" spans="1:22" ht="15.75" customHeight="1">
      <c r="A221" s="200">
        <v>39</v>
      </c>
      <c r="B221" s="59">
        <v>5</v>
      </c>
      <c r="C221" s="12" t="s">
        <v>262</v>
      </c>
      <c r="D221" s="12" t="s">
        <v>263</v>
      </c>
      <c r="E221" s="20">
        <v>95</v>
      </c>
      <c r="F221" s="20">
        <v>5</v>
      </c>
      <c r="G221" s="42"/>
      <c r="H221" s="2"/>
      <c r="I221" s="2"/>
      <c r="J221" s="2"/>
      <c r="K221" s="2"/>
      <c r="L221" s="20" t="s">
        <v>265</v>
      </c>
      <c r="M221" s="484"/>
      <c r="N221" s="20"/>
      <c r="O221" s="20"/>
      <c r="P221" s="12" t="s">
        <v>265</v>
      </c>
      <c r="R221" s="2"/>
      <c r="S221" s="2"/>
      <c r="T221" s="234">
        <v>100</v>
      </c>
      <c r="V221" s="38">
        <v>221</v>
      </c>
    </row>
    <row r="222" spans="1:22" ht="15.75" customHeight="1">
      <c r="A222" s="200">
        <v>39</v>
      </c>
      <c r="B222" s="59">
        <v>6</v>
      </c>
      <c r="C222" s="12" t="s">
        <v>262</v>
      </c>
      <c r="D222" s="12" t="s">
        <v>263</v>
      </c>
      <c r="E222" s="20">
        <v>95</v>
      </c>
      <c r="F222" s="20">
        <v>5</v>
      </c>
      <c r="G222" s="42"/>
      <c r="H222" s="2"/>
      <c r="I222" s="2"/>
      <c r="J222" s="2"/>
      <c r="K222" s="2"/>
      <c r="L222" s="20" t="s">
        <v>266</v>
      </c>
      <c r="M222" s="484" t="s">
        <v>560</v>
      </c>
      <c r="N222" s="20" t="s">
        <v>280</v>
      </c>
      <c r="O222" s="20">
        <v>0.5</v>
      </c>
      <c r="P222" s="12" t="s">
        <v>265</v>
      </c>
      <c r="R222" s="2"/>
      <c r="S222" s="2"/>
      <c r="T222" s="234">
        <v>99.5</v>
      </c>
      <c r="V222" s="38">
        <v>222</v>
      </c>
    </row>
    <row r="223" spans="1:22" ht="15.75" customHeight="1">
      <c r="A223" s="200">
        <v>39</v>
      </c>
      <c r="B223" s="59">
        <v>7</v>
      </c>
      <c r="C223" s="12" t="s">
        <v>262</v>
      </c>
      <c r="D223" s="12" t="s">
        <v>263</v>
      </c>
      <c r="E223" s="20">
        <v>95</v>
      </c>
      <c r="F223" s="20">
        <v>5</v>
      </c>
      <c r="G223" s="42"/>
      <c r="H223" s="2"/>
      <c r="I223" s="2"/>
      <c r="J223" s="2"/>
      <c r="K223" s="2"/>
      <c r="L223" s="20" t="s">
        <v>266</v>
      </c>
      <c r="M223" s="484" t="s">
        <v>560</v>
      </c>
      <c r="N223" s="20" t="s">
        <v>280</v>
      </c>
      <c r="O223" s="20">
        <v>1</v>
      </c>
      <c r="P223" s="12" t="s">
        <v>265</v>
      </c>
      <c r="R223" s="2"/>
      <c r="S223" s="2"/>
      <c r="T223" s="234">
        <v>99</v>
      </c>
      <c r="V223" s="38">
        <v>223</v>
      </c>
    </row>
    <row r="224" spans="1:22" ht="15.75" customHeight="1">
      <c r="A224" s="200">
        <v>39</v>
      </c>
      <c r="B224" s="59">
        <v>8</v>
      </c>
      <c r="C224" s="12" t="s">
        <v>262</v>
      </c>
      <c r="D224" s="12" t="s">
        <v>263</v>
      </c>
      <c r="E224" s="20">
        <v>95</v>
      </c>
      <c r="F224" s="20">
        <v>5</v>
      </c>
      <c r="G224" s="42"/>
      <c r="H224" s="2"/>
      <c r="I224" s="2"/>
      <c r="J224" s="2"/>
      <c r="K224" s="2"/>
      <c r="L224" s="20" t="s">
        <v>266</v>
      </c>
      <c r="M224" s="484" t="s">
        <v>560</v>
      </c>
      <c r="N224" s="20" t="s">
        <v>280</v>
      </c>
      <c r="O224" s="20">
        <v>2</v>
      </c>
      <c r="P224" s="12" t="s">
        <v>265</v>
      </c>
      <c r="R224" s="2"/>
      <c r="S224" s="2"/>
      <c r="T224" s="234">
        <v>98</v>
      </c>
      <c r="V224" s="38">
        <v>224</v>
      </c>
    </row>
    <row r="225" spans="1:22" ht="15.75" customHeight="1">
      <c r="A225" s="177">
        <v>41</v>
      </c>
      <c r="B225" s="178">
        <v>1</v>
      </c>
      <c r="C225" s="199" t="s">
        <v>262</v>
      </c>
      <c r="D225" s="199" t="s">
        <v>263</v>
      </c>
      <c r="E225" s="199">
        <v>100</v>
      </c>
      <c r="F225" s="199">
        <v>0</v>
      </c>
      <c r="G225" s="244"/>
      <c r="H225" s="199"/>
      <c r="I225" s="199">
        <v>1.25</v>
      </c>
      <c r="J225" s="199" t="s">
        <v>264</v>
      </c>
      <c r="K225" s="199"/>
      <c r="L225" s="199" t="s">
        <v>265</v>
      </c>
      <c r="M225" s="486"/>
      <c r="N225" s="199"/>
      <c r="O225" s="199"/>
      <c r="P225" s="199" t="s">
        <v>265</v>
      </c>
      <c r="Q225" s="486"/>
      <c r="R225" s="199"/>
      <c r="S225" s="199"/>
      <c r="T225" s="227">
        <v>100</v>
      </c>
      <c r="V225" s="38">
        <v>230</v>
      </c>
    </row>
    <row r="226" spans="1:22" ht="15.75" customHeight="1">
      <c r="A226" s="174">
        <v>41</v>
      </c>
      <c r="B226" s="179">
        <v>2</v>
      </c>
      <c r="C226" s="12" t="s">
        <v>262</v>
      </c>
      <c r="D226" s="12" t="s">
        <v>263</v>
      </c>
      <c r="E226" s="12">
        <v>100</v>
      </c>
      <c r="F226" s="12">
        <v>0</v>
      </c>
      <c r="G226" s="60"/>
      <c r="H226" s="12"/>
      <c r="I226" s="12">
        <v>1.25</v>
      </c>
      <c r="J226" s="12" t="s">
        <v>264</v>
      </c>
      <c r="K226" s="12"/>
      <c r="L226" s="12" t="s">
        <v>266</v>
      </c>
      <c r="M226" s="484" t="s">
        <v>279</v>
      </c>
      <c r="N226" s="12" t="s">
        <v>77</v>
      </c>
      <c r="O226" s="12">
        <v>10</v>
      </c>
      <c r="P226" s="12" t="s">
        <v>265</v>
      </c>
      <c r="Q226" s="484"/>
      <c r="R226" s="12"/>
      <c r="S226" s="12"/>
      <c r="T226" s="224">
        <v>90</v>
      </c>
      <c r="V226" s="38">
        <v>231</v>
      </c>
    </row>
    <row r="227" spans="1:22" ht="15.75" customHeight="1">
      <c r="A227" s="174">
        <v>41</v>
      </c>
      <c r="B227" s="179">
        <v>3</v>
      </c>
      <c r="C227" s="12" t="s">
        <v>262</v>
      </c>
      <c r="D227" s="12" t="s">
        <v>263</v>
      </c>
      <c r="E227" s="12">
        <v>100</v>
      </c>
      <c r="F227" s="12">
        <v>0</v>
      </c>
      <c r="G227" s="60"/>
      <c r="H227" s="12"/>
      <c r="I227" s="12">
        <v>1.25</v>
      </c>
      <c r="J227" s="12" t="s">
        <v>264</v>
      </c>
      <c r="K227" s="12"/>
      <c r="L227" s="12" t="s">
        <v>266</v>
      </c>
      <c r="M227" s="484" t="s">
        <v>279</v>
      </c>
      <c r="N227" s="12" t="s">
        <v>77</v>
      </c>
      <c r="O227" s="12">
        <v>20</v>
      </c>
      <c r="P227" s="12" t="s">
        <v>265</v>
      </c>
      <c r="Q227" s="484"/>
      <c r="R227" s="12"/>
      <c r="S227" s="12"/>
      <c r="T227" s="224">
        <v>80</v>
      </c>
      <c r="V227" s="38">
        <v>232</v>
      </c>
    </row>
    <row r="228" spans="1:22" ht="15.75" customHeight="1">
      <c r="A228" s="174">
        <v>41</v>
      </c>
      <c r="B228" s="179">
        <v>4</v>
      </c>
      <c r="C228" s="12" t="s">
        <v>262</v>
      </c>
      <c r="D228" s="12" t="s">
        <v>263</v>
      </c>
      <c r="E228" s="12">
        <v>100</v>
      </c>
      <c r="F228" s="12">
        <v>0</v>
      </c>
      <c r="G228" s="60"/>
      <c r="H228" s="12"/>
      <c r="I228" s="12">
        <v>1.25</v>
      </c>
      <c r="J228" s="12" t="s">
        <v>264</v>
      </c>
      <c r="K228" s="12"/>
      <c r="L228" s="12" t="s">
        <v>266</v>
      </c>
      <c r="M228" s="484" t="s">
        <v>279</v>
      </c>
      <c r="N228" s="12" t="s">
        <v>77</v>
      </c>
      <c r="O228" s="12">
        <v>30</v>
      </c>
      <c r="P228" s="12" t="s">
        <v>265</v>
      </c>
      <c r="Q228" s="484"/>
      <c r="R228" s="12"/>
      <c r="S228" s="12"/>
      <c r="T228" s="224">
        <v>70</v>
      </c>
      <c r="V228" s="38">
        <v>233</v>
      </c>
    </row>
    <row r="229" spans="1:22" ht="15.75" customHeight="1">
      <c r="A229" s="174">
        <v>41</v>
      </c>
      <c r="B229" s="179">
        <v>5</v>
      </c>
      <c r="C229" s="12" t="s">
        <v>262</v>
      </c>
      <c r="D229" s="12" t="s">
        <v>263</v>
      </c>
      <c r="E229" s="12">
        <v>100</v>
      </c>
      <c r="F229" s="12">
        <v>0</v>
      </c>
      <c r="G229" s="60"/>
      <c r="H229" s="12"/>
      <c r="I229" s="12">
        <v>1.25</v>
      </c>
      <c r="J229" s="12" t="s">
        <v>264</v>
      </c>
      <c r="K229" s="12"/>
      <c r="L229" s="12" t="s">
        <v>266</v>
      </c>
      <c r="M229" s="484" t="s">
        <v>279</v>
      </c>
      <c r="N229" s="12" t="s">
        <v>77</v>
      </c>
      <c r="O229" s="12">
        <v>40</v>
      </c>
      <c r="P229" s="12" t="s">
        <v>265</v>
      </c>
      <c r="Q229" s="484"/>
      <c r="R229" s="12"/>
      <c r="S229" s="12"/>
      <c r="T229" s="224">
        <v>60</v>
      </c>
      <c r="V229" s="38">
        <v>234</v>
      </c>
    </row>
    <row r="230" spans="1:22" ht="15.75" customHeight="1">
      <c r="A230" s="175">
        <v>41</v>
      </c>
      <c r="B230" s="180">
        <v>6</v>
      </c>
      <c r="C230" s="24" t="s">
        <v>262</v>
      </c>
      <c r="D230" s="24" t="s">
        <v>263</v>
      </c>
      <c r="E230" s="24">
        <v>100</v>
      </c>
      <c r="F230" s="24">
        <v>0</v>
      </c>
      <c r="G230" s="61"/>
      <c r="H230" s="24"/>
      <c r="I230" s="24">
        <v>1.25</v>
      </c>
      <c r="J230" s="24" t="s">
        <v>264</v>
      </c>
      <c r="K230" s="24"/>
      <c r="L230" s="24" t="s">
        <v>266</v>
      </c>
      <c r="M230" s="485" t="s">
        <v>279</v>
      </c>
      <c r="N230" s="24" t="s">
        <v>77</v>
      </c>
      <c r="O230" s="24">
        <v>50</v>
      </c>
      <c r="P230" s="24" t="s">
        <v>265</v>
      </c>
      <c r="Q230" s="485"/>
      <c r="R230" s="24"/>
      <c r="S230" s="24"/>
      <c r="T230" s="225">
        <v>50</v>
      </c>
      <c r="V230" s="38">
        <v>235</v>
      </c>
    </row>
    <row r="231" spans="1:22" ht="15.75" customHeight="1">
      <c r="A231" s="177">
        <v>42</v>
      </c>
      <c r="B231" s="178" t="s">
        <v>220</v>
      </c>
      <c r="C231" s="199" t="s">
        <v>262</v>
      </c>
      <c r="D231" s="199" t="s">
        <v>263</v>
      </c>
      <c r="E231" s="199">
        <v>97</v>
      </c>
      <c r="F231" s="199">
        <v>3</v>
      </c>
      <c r="G231" s="42"/>
      <c r="L231" s="199" t="s">
        <v>265</v>
      </c>
      <c r="M231" s="486"/>
      <c r="N231" s="199"/>
      <c r="O231" s="199"/>
      <c r="P231" s="199" t="s">
        <v>265</v>
      </c>
      <c r="Q231" s="486"/>
      <c r="R231" s="199"/>
      <c r="S231" s="199"/>
      <c r="T231" s="227">
        <v>100</v>
      </c>
      <c r="V231" s="38">
        <v>236</v>
      </c>
    </row>
    <row r="232" spans="1:22" ht="15.75" customHeight="1">
      <c r="A232" s="174">
        <v>42</v>
      </c>
      <c r="B232" s="179" t="s">
        <v>221</v>
      </c>
      <c r="C232" s="12" t="s">
        <v>262</v>
      </c>
      <c r="D232" s="12" t="s">
        <v>263</v>
      </c>
      <c r="E232" s="12">
        <v>97</v>
      </c>
      <c r="F232" s="12">
        <v>3</v>
      </c>
      <c r="G232" s="42"/>
      <c r="H232" s="2"/>
      <c r="I232" s="2"/>
      <c r="J232" s="2"/>
      <c r="K232" s="2"/>
      <c r="L232" s="12" t="s">
        <v>266</v>
      </c>
      <c r="M232" s="484" t="s">
        <v>561</v>
      </c>
      <c r="N232" s="12" t="s">
        <v>180</v>
      </c>
      <c r="O232" s="12">
        <v>23.08</v>
      </c>
      <c r="P232" s="12" t="s">
        <v>265</v>
      </c>
      <c r="Q232" s="484"/>
      <c r="R232" s="12"/>
      <c r="S232" s="12"/>
      <c r="T232" s="224">
        <f>100-23.08</f>
        <v>76.92</v>
      </c>
      <c r="V232" s="38">
        <v>237</v>
      </c>
    </row>
    <row r="233" spans="1:22" ht="15.75" customHeight="1">
      <c r="A233" s="174">
        <v>42</v>
      </c>
      <c r="B233" s="179" t="s">
        <v>222</v>
      </c>
      <c r="C233" s="12" t="s">
        <v>262</v>
      </c>
      <c r="D233" s="12" t="s">
        <v>263</v>
      </c>
      <c r="E233" s="12">
        <v>97</v>
      </c>
      <c r="F233" s="12">
        <v>3</v>
      </c>
      <c r="G233" s="42"/>
      <c r="H233" s="2"/>
      <c r="I233" s="2"/>
      <c r="J233" s="2"/>
      <c r="K233" s="2"/>
      <c r="L233" s="12" t="s">
        <v>266</v>
      </c>
      <c r="M233" s="484" t="s">
        <v>561</v>
      </c>
      <c r="N233" s="12" t="s">
        <v>180</v>
      </c>
      <c r="O233" s="12">
        <v>23.08</v>
      </c>
      <c r="P233" s="12" t="s">
        <v>266</v>
      </c>
      <c r="Q233" s="484" t="s">
        <v>560</v>
      </c>
      <c r="R233" s="12" t="s">
        <v>182</v>
      </c>
      <c r="S233" s="12">
        <v>1</v>
      </c>
      <c r="T233" s="224">
        <f>76.92-1</f>
        <v>75.92</v>
      </c>
      <c r="V233" s="38">
        <v>238</v>
      </c>
    </row>
    <row r="234" spans="1:22" ht="15.75" customHeight="1">
      <c r="A234" s="174">
        <v>42</v>
      </c>
      <c r="B234" s="179" t="s">
        <v>224</v>
      </c>
      <c r="C234" s="12" t="s">
        <v>262</v>
      </c>
      <c r="D234" s="12" t="s">
        <v>263</v>
      </c>
      <c r="E234" s="12">
        <v>97</v>
      </c>
      <c r="F234" s="12">
        <v>3</v>
      </c>
      <c r="G234" s="42"/>
      <c r="H234" s="2"/>
      <c r="I234" s="2"/>
      <c r="J234" s="2"/>
      <c r="K234" s="2"/>
      <c r="L234" s="12" t="s">
        <v>265</v>
      </c>
      <c r="M234" s="484"/>
      <c r="N234" s="12"/>
      <c r="O234" s="12"/>
      <c r="P234" s="12" t="s">
        <v>265</v>
      </c>
      <c r="Q234" s="484"/>
      <c r="R234" s="12"/>
      <c r="S234" s="12"/>
      <c r="T234" s="224">
        <v>100</v>
      </c>
      <c r="V234" s="38">
        <v>239</v>
      </c>
    </row>
    <row r="235" spans="1:22" ht="15.75" customHeight="1">
      <c r="A235" s="174">
        <v>42</v>
      </c>
      <c r="B235" s="179" t="s">
        <v>225</v>
      </c>
      <c r="C235" s="12" t="s">
        <v>262</v>
      </c>
      <c r="D235" s="12" t="s">
        <v>263</v>
      </c>
      <c r="E235" s="12">
        <v>97</v>
      </c>
      <c r="F235" s="12">
        <v>3</v>
      </c>
      <c r="G235" s="42"/>
      <c r="L235" s="12" t="s">
        <v>266</v>
      </c>
      <c r="M235" s="484" t="s">
        <v>561</v>
      </c>
      <c r="N235" s="12" t="s">
        <v>180</v>
      </c>
      <c r="O235" s="12">
        <v>23.08</v>
      </c>
      <c r="P235" s="12" t="s">
        <v>265</v>
      </c>
      <c r="Q235" s="484"/>
      <c r="R235" s="12"/>
      <c r="S235" s="12"/>
      <c r="T235" s="224">
        <f>100-23.08</f>
        <v>76.92</v>
      </c>
      <c r="V235" s="38">
        <v>240</v>
      </c>
    </row>
    <row r="236" spans="1:22" ht="15.75" customHeight="1">
      <c r="A236" s="174">
        <v>42</v>
      </c>
      <c r="B236" s="179" t="s">
        <v>226</v>
      </c>
      <c r="C236" s="12" t="s">
        <v>262</v>
      </c>
      <c r="D236" s="12" t="s">
        <v>263</v>
      </c>
      <c r="E236" s="12">
        <v>97</v>
      </c>
      <c r="F236" s="12">
        <v>3</v>
      </c>
      <c r="G236" s="42"/>
      <c r="H236" s="2"/>
      <c r="I236" s="2"/>
      <c r="J236" s="2"/>
      <c r="K236" s="2"/>
      <c r="L236" s="12" t="s">
        <v>266</v>
      </c>
      <c r="M236" s="484" t="s">
        <v>561</v>
      </c>
      <c r="N236" s="12" t="s">
        <v>180</v>
      </c>
      <c r="O236" s="12">
        <v>23.08</v>
      </c>
      <c r="P236" s="12" t="s">
        <v>266</v>
      </c>
      <c r="Q236" s="484" t="s">
        <v>560</v>
      </c>
      <c r="R236" s="12" t="s">
        <v>182</v>
      </c>
      <c r="S236" s="12">
        <v>1</v>
      </c>
      <c r="T236" s="224">
        <f>76.92-1</f>
        <v>75.92</v>
      </c>
      <c r="V236" s="38">
        <v>241</v>
      </c>
    </row>
    <row r="237" spans="1:22" ht="15.75" customHeight="1">
      <c r="A237" s="201">
        <v>43</v>
      </c>
      <c r="B237" s="58">
        <v>1</v>
      </c>
      <c r="C237" s="245" t="s">
        <v>262</v>
      </c>
      <c r="D237" s="245" t="s">
        <v>263</v>
      </c>
      <c r="E237" s="194">
        <v>100</v>
      </c>
      <c r="F237" s="194">
        <v>0</v>
      </c>
      <c r="G237" s="229"/>
      <c r="H237" s="194"/>
      <c r="I237" s="199">
        <v>1.25</v>
      </c>
      <c r="J237" s="199" t="s">
        <v>264</v>
      </c>
      <c r="K237" s="194"/>
      <c r="L237" s="194" t="s">
        <v>265</v>
      </c>
      <c r="M237" s="486"/>
      <c r="N237" s="194"/>
      <c r="O237" s="194"/>
      <c r="P237" s="199" t="s">
        <v>265</v>
      </c>
      <c r="Q237" s="486"/>
      <c r="R237" s="194"/>
      <c r="S237" s="194"/>
      <c r="T237" s="236">
        <v>100</v>
      </c>
      <c r="V237" s="38">
        <v>242</v>
      </c>
    </row>
    <row r="238" spans="1:22" ht="15.75" customHeight="1">
      <c r="A238" s="200">
        <v>43</v>
      </c>
      <c r="B238" s="59">
        <v>2</v>
      </c>
      <c r="C238" s="12" t="s">
        <v>262</v>
      </c>
      <c r="D238" s="12" t="s">
        <v>263</v>
      </c>
      <c r="E238" s="20">
        <v>100</v>
      </c>
      <c r="F238" s="20">
        <v>0</v>
      </c>
      <c r="G238" s="42"/>
      <c r="H238" s="20"/>
      <c r="I238" s="12">
        <v>1.25</v>
      </c>
      <c r="J238" s="12" t="s">
        <v>264</v>
      </c>
      <c r="K238" s="20"/>
      <c r="L238" s="12" t="s">
        <v>266</v>
      </c>
      <c r="M238" s="484" t="s">
        <v>560</v>
      </c>
      <c r="N238" s="20" t="s">
        <v>178</v>
      </c>
      <c r="O238" s="20">
        <v>2</v>
      </c>
      <c r="P238" s="12" t="s">
        <v>265</v>
      </c>
      <c r="Q238" s="484"/>
      <c r="R238" s="20"/>
      <c r="S238" s="20"/>
      <c r="T238" s="234">
        <v>98</v>
      </c>
      <c r="V238" s="38">
        <v>243</v>
      </c>
    </row>
    <row r="239" spans="1:22" ht="15.75" customHeight="1">
      <c r="A239" s="200">
        <v>43</v>
      </c>
      <c r="B239" s="59">
        <v>3</v>
      </c>
      <c r="C239" s="12" t="s">
        <v>262</v>
      </c>
      <c r="D239" s="12" t="s">
        <v>263</v>
      </c>
      <c r="E239" s="20">
        <v>100</v>
      </c>
      <c r="F239" s="20">
        <v>0</v>
      </c>
      <c r="G239" s="42"/>
      <c r="H239" s="20"/>
      <c r="I239" s="12">
        <v>1.25</v>
      </c>
      <c r="J239" s="12" t="s">
        <v>264</v>
      </c>
      <c r="K239" s="20"/>
      <c r="L239" s="12" t="s">
        <v>266</v>
      </c>
      <c r="M239" s="484" t="s">
        <v>560</v>
      </c>
      <c r="N239" s="20" t="s">
        <v>178</v>
      </c>
      <c r="O239" s="20">
        <v>5</v>
      </c>
      <c r="P239" s="12" t="s">
        <v>265</v>
      </c>
      <c r="Q239" s="484"/>
      <c r="R239" s="20"/>
      <c r="S239" s="20"/>
      <c r="T239" s="234">
        <v>95</v>
      </c>
      <c r="V239" s="38">
        <v>244</v>
      </c>
    </row>
    <row r="240" spans="1:22" ht="15.75" customHeight="1">
      <c r="A240" s="201">
        <v>44</v>
      </c>
      <c r="B240" s="58" t="s">
        <v>220</v>
      </c>
      <c r="C240" s="199" t="s">
        <v>262</v>
      </c>
      <c r="D240" s="199" t="s">
        <v>263</v>
      </c>
      <c r="E240" s="194">
        <v>100</v>
      </c>
      <c r="F240" s="194">
        <v>0</v>
      </c>
      <c r="G240" s="229">
        <v>102000</v>
      </c>
      <c r="H240" s="194">
        <v>75000</v>
      </c>
      <c r="I240" s="194"/>
      <c r="J240" s="194"/>
      <c r="K240" s="194">
        <v>1.36</v>
      </c>
      <c r="L240" s="194" t="s">
        <v>265</v>
      </c>
      <c r="M240" s="486"/>
      <c r="N240" s="194"/>
      <c r="O240" s="194"/>
      <c r="P240" s="199" t="s">
        <v>265</v>
      </c>
      <c r="Q240" s="486"/>
      <c r="R240" s="194"/>
      <c r="S240" s="194"/>
      <c r="T240" s="236">
        <v>100</v>
      </c>
      <c r="V240" s="38">
        <v>245</v>
      </c>
    </row>
    <row r="241" spans="1:22" ht="15.75" customHeight="1">
      <c r="A241" s="200">
        <v>44</v>
      </c>
      <c r="B241" s="59" t="s">
        <v>221</v>
      </c>
      <c r="C241" s="12" t="s">
        <v>262</v>
      </c>
      <c r="D241" s="12" t="s">
        <v>263</v>
      </c>
      <c r="E241" s="20">
        <v>100</v>
      </c>
      <c r="F241" s="20">
        <v>0</v>
      </c>
      <c r="G241" s="42">
        <v>102000</v>
      </c>
      <c r="H241" s="20">
        <v>75000</v>
      </c>
      <c r="I241" s="20"/>
      <c r="J241" s="20"/>
      <c r="K241" s="20">
        <v>1.36</v>
      </c>
      <c r="L241" s="12" t="s">
        <v>266</v>
      </c>
      <c r="M241" s="484" t="s">
        <v>279</v>
      </c>
      <c r="N241" s="20" t="s">
        <v>31</v>
      </c>
      <c r="O241" s="20">
        <v>0.1</v>
      </c>
      <c r="P241" s="12" t="s">
        <v>265</v>
      </c>
      <c r="Q241" s="484"/>
      <c r="R241" s="20"/>
      <c r="S241" s="20"/>
      <c r="T241" s="234">
        <v>99.9</v>
      </c>
      <c r="V241" s="38">
        <v>246</v>
      </c>
    </row>
    <row r="242" spans="1:22" ht="15.75" customHeight="1">
      <c r="A242" s="200">
        <v>44</v>
      </c>
      <c r="B242" s="59" t="s">
        <v>222</v>
      </c>
      <c r="C242" s="12" t="s">
        <v>262</v>
      </c>
      <c r="D242" s="12" t="s">
        <v>263</v>
      </c>
      <c r="E242" s="20">
        <v>100</v>
      </c>
      <c r="F242" s="20">
        <v>0</v>
      </c>
      <c r="G242" s="42">
        <v>102000</v>
      </c>
      <c r="H242" s="20">
        <v>75000</v>
      </c>
      <c r="I242" s="20"/>
      <c r="J242" s="20"/>
      <c r="K242" s="20">
        <v>1.36</v>
      </c>
      <c r="L242" s="12" t="s">
        <v>266</v>
      </c>
      <c r="M242" s="484" t="s">
        <v>279</v>
      </c>
      <c r="N242" s="20" t="s">
        <v>31</v>
      </c>
      <c r="O242" s="20">
        <v>0.2</v>
      </c>
      <c r="P242" s="12" t="s">
        <v>265</v>
      </c>
      <c r="Q242" s="484"/>
      <c r="R242" s="20"/>
      <c r="S242" s="20"/>
      <c r="T242" s="234">
        <v>99.8</v>
      </c>
      <c r="V242" s="38">
        <v>247</v>
      </c>
    </row>
    <row r="243" spans="1:22" ht="15.75" customHeight="1">
      <c r="A243" s="200">
        <v>44</v>
      </c>
      <c r="B243" s="59" t="s">
        <v>223</v>
      </c>
      <c r="C243" s="12" t="s">
        <v>262</v>
      </c>
      <c r="D243" s="12" t="s">
        <v>263</v>
      </c>
      <c r="E243" s="20">
        <v>100</v>
      </c>
      <c r="F243" s="20">
        <v>0</v>
      </c>
      <c r="G243" s="42">
        <v>102000</v>
      </c>
      <c r="H243" s="20">
        <v>75000</v>
      </c>
      <c r="I243" s="20"/>
      <c r="J243" s="20"/>
      <c r="K243" s="20">
        <v>1.36</v>
      </c>
      <c r="L243" s="12" t="s">
        <v>266</v>
      </c>
      <c r="M243" s="484" t="s">
        <v>279</v>
      </c>
      <c r="N243" s="20" t="s">
        <v>31</v>
      </c>
      <c r="O243" s="20">
        <v>0.3</v>
      </c>
      <c r="P243" s="12" t="s">
        <v>265</v>
      </c>
      <c r="Q243" s="484"/>
      <c r="R243" s="20"/>
      <c r="S243" s="20"/>
      <c r="T243" s="234">
        <v>99.7</v>
      </c>
      <c r="V243" s="38">
        <v>248</v>
      </c>
    </row>
    <row r="244" spans="1:22" ht="15.75" customHeight="1">
      <c r="A244" s="200">
        <v>44</v>
      </c>
      <c r="B244" s="59" t="s">
        <v>228</v>
      </c>
      <c r="C244" s="12" t="s">
        <v>262</v>
      </c>
      <c r="D244" s="12" t="s">
        <v>263</v>
      </c>
      <c r="E244" s="20">
        <v>100</v>
      </c>
      <c r="F244" s="20">
        <v>0</v>
      </c>
      <c r="G244" s="42">
        <v>102000</v>
      </c>
      <c r="H244" s="20">
        <v>75000</v>
      </c>
      <c r="I244" s="20"/>
      <c r="J244" s="20"/>
      <c r="K244" s="20">
        <v>1.36</v>
      </c>
      <c r="L244" s="12" t="s">
        <v>266</v>
      </c>
      <c r="M244" s="484" t="s">
        <v>279</v>
      </c>
      <c r="N244" s="20" t="s">
        <v>31</v>
      </c>
      <c r="O244" s="20">
        <v>0.5</v>
      </c>
      <c r="P244" s="12" t="s">
        <v>265</v>
      </c>
      <c r="Q244" s="484"/>
      <c r="R244" s="20"/>
      <c r="S244" s="20"/>
      <c r="T244" s="234">
        <v>99.5</v>
      </c>
      <c r="V244" s="38">
        <v>249</v>
      </c>
    </row>
    <row r="245" spans="1:22" ht="15.75" customHeight="1">
      <c r="A245" s="200">
        <v>44</v>
      </c>
      <c r="B245" s="59" t="s">
        <v>224</v>
      </c>
      <c r="C245" s="12" t="s">
        <v>262</v>
      </c>
      <c r="D245" s="12" t="s">
        <v>263</v>
      </c>
      <c r="E245" s="20">
        <v>100</v>
      </c>
      <c r="F245" s="20">
        <v>0</v>
      </c>
      <c r="G245" s="42">
        <v>102000</v>
      </c>
      <c r="H245" s="20">
        <v>75000</v>
      </c>
      <c r="I245" s="20"/>
      <c r="J245" s="20"/>
      <c r="K245" s="20">
        <v>1.36</v>
      </c>
      <c r="L245" s="20" t="s">
        <v>265</v>
      </c>
      <c r="M245" s="484"/>
      <c r="N245" s="20"/>
      <c r="O245" s="20"/>
      <c r="P245" s="12" t="s">
        <v>265</v>
      </c>
      <c r="Q245" s="484"/>
      <c r="R245" s="20"/>
      <c r="S245" s="20"/>
      <c r="T245" s="234">
        <v>100</v>
      </c>
      <c r="V245" s="38">
        <v>250</v>
      </c>
    </row>
    <row r="246" spans="1:22" ht="15.75" customHeight="1">
      <c r="A246" s="200">
        <v>44</v>
      </c>
      <c r="B246" s="59" t="s">
        <v>225</v>
      </c>
      <c r="C246" s="12" t="s">
        <v>262</v>
      </c>
      <c r="D246" s="12" t="s">
        <v>263</v>
      </c>
      <c r="E246" s="20">
        <v>100</v>
      </c>
      <c r="F246" s="20">
        <v>0</v>
      </c>
      <c r="G246" s="42">
        <v>102000</v>
      </c>
      <c r="H246" s="20">
        <v>75000</v>
      </c>
      <c r="I246" s="20"/>
      <c r="J246" s="20"/>
      <c r="K246" s="20">
        <v>1.36</v>
      </c>
      <c r="L246" s="12" t="s">
        <v>266</v>
      </c>
      <c r="M246" s="484" t="s">
        <v>279</v>
      </c>
      <c r="N246" s="20" t="s">
        <v>31</v>
      </c>
      <c r="O246" s="20">
        <v>0.1</v>
      </c>
      <c r="P246" s="12" t="s">
        <v>265</v>
      </c>
      <c r="Q246" s="484"/>
      <c r="R246" s="20"/>
      <c r="S246" s="20"/>
      <c r="T246" s="234">
        <v>99.9</v>
      </c>
      <c r="V246" s="38">
        <v>251</v>
      </c>
    </row>
    <row r="247" spans="1:22" ht="15.75" customHeight="1">
      <c r="A247" s="200">
        <v>44</v>
      </c>
      <c r="B247" s="59" t="s">
        <v>226</v>
      </c>
      <c r="C247" s="12" t="s">
        <v>262</v>
      </c>
      <c r="D247" s="12" t="s">
        <v>263</v>
      </c>
      <c r="E247" s="20">
        <v>100</v>
      </c>
      <c r="F247" s="20">
        <v>0</v>
      </c>
      <c r="G247" s="42">
        <v>102000</v>
      </c>
      <c r="H247" s="20">
        <v>75000</v>
      </c>
      <c r="I247" s="20"/>
      <c r="J247" s="20"/>
      <c r="K247" s="20">
        <v>1.36</v>
      </c>
      <c r="L247" s="12" t="s">
        <v>266</v>
      </c>
      <c r="M247" s="484" t="s">
        <v>279</v>
      </c>
      <c r="N247" s="20" t="s">
        <v>31</v>
      </c>
      <c r="O247" s="20">
        <v>0.2</v>
      </c>
      <c r="P247" s="12" t="s">
        <v>265</v>
      </c>
      <c r="Q247" s="484"/>
      <c r="R247" s="20"/>
      <c r="S247" s="20"/>
      <c r="T247" s="234">
        <v>99.8</v>
      </c>
      <c r="V247" s="38">
        <v>252</v>
      </c>
    </row>
    <row r="248" spans="1:22" ht="15.75" customHeight="1">
      <c r="A248" s="200">
        <v>44</v>
      </c>
      <c r="B248" s="59" t="s">
        <v>227</v>
      </c>
      <c r="C248" s="12" t="s">
        <v>262</v>
      </c>
      <c r="D248" s="12" t="s">
        <v>263</v>
      </c>
      <c r="E248" s="20">
        <v>100</v>
      </c>
      <c r="F248" s="20">
        <v>0</v>
      </c>
      <c r="G248" s="42">
        <v>102000</v>
      </c>
      <c r="H248" s="20">
        <v>75000</v>
      </c>
      <c r="I248" s="20"/>
      <c r="J248" s="20"/>
      <c r="K248" s="20">
        <v>1.36</v>
      </c>
      <c r="L248" s="12" t="s">
        <v>266</v>
      </c>
      <c r="M248" s="484" t="s">
        <v>279</v>
      </c>
      <c r="N248" s="20" t="s">
        <v>31</v>
      </c>
      <c r="O248" s="20">
        <v>0.3</v>
      </c>
      <c r="P248" s="12" t="s">
        <v>265</v>
      </c>
      <c r="Q248" s="484"/>
      <c r="R248" s="20"/>
      <c r="S248" s="20"/>
      <c r="T248" s="234">
        <v>99.7</v>
      </c>
      <c r="V248" s="38">
        <v>253</v>
      </c>
    </row>
    <row r="249" spans="1:22" ht="15.75" customHeight="1">
      <c r="A249" s="200">
        <v>44</v>
      </c>
      <c r="B249" s="59" t="s">
        <v>229</v>
      </c>
      <c r="C249" s="12" t="s">
        <v>262</v>
      </c>
      <c r="D249" s="12" t="s">
        <v>263</v>
      </c>
      <c r="E249" s="20">
        <v>100</v>
      </c>
      <c r="F249" s="20">
        <v>0</v>
      </c>
      <c r="G249" s="42">
        <v>102000</v>
      </c>
      <c r="H249" s="20">
        <v>75000</v>
      </c>
      <c r="I249" s="20"/>
      <c r="J249" s="20"/>
      <c r="K249" s="20">
        <v>1.36</v>
      </c>
      <c r="L249" s="12" t="s">
        <v>266</v>
      </c>
      <c r="M249" s="484" t="s">
        <v>279</v>
      </c>
      <c r="N249" s="20" t="s">
        <v>31</v>
      </c>
      <c r="O249" s="20">
        <v>0.5</v>
      </c>
      <c r="P249" s="24" t="s">
        <v>265</v>
      </c>
      <c r="Q249" s="484"/>
      <c r="R249" s="20"/>
      <c r="S249" s="20"/>
      <c r="T249" s="234">
        <v>99.5</v>
      </c>
      <c r="V249" s="38">
        <v>254</v>
      </c>
    </row>
    <row r="250" spans="1:22" ht="15.75" customHeight="1">
      <c r="A250" s="177">
        <v>45</v>
      </c>
      <c r="B250" s="178" t="s">
        <v>220</v>
      </c>
      <c r="C250" s="199" t="s">
        <v>262</v>
      </c>
      <c r="D250" s="199" t="s">
        <v>263</v>
      </c>
      <c r="E250" s="199">
        <v>100</v>
      </c>
      <c r="F250" s="199">
        <v>0</v>
      </c>
      <c r="G250" s="244">
        <v>290000</v>
      </c>
      <c r="H250" s="199"/>
      <c r="I250" s="199"/>
      <c r="J250" s="199"/>
      <c r="K250" s="199">
        <v>2.2999999999999998</v>
      </c>
      <c r="L250" s="199" t="s">
        <v>265</v>
      </c>
      <c r="M250" s="486"/>
      <c r="N250" s="199"/>
      <c r="O250" s="199"/>
      <c r="P250" s="199" t="s">
        <v>265</v>
      </c>
      <c r="Q250" s="486"/>
      <c r="R250" s="199"/>
      <c r="S250" s="199"/>
      <c r="T250" s="227">
        <v>100</v>
      </c>
      <c r="V250" s="38">
        <v>255</v>
      </c>
    </row>
    <row r="251" spans="1:22" ht="15.75" customHeight="1">
      <c r="A251" s="174">
        <v>45</v>
      </c>
      <c r="B251" s="179" t="s">
        <v>221</v>
      </c>
      <c r="C251" s="12" t="s">
        <v>262</v>
      </c>
      <c r="D251" s="12" t="s">
        <v>263</v>
      </c>
      <c r="E251" s="12">
        <v>100</v>
      </c>
      <c r="F251" s="12">
        <v>0</v>
      </c>
      <c r="G251" s="60">
        <v>290000</v>
      </c>
      <c r="H251" s="12"/>
      <c r="I251" s="12"/>
      <c r="J251" s="12"/>
      <c r="K251" s="12">
        <v>2.2999999999999998</v>
      </c>
      <c r="L251" s="12" t="s">
        <v>266</v>
      </c>
      <c r="M251" s="484" t="s">
        <v>281</v>
      </c>
      <c r="N251" s="12" t="s">
        <v>31</v>
      </c>
      <c r="O251" s="12">
        <v>0.25</v>
      </c>
      <c r="P251" s="12" t="s">
        <v>265</v>
      </c>
      <c r="Q251" s="484"/>
      <c r="R251" s="12"/>
      <c r="S251" s="12"/>
      <c r="T251" s="224">
        <v>99.75</v>
      </c>
      <c r="V251" s="38">
        <v>256</v>
      </c>
    </row>
    <row r="252" spans="1:22" ht="15.75" customHeight="1">
      <c r="A252" s="174">
        <v>45</v>
      </c>
      <c r="B252" s="179" t="s">
        <v>222</v>
      </c>
      <c r="C252" s="12" t="s">
        <v>262</v>
      </c>
      <c r="D252" s="12" t="s">
        <v>263</v>
      </c>
      <c r="E252" s="12">
        <v>100</v>
      </c>
      <c r="F252" s="12">
        <v>0</v>
      </c>
      <c r="G252" s="60">
        <v>290000</v>
      </c>
      <c r="H252" s="12"/>
      <c r="I252" s="12"/>
      <c r="J252" s="12"/>
      <c r="K252" s="12">
        <v>2.2999999999999998</v>
      </c>
      <c r="L252" s="12" t="s">
        <v>266</v>
      </c>
      <c r="M252" s="484" t="s">
        <v>281</v>
      </c>
      <c r="N252" s="12" t="s">
        <v>31</v>
      </c>
      <c r="O252" s="12">
        <v>0.5</v>
      </c>
      <c r="P252" s="12" t="s">
        <v>265</v>
      </c>
      <c r="Q252" s="484"/>
      <c r="R252" s="12"/>
      <c r="S252" s="12"/>
      <c r="T252" s="224">
        <v>99.5</v>
      </c>
      <c r="V252" s="38">
        <v>257</v>
      </c>
    </row>
    <row r="253" spans="1:22" ht="15.75" customHeight="1">
      <c r="A253" s="174">
        <v>45</v>
      </c>
      <c r="B253" s="179" t="s">
        <v>223</v>
      </c>
      <c r="C253" s="12" t="s">
        <v>262</v>
      </c>
      <c r="D253" s="12" t="s">
        <v>263</v>
      </c>
      <c r="E253" s="12">
        <v>100</v>
      </c>
      <c r="F253" s="12">
        <v>0</v>
      </c>
      <c r="G253" s="60">
        <v>290000</v>
      </c>
      <c r="H253" s="12"/>
      <c r="I253" s="12"/>
      <c r="J253" s="12"/>
      <c r="K253" s="12">
        <v>2.2999999999999998</v>
      </c>
      <c r="L253" s="12" t="s">
        <v>266</v>
      </c>
      <c r="M253" s="484" t="s">
        <v>281</v>
      </c>
      <c r="N253" s="12" t="s">
        <v>31</v>
      </c>
      <c r="O253" s="12">
        <v>1</v>
      </c>
      <c r="P253" s="12" t="s">
        <v>265</v>
      </c>
      <c r="Q253" s="484"/>
      <c r="R253" s="12"/>
      <c r="S253" s="12"/>
      <c r="T253" s="224">
        <v>99</v>
      </c>
      <c r="V253" s="38">
        <v>258</v>
      </c>
    </row>
    <row r="254" spans="1:22" ht="15.75" customHeight="1">
      <c r="A254" s="174">
        <v>45</v>
      </c>
      <c r="B254" s="179" t="s">
        <v>224</v>
      </c>
      <c r="C254" s="12" t="s">
        <v>262</v>
      </c>
      <c r="D254" s="12" t="s">
        <v>263</v>
      </c>
      <c r="E254" s="12">
        <v>100</v>
      </c>
      <c r="F254" s="12">
        <v>0</v>
      </c>
      <c r="G254" s="60">
        <v>290000</v>
      </c>
      <c r="H254" s="12"/>
      <c r="I254" s="12"/>
      <c r="J254" s="12"/>
      <c r="K254" s="12">
        <v>2.2999999999999998</v>
      </c>
      <c r="L254" s="12" t="s">
        <v>265</v>
      </c>
      <c r="M254" s="484"/>
      <c r="N254" s="12"/>
      <c r="O254" s="12"/>
      <c r="P254" s="12" t="s">
        <v>265</v>
      </c>
      <c r="Q254" s="484"/>
      <c r="R254" s="12"/>
      <c r="S254" s="12"/>
      <c r="T254" s="224">
        <v>100</v>
      </c>
      <c r="V254" s="38">
        <v>259</v>
      </c>
    </row>
    <row r="255" spans="1:22" ht="15.75" customHeight="1">
      <c r="A255" s="174">
        <v>45</v>
      </c>
      <c r="B255" s="179" t="s">
        <v>225</v>
      </c>
      <c r="C255" s="12" t="s">
        <v>262</v>
      </c>
      <c r="D255" s="12" t="s">
        <v>263</v>
      </c>
      <c r="E255" s="12">
        <v>100</v>
      </c>
      <c r="F255" s="12">
        <v>0</v>
      </c>
      <c r="G255" s="60">
        <v>290000</v>
      </c>
      <c r="H255" s="12"/>
      <c r="I255" s="12"/>
      <c r="J255" s="12"/>
      <c r="K255" s="12">
        <v>2.2999999999999998</v>
      </c>
      <c r="L255" s="12" t="s">
        <v>266</v>
      </c>
      <c r="M255" s="484" t="s">
        <v>281</v>
      </c>
      <c r="N255" s="12" t="s">
        <v>31</v>
      </c>
      <c r="O255" s="12">
        <v>0.25</v>
      </c>
      <c r="P255" s="12" t="s">
        <v>265</v>
      </c>
      <c r="Q255" s="484"/>
      <c r="R255" s="12"/>
      <c r="S255" s="12"/>
      <c r="T255" s="224">
        <v>99.75</v>
      </c>
      <c r="V255" s="38">
        <v>260</v>
      </c>
    </row>
    <row r="256" spans="1:22" ht="15.75" customHeight="1">
      <c r="A256" s="174">
        <v>45</v>
      </c>
      <c r="B256" s="179" t="s">
        <v>226</v>
      </c>
      <c r="C256" s="12" t="s">
        <v>262</v>
      </c>
      <c r="D256" s="12" t="s">
        <v>263</v>
      </c>
      <c r="E256" s="12">
        <v>100</v>
      </c>
      <c r="F256" s="12">
        <v>0</v>
      </c>
      <c r="G256" s="60">
        <v>290000</v>
      </c>
      <c r="H256" s="12"/>
      <c r="I256" s="12"/>
      <c r="J256" s="12"/>
      <c r="K256" s="12">
        <v>2.2999999999999998</v>
      </c>
      <c r="L256" s="12" t="s">
        <v>266</v>
      </c>
      <c r="M256" s="484" t="s">
        <v>281</v>
      </c>
      <c r="N256" s="12" t="s">
        <v>31</v>
      </c>
      <c r="O256" s="12">
        <v>0.5</v>
      </c>
      <c r="P256" s="12" t="s">
        <v>265</v>
      </c>
      <c r="Q256" s="484"/>
      <c r="R256" s="12"/>
      <c r="S256" s="12"/>
      <c r="T256" s="224">
        <v>99.5</v>
      </c>
      <c r="V256" s="38">
        <v>261</v>
      </c>
    </row>
    <row r="257" spans="1:22" ht="15.75" customHeight="1">
      <c r="A257" s="175">
        <v>45</v>
      </c>
      <c r="B257" s="180" t="s">
        <v>227</v>
      </c>
      <c r="C257" s="24" t="s">
        <v>262</v>
      </c>
      <c r="D257" s="24" t="s">
        <v>263</v>
      </c>
      <c r="E257" s="24">
        <v>100</v>
      </c>
      <c r="F257" s="24">
        <v>0</v>
      </c>
      <c r="G257" s="61">
        <v>290000</v>
      </c>
      <c r="H257" s="24"/>
      <c r="I257" s="24"/>
      <c r="J257" s="12"/>
      <c r="K257" s="24">
        <v>2.2999999999999998</v>
      </c>
      <c r="L257" s="24" t="s">
        <v>266</v>
      </c>
      <c r="M257" s="485" t="s">
        <v>281</v>
      </c>
      <c r="N257" s="24" t="s">
        <v>31</v>
      </c>
      <c r="O257" s="24">
        <v>1</v>
      </c>
      <c r="P257" s="24" t="s">
        <v>265</v>
      </c>
      <c r="Q257" s="485"/>
      <c r="R257" s="24"/>
      <c r="S257" s="24"/>
      <c r="T257" s="225">
        <v>99</v>
      </c>
      <c r="V257" s="38">
        <v>262</v>
      </c>
    </row>
    <row r="258" spans="1:22" ht="15.75" customHeight="1">
      <c r="A258" s="177">
        <v>46</v>
      </c>
      <c r="B258" s="178">
        <v>1</v>
      </c>
      <c r="C258" s="199" t="s">
        <v>262</v>
      </c>
      <c r="D258" s="199" t="s">
        <v>263</v>
      </c>
      <c r="E258" s="199">
        <v>98.5</v>
      </c>
      <c r="F258" s="199">
        <v>1.5</v>
      </c>
      <c r="G258" s="244">
        <v>400000</v>
      </c>
      <c r="H258" s="199"/>
      <c r="I258" s="199">
        <v>1.2</v>
      </c>
      <c r="J258" s="199" t="s">
        <v>264</v>
      </c>
      <c r="K258" s="199"/>
      <c r="L258" s="199" t="s">
        <v>265</v>
      </c>
      <c r="M258" s="486"/>
      <c r="N258" s="199"/>
      <c r="O258" s="199"/>
      <c r="P258" s="199" t="s">
        <v>265</v>
      </c>
      <c r="Q258" s="486"/>
      <c r="R258" s="199"/>
      <c r="S258" s="199"/>
      <c r="T258" s="227">
        <v>100</v>
      </c>
      <c r="V258" s="38">
        <v>263</v>
      </c>
    </row>
    <row r="259" spans="1:22" ht="15.75" customHeight="1">
      <c r="A259" s="174">
        <v>46</v>
      </c>
      <c r="B259" s="179">
        <v>2</v>
      </c>
      <c r="C259" s="12" t="s">
        <v>262</v>
      </c>
      <c r="D259" s="12" t="s">
        <v>263</v>
      </c>
      <c r="E259" s="12">
        <v>98.5</v>
      </c>
      <c r="F259" s="12">
        <v>1.5</v>
      </c>
      <c r="G259" s="60">
        <v>400000</v>
      </c>
      <c r="H259" s="12"/>
      <c r="I259" s="12">
        <v>1.2</v>
      </c>
      <c r="J259" s="12" t="s">
        <v>264</v>
      </c>
      <c r="K259" s="12"/>
      <c r="L259" s="12" t="s">
        <v>265</v>
      </c>
      <c r="M259" s="484"/>
      <c r="N259" s="12"/>
      <c r="O259" s="12"/>
      <c r="P259" s="12" t="s">
        <v>266</v>
      </c>
      <c r="Q259" s="484" t="s">
        <v>560</v>
      </c>
      <c r="R259" s="12" t="s">
        <v>184</v>
      </c>
      <c r="S259" s="12">
        <v>3</v>
      </c>
      <c r="T259" s="224">
        <v>97</v>
      </c>
      <c r="V259" s="38">
        <v>264</v>
      </c>
    </row>
    <row r="260" spans="1:22" ht="15.75" customHeight="1">
      <c r="A260" s="174">
        <v>46</v>
      </c>
      <c r="B260" s="179">
        <v>3</v>
      </c>
      <c r="C260" s="12" t="s">
        <v>262</v>
      </c>
      <c r="D260" s="12" t="s">
        <v>263</v>
      </c>
      <c r="E260" s="12">
        <v>98.5</v>
      </c>
      <c r="F260" s="12">
        <v>1.5</v>
      </c>
      <c r="G260" s="60">
        <v>400000</v>
      </c>
      <c r="H260" s="12"/>
      <c r="I260" s="12">
        <v>1.2</v>
      </c>
      <c r="J260" s="12" t="s">
        <v>264</v>
      </c>
      <c r="K260" s="12"/>
      <c r="L260" s="12" t="s">
        <v>266</v>
      </c>
      <c r="M260" s="484" t="s">
        <v>560</v>
      </c>
      <c r="N260" s="12" t="s">
        <v>186</v>
      </c>
      <c r="O260" s="12">
        <v>1</v>
      </c>
      <c r="P260" s="12" t="s">
        <v>266</v>
      </c>
      <c r="Q260" s="484" t="s">
        <v>560</v>
      </c>
      <c r="R260" s="12" t="s">
        <v>184</v>
      </c>
      <c r="S260" s="12">
        <v>2</v>
      </c>
      <c r="T260" s="224">
        <v>97</v>
      </c>
      <c r="V260" s="38">
        <v>265</v>
      </c>
    </row>
    <row r="261" spans="1:22" ht="15.75" customHeight="1">
      <c r="A261" s="174">
        <v>46</v>
      </c>
      <c r="B261" s="179">
        <v>4</v>
      </c>
      <c r="C261" s="12" t="s">
        <v>262</v>
      </c>
      <c r="D261" s="12" t="s">
        <v>263</v>
      </c>
      <c r="E261" s="12">
        <v>98.5</v>
      </c>
      <c r="F261" s="12">
        <v>1.5</v>
      </c>
      <c r="G261" s="60">
        <v>400000</v>
      </c>
      <c r="H261" s="12"/>
      <c r="I261" s="12">
        <v>1.2</v>
      </c>
      <c r="J261" s="12" t="s">
        <v>264</v>
      </c>
      <c r="K261" s="12"/>
      <c r="L261" s="12" t="s">
        <v>266</v>
      </c>
      <c r="M261" s="484" t="s">
        <v>560</v>
      </c>
      <c r="N261" s="12" t="s">
        <v>186</v>
      </c>
      <c r="O261" s="12">
        <v>1.5</v>
      </c>
      <c r="P261" s="12" t="s">
        <v>266</v>
      </c>
      <c r="Q261" s="484" t="s">
        <v>560</v>
      </c>
      <c r="R261" s="12" t="s">
        <v>184</v>
      </c>
      <c r="S261" s="12">
        <v>1.5</v>
      </c>
      <c r="T261" s="224">
        <v>97</v>
      </c>
      <c r="V261" s="38">
        <v>266</v>
      </c>
    </row>
    <row r="262" spans="1:22" ht="15.75" customHeight="1">
      <c r="A262" s="174">
        <v>46</v>
      </c>
      <c r="B262" s="179">
        <v>5</v>
      </c>
      <c r="C262" s="12" t="s">
        <v>262</v>
      </c>
      <c r="D262" s="12" t="s">
        <v>263</v>
      </c>
      <c r="E262" s="12">
        <v>98.5</v>
      </c>
      <c r="F262" s="12">
        <v>1.5</v>
      </c>
      <c r="G262" s="60">
        <v>400000</v>
      </c>
      <c r="H262" s="12"/>
      <c r="I262" s="12">
        <v>1.2</v>
      </c>
      <c r="J262" s="12" t="s">
        <v>264</v>
      </c>
      <c r="K262" s="12"/>
      <c r="L262" s="12" t="s">
        <v>266</v>
      </c>
      <c r="M262" s="484" t="s">
        <v>560</v>
      </c>
      <c r="N262" s="12" t="s">
        <v>186</v>
      </c>
      <c r="O262" s="12">
        <v>2</v>
      </c>
      <c r="P262" s="12" t="s">
        <v>266</v>
      </c>
      <c r="Q262" s="484" t="s">
        <v>560</v>
      </c>
      <c r="R262" s="12" t="s">
        <v>184</v>
      </c>
      <c r="S262" s="12">
        <v>1</v>
      </c>
      <c r="T262" s="224">
        <v>97</v>
      </c>
      <c r="V262" s="38">
        <v>267</v>
      </c>
    </row>
    <row r="263" spans="1:22" ht="15.75" customHeight="1">
      <c r="A263" s="174">
        <v>46</v>
      </c>
      <c r="B263" s="179">
        <v>6</v>
      </c>
      <c r="C263" s="12" t="s">
        <v>262</v>
      </c>
      <c r="D263" s="12" t="s">
        <v>263</v>
      </c>
      <c r="E263" s="12">
        <v>98.5</v>
      </c>
      <c r="F263" s="12">
        <v>1.5</v>
      </c>
      <c r="G263" s="60">
        <v>400000</v>
      </c>
      <c r="H263" s="12"/>
      <c r="I263" s="12">
        <v>1.2</v>
      </c>
      <c r="J263" s="24" t="s">
        <v>264</v>
      </c>
      <c r="K263" s="12"/>
      <c r="L263" s="12" t="s">
        <v>266</v>
      </c>
      <c r="M263" s="484" t="s">
        <v>560</v>
      </c>
      <c r="N263" s="12" t="s">
        <v>186</v>
      </c>
      <c r="O263" s="12">
        <v>3</v>
      </c>
      <c r="P263" s="12" t="s">
        <v>265</v>
      </c>
      <c r="Q263" s="484"/>
      <c r="R263" s="12"/>
      <c r="S263" s="12"/>
      <c r="T263" s="224">
        <v>97</v>
      </c>
      <c r="V263" s="38">
        <v>268</v>
      </c>
    </row>
    <row r="264" spans="1:22" ht="15.75" customHeight="1">
      <c r="A264" s="177">
        <v>47</v>
      </c>
      <c r="B264" s="178" t="s">
        <v>220</v>
      </c>
      <c r="C264" s="199" t="s">
        <v>262</v>
      </c>
      <c r="D264" s="199" t="s">
        <v>263</v>
      </c>
      <c r="E264" s="199">
        <v>100</v>
      </c>
      <c r="F264" s="199">
        <v>0</v>
      </c>
      <c r="G264" s="229"/>
      <c r="H264" s="206"/>
      <c r="I264" s="206"/>
      <c r="J264" s="2"/>
      <c r="K264" s="206"/>
      <c r="L264" s="199" t="s">
        <v>265</v>
      </c>
      <c r="M264" s="486"/>
      <c r="N264" s="206"/>
      <c r="O264" s="206"/>
      <c r="P264" s="199" t="s">
        <v>265</v>
      </c>
      <c r="Q264" s="490"/>
      <c r="R264" s="206"/>
      <c r="S264" s="206"/>
      <c r="T264" s="227">
        <v>100</v>
      </c>
      <c r="V264" s="38">
        <v>269</v>
      </c>
    </row>
    <row r="265" spans="1:22" ht="15.75" customHeight="1">
      <c r="A265" s="174">
        <v>47</v>
      </c>
      <c r="B265" s="179">
        <v>2</v>
      </c>
      <c r="C265" s="12" t="s">
        <v>262</v>
      </c>
      <c r="D265" s="12" t="s">
        <v>263</v>
      </c>
      <c r="E265" s="12">
        <v>100</v>
      </c>
      <c r="F265" s="12">
        <v>0</v>
      </c>
      <c r="G265" s="42"/>
      <c r="H265" s="2"/>
      <c r="I265" s="2"/>
      <c r="J265" s="2"/>
      <c r="K265" s="2"/>
      <c r="L265" s="12" t="s">
        <v>266</v>
      </c>
      <c r="M265" s="484" t="s">
        <v>560</v>
      </c>
      <c r="N265" s="12" t="s">
        <v>188</v>
      </c>
      <c r="O265" s="12">
        <v>1</v>
      </c>
      <c r="P265" s="12" t="s">
        <v>265</v>
      </c>
      <c r="R265" s="2"/>
      <c r="S265" s="2"/>
      <c r="T265" s="224">
        <v>99</v>
      </c>
      <c r="V265" s="38">
        <v>270</v>
      </c>
    </row>
    <row r="266" spans="1:22" ht="15.75" customHeight="1">
      <c r="A266" s="174">
        <v>47</v>
      </c>
      <c r="B266" s="179">
        <v>3</v>
      </c>
      <c r="C266" s="12" t="s">
        <v>262</v>
      </c>
      <c r="D266" s="12" t="s">
        <v>263</v>
      </c>
      <c r="E266" s="12">
        <v>100</v>
      </c>
      <c r="F266" s="12">
        <v>0</v>
      </c>
      <c r="G266" s="42"/>
      <c r="H266" s="2"/>
      <c r="I266" s="2"/>
      <c r="J266" s="2"/>
      <c r="K266" s="2"/>
      <c r="L266" s="12" t="s">
        <v>266</v>
      </c>
      <c r="M266" s="484" t="s">
        <v>560</v>
      </c>
      <c r="N266" s="12" t="s">
        <v>188</v>
      </c>
      <c r="O266" s="12">
        <v>5</v>
      </c>
      <c r="P266" s="12" t="s">
        <v>265</v>
      </c>
      <c r="R266" s="2"/>
      <c r="S266" s="2"/>
      <c r="T266" s="224">
        <v>95</v>
      </c>
      <c r="V266" s="38">
        <v>271</v>
      </c>
    </row>
    <row r="267" spans="1:22" ht="15.75" customHeight="1">
      <c r="A267" s="174">
        <v>47</v>
      </c>
      <c r="B267" s="179" t="s">
        <v>223</v>
      </c>
      <c r="C267" s="12" t="s">
        <v>262</v>
      </c>
      <c r="D267" s="12" t="s">
        <v>263</v>
      </c>
      <c r="E267" s="12">
        <v>100</v>
      </c>
      <c r="F267" s="12">
        <v>0</v>
      </c>
      <c r="G267" s="42"/>
      <c r="H267" s="2"/>
      <c r="I267" s="2"/>
      <c r="J267" s="2"/>
      <c r="K267" s="2"/>
      <c r="L267" s="12" t="s">
        <v>266</v>
      </c>
      <c r="M267" s="484" t="s">
        <v>560</v>
      </c>
      <c r="N267" s="12" t="s">
        <v>188</v>
      </c>
      <c r="O267" s="12">
        <v>15</v>
      </c>
      <c r="P267" s="12" t="s">
        <v>265</v>
      </c>
      <c r="R267" s="2"/>
      <c r="S267" s="2"/>
      <c r="T267" s="224">
        <v>85</v>
      </c>
      <c r="V267" s="38">
        <v>272</v>
      </c>
    </row>
    <row r="268" spans="1:22" ht="15.75" customHeight="1">
      <c r="A268" s="174">
        <v>47</v>
      </c>
      <c r="B268" s="179">
        <v>5</v>
      </c>
      <c r="C268" s="12" t="s">
        <v>262</v>
      </c>
      <c r="D268" s="12" t="s">
        <v>263</v>
      </c>
      <c r="E268" s="12">
        <v>100</v>
      </c>
      <c r="F268" s="12">
        <v>0</v>
      </c>
      <c r="G268" s="42"/>
      <c r="H268" s="2"/>
      <c r="I268" s="2"/>
      <c r="J268" s="2"/>
      <c r="K268" s="2"/>
      <c r="L268" s="12" t="s">
        <v>266</v>
      </c>
      <c r="M268" s="484" t="s">
        <v>560</v>
      </c>
      <c r="N268" s="12" t="s">
        <v>188</v>
      </c>
      <c r="O268" s="12">
        <v>30</v>
      </c>
      <c r="P268" s="12" t="s">
        <v>265</v>
      </c>
      <c r="R268" s="2"/>
      <c r="S268" s="2"/>
      <c r="T268" s="224">
        <v>70</v>
      </c>
      <c r="V268" s="38">
        <v>273</v>
      </c>
    </row>
    <row r="269" spans="1:22" ht="15.75" customHeight="1">
      <c r="A269" s="174">
        <v>47</v>
      </c>
      <c r="B269" s="179" t="s">
        <v>224</v>
      </c>
      <c r="C269" s="12" t="s">
        <v>262</v>
      </c>
      <c r="D269" s="12" t="s">
        <v>263</v>
      </c>
      <c r="E269" s="12">
        <v>100</v>
      </c>
      <c r="F269" s="12">
        <v>0</v>
      </c>
      <c r="G269" s="42"/>
      <c r="H269" s="2"/>
      <c r="I269" s="2"/>
      <c r="J269" s="2"/>
      <c r="K269" s="2"/>
      <c r="L269" s="12" t="s">
        <v>265</v>
      </c>
      <c r="M269" s="484"/>
      <c r="N269" s="2"/>
      <c r="O269" s="2"/>
      <c r="P269" s="12" t="s">
        <v>265</v>
      </c>
      <c r="R269" s="2"/>
      <c r="S269" s="2"/>
      <c r="T269" s="224">
        <v>100</v>
      </c>
      <c r="V269" s="38">
        <v>274</v>
      </c>
    </row>
    <row r="270" spans="1:22" ht="15.75" customHeight="1">
      <c r="A270" s="174">
        <v>47</v>
      </c>
      <c r="B270" s="179" t="s">
        <v>227</v>
      </c>
      <c r="C270" s="12" t="s">
        <v>262</v>
      </c>
      <c r="D270" s="12" t="s">
        <v>263</v>
      </c>
      <c r="E270" s="12">
        <v>100</v>
      </c>
      <c r="F270" s="12">
        <v>0</v>
      </c>
      <c r="G270" s="42"/>
      <c r="H270" s="2"/>
      <c r="I270" s="2"/>
      <c r="J270" s="2"/>
      <c r="K270" s="2"/>
      <c r="L270" s="12" t="s">
        <v>266</v>
      </c>
      <c r="M270" s="484" t="s">
        <v>560</v>
      </c>
      <c r="N270" s="12" t="s">
        <v>188</v>
      </c>
      <c r="O270" s="12">
        <v>15</v>
      </c>
      <c r="P270" s="12" t="s">
        <v>265</v>
      </c>
      <c r="R270" s="2"/>
      <c r="S270" s="2"/>
      <c r="T270" s="224">
        <v>85</v>
      </c>
      <c r="V270" s="38">
        <v>275</v>
      </c>
    </row>
    <row r="271" spans="1:22" ht="15.75" customHeight="1">
      <c r="A271" s="177">
        <v>48</v>
      </c>
      <c r="B271" s="178">
        <v>1</v>
      </c>
      <c r="C271" s="199" t="s">
        <v>262</v>
      </c>
      <c r="D271" s="199" t="s">
        <v>263</v>
      </c>
      <c r="E271" s="199">
        <v>100</v>
      </c>
      <c r="F271" s="199">
        <v>0</v>
      </c>
      <c r="G271" s="229"/>
      <c r="H271" s="194"/>
      <c r="I271" s="194"/>
      <c r="J271" s="194"/>
      <c r="K271" s="194"/>
      <c r="L271" s="199" t="s">
        <v>266</v>
      </c>
      <c r="M271" s="486" t="s">
        <v>281</v>
      </c>
      <c r="N271" s="194" t="s">
        <v>282</v>
      </c>
      <c r="O271" s="194">
        <v>0.2</v>
      </c>
      <c r="P271" s="194" t="s">
        <v>265</v>
      </c>
      <c r="Q271" s="486"/>
      <c r="R271" s="194"/>
      <c r="S271" s="194"/>
      <c r="T271" s="236">
        <v>99.8</v>
      </c>
      <c r="V271" s="38">
        <v>276</v>
      </c>
    </row>
    <row r="272" spans="1:22" ht="15.75" customHeight="1">
      <c r="A272" s="174">
        <v>48</v>
      </c>
      <c r="B272" s="179">
        <v>2</v>
      </c>
      <c r="C272" s="12" t="s">
        <v>262</v>
      </c>
      <c r="D272" s="12" t="s">
        <v>263</v>
      </c>
      <c r="E272" s="12">
        <v>100</v>
      </c>
      <c r="F272" s="12">
        <v>0</v>
      </c>
      <c r="G272" s="42"/>
      <c r="H272" s="20"/>
      <c r="I272" s="20"/>
      <c r="J272" s="20"/>
      <c r="K272" s="20"/>
      <c r="L272" s="12" t="s">
        <v>266</v>
      </c>
      <c r="M272" s="484" t="s">
        <v>281</v>
      </c>
      <c r="N272" s="20" t="s">
        <v>282</v>
      </c>
      <c r="O272" s="20">
        <v>0.3</v>
      </c>
      <c r="P272" s="20" t="s">
        <v>265</v>
      </c>
      <c r="Q272" s="484"/>
      <c r="R272" s="20"/>
      <c r="S272" s="20"/>
      <c r="T272" s="234">
        <v>99.7</v>
      </c>
      <c r="V272" s="38">
        <v>277</v>
      </c>
    </row>
    <row r="273" spans="1:22" ht="15.75" customHeight="1">
      <c r="A273" s="174">
        <v>48</v>
      </c>
      <c r="B273" s="179">
        <v>3</v>
      </c>
      <c r="C273" s="12" t="s">
        <v>262</v>
      </c>
      <c r="D273" s="12" t="s">
        <v>263</v>
      </c>
      <c r="E273" s="12">
        <v>100</v>
      </c>
      <c r="F273" s="12">
        <v>0</v>
      </c>
      <c r="G273" s="42"/>
      <c r="H273" s="20"/>
      <c r="I273" s="20"/>
      <c r="J273" s="20"/>
      <c r="K273" s="20"/>
      <c r="L273" s="12" t="s">
        <v>266</v>
      </c>
      <c r="M273" s="484" t="s">
        <v>281</v>
      </c>
      <c r="N273" s="20" t="s">
        <v>282</v>
      </c>
      <c r="O273" s="20">
        <v>0.4</v>
      </c>
      <c r="P273" s="20" t="s">
        <v>265</v>
      </c>
      <c r="Q273" s="484"/>
      <c r="R273" s="20"/>
      <c r="S273" s="20"/>
      <c r="T273" s="234">
        <v>99.6</v>
      </c>
      <c r="V273" s="38">
        <v>278</v>
      </c>
    </row>
    <row r="274" spans="1:22" ht="15.75" customHeight="1">
      <c r="A274" s="174">
        <v>48</v>
      </c>
      <c r="B274" s="179">
        <v>4</v>
      </c>
      <c r="C274" s="12" t="s">
        <v>262</v>
      </c>
      <c r="D274" s="12" t="s">
        <v>263</v>
      </c>
      <c r="E274" s="12">
        <v>100</v>
      </c>
      <c r="F274" s="12">
        <v>0</v>
      </c>
      <c r="G274" s="42"/>
      <c r="H274" s="20"/>
      <c r="I274" s="20"/>
      <c r="J274" s="20"/>
      <c r="K274" s="20"/>
      <c r="L274" s="12" t="s">
        <v>266</v>
      </c>
      <c r="M274" s="484" t="s">
        <v>281</v>
      </c>
      <c r="N274" s="20" t="s">
        <v>282</v>
      </c>
      <c r="O274" s="20">
        <v>0.02</v>
      </c>
      <c r="P274" s="12" t="s">
        <v>266</v>
      </c>
      <c r="Q274" s="484" t="s">
        <v>281</v>
      </c>
      <c r="R274" s="20" t="s">
        <v>283</v>
      </c>
      <c r="S274" s="20">
        <v>0.125</v>
      </c>
      <c r="T274" s="224">
        <v>99.674999999999997</v>
      </c>
      <c r="V274" s="38">
        <v>279</v>
      </c>
    </row>
    <row r="275" spans="1:22" ht="15.75" customHeight="1">
      <c r="A275" s="174">
        <v>48</v>
      </c>
      <c r="B275" s="179">
        <v>5</v>
      </c>
      <c r="C275" s="12" t="s">
        <v>262</v>
      </c>
      <c r="D275" s="12" t="s">
        <v>263</v>
      </c>
      <c r="E275" s="12">
        <v>100</v>
      </c>
      <c r="F275" s="12">
        <v>0</v>
      </c>
      <c r="G275" s="42"/>
      <c r="H275" s="20"/>
      <c r="I275" s="20"/>
      <c r="J275" s="20"/>
      <c r="K275" s="20"/>
      <c r="L275" s="12" t="s">
        <v>266</v>
      </c>
      <c r="M275" s="484" t="s">
        <v>281</v>
      </c>
      <c r="N275" s="20" t="s">
        <v>282</v>
      </c>
      <c r="O275" s="20">
        <v>0.02</v>
      </c>
      <c r="P275" s="12" t="s">
        <v>266</v>
      </c>
      <c r="Q275" s="484" t="s">
        <v>281</v>
      </c>
      <c r="R275" s="20" t="s">
        <v>283</v>
      </c>
      <c r="S275" s="20">
        <v>0.2</v>
      </c>
      <c r="T275" s="224">
        <v>99.78</v>
      </c>
      <c r="V275" s="38">
        <v>280</v>
      </c>
    </row>
    <row r="276" spans="1:22" ht="15.75" customHeight="1">
      <c r="A276" s="174">
        <v>48</v>
      </c>
      <c r="B276" s="179">
        <v>6</v>
      </c>
      <c r="C276" s="12" t="s">
        <v>262</v>
      </c>
      <c r="D276" s="12" t="s">
        <v>263</v>
      </c>
      <c r="E276" s="12">
        <v>100</v>
      </c>
      <c r="F276" s="12">
        <v>0</v>
      </c>
      <c r="G276" s="42"/>
      <c r="H276" s="20"/>
      <c r="I276" s="20"/>
      <c r="J276" s="20"/>
      <c r="K276" s="20"/>
      <c r="L276" s="12" t="s">
        <v>266</v>
      </c>
      <c r="M276" s="484" t="s">
        <v>281</v>
      </c>
      <c r="N276" s="20" t="s">
        <v>282</v>
      </c>
      <c r="O276" s="20">
        <v>0.03</v>
      </c>
      <c r="P276" s="12" t="s">
        <v>266</v>
      </c>
      <c r="Q276" s="484" t="s">
        <v>281</v>
      </c>
      <c r="R276" s="20" t="s">
        <v>283</v>
      </c>
      <c r="S276" s="20">
        <v>0.3</v>
      </c>
      <c r="T276" s="234">
        <v>99.67</v>
      </c>
      <c r="V276" s="38">
        <v>281</v>
      </c>
    </row>
    <row r="277" spans="1:22" ht="15.75" customHeight="1">
      <c r="A277" s="174">
        <v>48</v>
      </c>
      <c r="B277" s="179">
        <v>7</v>
      </c>
      <c r="C277" s="12" t="s">
        <v>262</v>
      </c>
      <c r="D277" s="12" t="s">
        <v>263</v>
      </c>
      <c r="E277" s="12">
        <v>100</v>
      </c>
      <c r="F277" s="12">
        <v>0</v>
      </c>
      <c r="G277" s="42"/>
      <c r="H277" s="20"/>
      <c r="I277" s="20"/>
      <c r="J277" s="20"/>
      <c r="K277" s="20"/>
      <c r="L277" s="12" t="s">
        <v>266</v>
      </c>
      <c r="M277" s="484" t="s">
        <v>281</v>
      </c>
      <c r="N277" s="20" t="s">
        <v>282</v>
      </c>
      <c r="O277" s="20">
        <v>0.04</v>
      </c>
      <c r="P277" s="12" t="s">
        <v>266</v>
      </c>
      <c r="Q277" s="484" t="s">
        <v>281</v>
      </c>
      <c r="R277" s="20" t="s">
        <v>283</v>
      </c>
      <c r="S277" s="20">
        <v>0.4</v>
      </c>
      <c r="T277" s="234">
        <v>99.56</v>
      </c>
      <c r="V277" s="38">
        <v>282</v>
      </c>
    </row>
    <row r="278" spans="1:22" ht="15.75" customHeight="1">
      <c r="A278" s="174">
        <v>48</v>
      </c>
      <c r="B278" s="179">
        <v>8</v>
      </c>
      <c r="C278" s="12" t="s">
        <v>262</v>
      </c>
      <c r="D278" s="12" t="s">
        <v>263</v>
      </c>
      <c r="E278" s="12">
        <v>100</v>
      </c>
      <c r="F278" s="12">
        <v>0</v>
      </c>
      <c r="G278" s="42"/>
      <c r="H278" s="20"/>
      <c r="I278" s="20"/>
      <c r="J278" s="20"/>
      <c r="K278" s="20"/>
      <c r="L278" s="12" t="s">
        <v>265</v>
      </c>
      <c r="M278" s="484"/>
      <c r="N278" s="20"/>
      <c r="O278" s="20"/>
      <c r="P278" s="20" t="s">
        <v>265</v>
      </c>
      <c r="Q278" s="484"/>
      <c r="R278" s="20"/>
      <c r="S278" s="20"/>
      <c r="T278" s="224">
        <v>100</v>
      </c>
      <c r="V278" s="38">
        <v>283</v>
      </c>
    </row>
    <row r="279" spans="1:22" ht="15.75" customHeight="1">
      <c r="A279" s="174">
        <v>48</v>
      </c>
      <c r="B279" s="179">
        <v>9</v>
      </c>
      <c r="C279" s="12" t="s">
        <v>262</v>
      </c>
      <c r="D279" s="12" t="s">
        <v>263</v>
      </c>
      <c r="E279" s="12">
        <v>100</v>
      </c>
      <c r="F279" s="12">
        <v>0</v>
      </c>
      <c r="G279" s="42"/>
      <c r="H279" s="20"/>
      <c r="I279" s="20"/>
      <c r="J279" s="20"/>
      <c r="K279" s="20"/>
      <c r="L279" s="12" t="s">
        <v>266</v>
      </c>
      <c r="M279" s="484" t="s">
        <v>281</v>
      </c>
      <c r="N279" s="20" t="s">
        <v>282</v>
      </c>
      <c r="O279" s="20">
        <v>0.2</v>
      </c>
      <c r="P279" s="12" t="s">
        <v>266</v>
      </c>
      <c r="Q279" s="484" t="s">
        <v>281</v>
      </c>
      <c r="R279" s="20" t="s">
        <v>284</v>
      </c>
      <c r="S279" s="20">
        <v>0.5</v>
      </c>
      <c r="T279" s="234">
        <v>99.3</v>
      </c>
      <c r="V279" s="38">
        <v>284</v>
      </c>
    </row>
    <row r="280" spans="1:22" ht="15.75" customHeight="1">
      <c r="A280" s="174">
        <v>48</v>
      </c>
      <c r="B280" s="179">
        <v>10</v>
      </c>
      <c r="C280" s="12" t="s">
        <v>262</v>
      </c>
      <c r="D280" s="12" t="s">
        <v>263</v>
      </c>
      <c r="E280" s="12">
        <v>100</v>
      </c>
      <c r="F280" s="12">
        <v>0</v>
      </c>
      <c r="G280" s="42"/>
      <c r="H280" s="20"/>
      <c r="I280" s="20"/>
      <c r="J280" s="20"/>
      <c r="K280" s="20"/>
      <c r="L280" s="12" t="s">
        <v>266</v>
      </c>
      <c r="M280" s="484" t="s">
        <v>561</v>
      </c>
      <c r="N280" s="20" t="s">
        <v>192</v>
      </c>
      <c r="O280" s="20">
        <v>6</v>
      </c>
      <c r="P280" s="12" t="s">
        <v>266</v>
      </c>
      <c r="Q280" s="484" t="s">
        <v>281</v>
      </c>
      <c r="R280" s="20" t="s">
        <v>196</v>
      </c>
      <c r="S280" s="20">
        <v>2</v>
      </c>
      <c r="T280" s="234">
        <v>92</v>
      </c>
      <c r="V280" s="38">
        <v>285</v>
      </c>
    </row>
    <row r="281" spans="1:22" ht="15.75" customHeight="1">
      <c r="A281" s="174">
        <v>48</v>
      </c>
      <c r="B281" s="179">
        <v>11</v>
      </c>
      <c r="C281" s="12" t="s">
        <v>262</v>
      </c>
      <c r="D281" s="12" t="s">
        <v>263</v>
      </c>
      <c r="E281" s="12">
        <v>100</v>
      </c>
      <c r="F281" s="12">
        <v>0</v>
      </c>
      <c r="G281" s="42"/>
      <c r="H281" s="20"/>
      <c r="I281" s="20"/>
      <c r="J281" s="20"/>
      <c r="K281" s="20"/>
      <c r="L281" s="12" t="s">
        <v>266</v>
      </c>
      <c r="M281" s="484" t="s">
        <v>561</v>
      </c>
      <c r="N281" s="20" t="s">
        <v>194</v>
      </c>
      <c r="O281" s="20">
        <v>6</v>
      </c>
      <c r="P281" s="12" t="s">
        <v>266</v>
      </c>
      <c r="Q281" s="484" t="s">
        <v>281</v>
      </c>
      <c r="R281" s="20" t="s">
        <v>196</v>
      </c>
      <c r="S281" s="20">
        <v>2</v>
      </c>
      <c r="T281" s="234">
        <v>92</v>
      </c>
      <c r="V281" s="38">
        <v>286</v>
      </c>
    </row>
    <row r="282" spans="1:22" ht="15.75" customHeight="1">
      <c r="A282" s="174">
        <v>48</v>
      </c>
      <c r="B282" s="179">
        <v>12</v>
      </c>
      <c r="C282" s="12" t="s">
        <v>262</v>
      </c>
      <c r="D282" s="12" t="s">
        <v>263</v>
      </c>
      <c r="E282" s="12">
        <v>100</v>
      </c>
      <c r="F282" s="12">
        <v>0</v>
      </c>
      <c r="G282" s="42"/>
      <c r="H282" s="20"/>
      <c r="I282" s="20"/>
      <c r="J282" s="20"/>
      <c r="K282" s="20"/>
      <c r="L282" s="12" t="s">
        <v>266</v>
      </c>
      <c r="M282" s="484" t="s">
        <v>561</v>
      </c>
      <c r="N282" s="20" t="s">
        <v>194</v>
      </c>
      <c r="O282" s="20">
        <v>10</v>
      </c>
      <c r="P282" s="12" t="s">
        <v>266</v>
      </c>
      <c r="Q282" s="484" t="s">
        <v>281</v>
      </c>
      <c r="R282" s="20" t="s">
        <v>196</v>
      </c>
      <c r="S282" s="20">
        <v>4</v>
      </c>
      <c r="T282" s="234">
        <v>86</v>
      </c>
      <c r="V282" s="38">
        <v>287</v>
      </c>
    </row>
    <row r="283" spans="1:22" ht="15.75" customHeight="1">
      <c r="A283" s="201">
        <v>49</v>
      </c>
      <c r="B283" s="58">
        <v>1</v>
      </c>
      <c r="C283" s="199" t="s">
        <v>262</v>
      </c>
      <c r="D283" s="199" t="s">
        <v>263</v>
      </c>
      <c r="E283" s="194">
        <v>97</v>
      </c>
      <c r="F283" s="194">
        <v>3</v>
      </c>
      <c r="G283" s="229"/>
      <c r="H283" s="194"/>
      <c r="I283" s="194"/>
      <c r="J283" s="194"/>
      <c r="K283" s="194"/>
      <c r="L283" s="194" t="s">
        <v>265</v>
      </c>
      <c r="M283" s="486"/>
      <c r="N283" s="194"/>
      <c r="O283" s="194"/>
      <c r="P283" s="194" t="s">
        <v>265</v>
      </c>
      <c r="Q283" s="486"/>
      <c r="R283" s="194"/>
      <c r="S283" s="194"/>
      <c r="T283" s="236">
        <v>100</v>
      </c>
      <c r="V283" s="38">
        <v>288</v>
      </c>
    </row>
    <row r="284" spans="1:22" ht="15.75" customHeight="1">
      <c r="A284" s="200">
        <v>49</v>
      </c>
      <c r="B284" s="59">
        <v>2</v>
      </c>
      <c r="C284" s="12" t="s">
        <v>262</v>
      </c>
      <c r="D284" s="12" t="s">
        <v>263</v>
      </c>
      <c r="E284" s="20">
        <v>97</v>
      </c>
      <c r="F284" s="20">
        <v>3</v>
      </c>
      <c r="G284" s="42"/>
      <c r="H284" s="20"/>
      <c r="I284" s="20"/>
      <c r="J284" s="20"/>
      <c r="K284" s="20"/>
      <c r="L284" s="12" t="s">
        <v>266</v>
      </c>
      <c r="M284" s="484" t="s">
        <v>279</v>
      </c>
      <c r="N284" s="20" t="s">
        <v>285</v>
      </c>
      <c r="O284" s="12">
        <v>30</v>
      </c>
      <c r="P284" s="20" t="s">
        <v>265</v>
      </c>
      <c r="Q284" s="484"/>
      <c r="R284" s="20"/>
      <c r="S284" s="20"/>
      <c r="T284" s="234">
        <v>70</v>
      </c>
      <c r="V284" s="38">
        <v>289</v>
      </c>
    </row>
    <row r="285" spans="1:22" ht="15.75" customHeight="1">
      <c r="A285" s="200">
        <v>49</v>
      </c>
      <c r="B285" s="59">
        <v>3</v>
      </c>
      <c r="C285" s="12" t="s">
        <v>262</v>
      </c>
      <c r="D285" s="12" t="s">
        <v>263</v>
      </c>
      <c r="E285" s="20">
        <v>97</v>
      </c>
      <c r="F285" s="20">
        <v>3</v>
      </c>
      <c r="G285" s="42"/>
      <c r="H285" s="20"/>
      <c r="I285" s="20"/>
      <c r="J285" s="20"/>
      <c r="K285" s="20"/>
      <c r="L285" s="12" t="s">
        <v>266</v>
      </c>
      <c r="M285" s="484" t="s">
        <v>279</v>
      </c>
      <c r="N285" s="20" t="s">
        <v>285</v>
      </c>
      <c r="O285" s="12">
        <v>50</v>
      </c>
      <c r="P285" s="20" t="s">
        <v>265</v>
      </c>
      <c r="Q285" s="484"/>
      <c r="R285" s="20"/>
      <c r="S285" s="20"/>
      <c r="T285" s="234">
        <v>50</v>
      </c>
      <c r="V285" s="38">
        <v>290</v>
      </c>
    </row>
    <row r="286" spans="1:22" ht="15.75" customHeight="1">
      <c r="A286" s="201">
        <v>50</v>
      </c>
      <c r="B286" s="58">
        <v>1</v>
      </c>
      <c r="C286" s="199" t="s">
        <v>262</v>
      </c>
      <c r="D286" s="199" t="s">
        <v>263</v>
      </c>
      <c r="E286" s="194">
        <v>95</v>
      </c>
      <c r="F286" s="194">
        <v>5</v>
      </c>
      <c r="G286" s="229">
        <v>245000</v>
      </c>
      <c r="H286" s="194">
        <v>126800</v>
      </c>
      <c r="I286" s="194"/>
      <c r="J286" s="194"/>
      <c r="K286" s="194">
        <v>1.93</v>
      </c>
      <c r="L286" s="194" t="s">
        <v>265</v>
      </c>
      <c r="M286" s="486"/>
      <c r="N286" s="194"/>
      <c r="O286" s="194"/>
      <c r="P286" s="194" t="s">
        <v>265</v>
      </c>
      <c r="Q286" s="486"/>
      <c r="R286" s="194"/>
      <c r="S286" s="194"/>
      <c r="T286" s="236">
        <v>100</v>
      </c>
      <c r="V286" s="38">
        <v>292</v>
      </c>
    </row>
    <row r="287" spans="1:22" ht="15.75" customHeight="1">
      <c r="A287" s="200">
        <v>50</v>
      </c>
      <c r="B287" s="59">
        <v>2</v>
      </c>
      <c r="C287" s="12" t="s">
        <v>262</v>
      </c>
      <c r="D287" s="12" t="s">
        <v>263</v>
      </c>
      <c r="E287" s="20">
        <v>95</v>
      </c>
      <c r="F287" s="20">
        <v>5</v>
      </c>
      <c r="G287" s="42">
        <v>245000</v>
      </c>
      <c r="H287" s="20">
        <v>126800</v>
      </c>
      <c r="I287" s="20"/>
      <c r="J287" s="20"/>
      <c r="K287" s="20">
        <v>1.93</v>
      </c>
      <c r="L287" s="12" t="s">
        <v>266</v>
      </c>
      <c r="M287" s="484" t="s">
        <v>560</v>
      </c>
      <c r="N287" s="20" t="s">
        <v>202</v>
      </c>
      <c r="O287" s="20">
        <v>10</v>
      </c>
      <c r="P287" s="20" t="s">
        <v>265</v>
      </c>
      <c r="Q287" s="484"/>
      <c r="R287" s="20"/>
      <c r="S287" s="20"/>
      <c r="T287" s="234">
        <v>90</v>
      </c>
      <c r="V287" s="38">
        <v>293</v>
      </c>
    </row>
    <row r="288" spans="1:22" ht="15.75" customHeight="1">
      <c r="A288" s="200">
        <v>50</v>
      </c>
      <c r="B288" s="59">
        <v>3</v>
      </c>
      <c r="C288" s="12" t="s">
        <v>262</v>
      </c>
      <c r="D288" s="12" t="s">
        <v>263</v>
      </c>
      <c r="E288" s="20">
        <v>95</v>
      </c>
      <c r="F288" s="20">
        <v>5</v>
      </c>
      <c r="G288" s="42">
        <v>245000</v>
      </c>
      <c r="H288" s="20">
        <v>126800</v>
      </c>
      <c r="I288" s="20"/>
      <c r="J288" s="20"/>
      <c r="K288" s="20">
        <v>1.93</v>
      </c>
      <c r="L288" s="12" t="s">
        <v>266</v>
      </c>
      <c r="M288" s="484" t="s">
        <v>560</v>
      </c>
      <c r="N288" s="20" t="s">
        <v>202</v>
      </c>
      <c r="O288" s="20">
        <v>17.5</v>
      </c>
      <c r="P288" s="20" t="s">
        <v>265</v>
      </c>
      <c r="Q288" s="484"/>
      <c r="R288" s="20"/>
      <c r="S288" s="20"/>
      <c r="T288" s="234">
        <v>82.5</v>
      </c>
      <c r="V288" s="38">
        <v>294</v>
      </c>
    </row>
    <row r="289" spans="1:22" ht="15.75" customHeight="1">
      <c r="A289" s="200">
        <v>50</v>
      </c>
      <c r="B289" s="59">
        <v>4</v>
      </c>
      <c r="C289" s="12" t="s">
        <v>262</v>
      </c>
      <c r="D289" s="12" t="s">
        <v>263</v>
      </c>
      <c r="E289" s="20">
        <v>95</v>
      </c>
      <c r="F289" s="20">
        <v>5</v>
      </c>
      <c r="G289" s="42">
        <v>245000</v>
      </c>
      <c r="H289" s="20">
        <v>126800</v>
      </c>
      <c r="I289" s="20"/>
      <c r="J289" s="20"/>
      <c r="K289" s="20">
        <v>1.93</v>
      </c>
      <c r="L289" s="12" t="s">
        <v>266</v>
      </c>
      <c r="M289" s="484" t="s">
        <v>560</v>
      </c>
      <c r="N289" s="20" t="s">
        <v>202</v>
      </c>
      <c r="O289" s="20">
        <v>29.3</v>
      </c>
      <c r="P289" s="20" t="s">
        <v>265</v>
      </c>
      <c r="Q289" s="484"/>
      <c r="R289" s="20"/>
      <c r="S289" s="20"/>
      <c r="T289" s="234">
        <v>70.3</v>
      </c>
      <c r="V289" s="38">
        <v>295</v>
      </c>
    </row>
    <row r="290" spans="1:22" ht="15.75" customHeight="1">
      <c r="A290" s="201">
        <v>51</v>
      </c>
      <c r="B290" s="58">
        <v>1</v>
      </c>
      <c r="C290" s="199" t="s">
        <v>262</v>
      </c>
      <c r="D290" s="199" t="s">
        <v>263</v>
      </c>
      <c r="E290" s="194"/>
      <c r="F290" s="194"/>
      <c r="G290" s="229">
        <v>290000</v>
      </c>
      <c r="H290" s="194"/>
      <c r="I290" s="194"/>
      <c r="J290" s="194"/>
      <c r="K290" s="194">
        <v>1.62</v>
      </c>
      <c r="L290" s="194" t="s">
        <v>265</v>
      </c>
      <c r="M290" s="486"/>
      <c r="N290" s="194"/>
      <c r="O290" s="194"/>
      <c r="P290" s="194" t="s">
        <v>265</v>
      </c>
      <c r="Q290" s="486"/>
      <c r="R290" s="194"/>
      <c r="S290" s="194"/>
      <c r="T290" s="236">
        <v>100</v>
      </c>
      <c r="V290" s="38">
        <v>296</v>
      </c>
    </row>
    <row r="291" spans="1:22" ht="15.75" customHeight="1">
      <c r="A291" s="200">
        <v>51</v>
      </c>
      <c r="B291" s="59">
        <v>2</v>
      </c>
      <c r="C291" s="12" t="s">
        <v>262</v>
      </c>
      <c r="D291" s="12" t="s">
        <v>263</v>
      </c>
      <c r="E291" s="20"/>
      <c r="F291" s="20"/>
      <c r="G291" s="42">
        <v>290000</v>
      </c>
      <c r="H291" s="20"/>
      <c r="I291" s="20"/>
      <c r="J291" s="20"/>
      <c r="K291" s="20">
        <v>1.62</v>
      </c>
      <c r="L291" s="12" t="s">
        <v>266</v>
      </c>
      <c r="M291" s="484" t="s">
        <v>560</v>
      </c>
      <c r="N291" s="45" t="s">
        <v>286</v>
      </c>
      <c r="O291" s="20">
        <v>30</v>
      </c>
      <c r="P291" s="20" t="s">
        <v>265</v>
      </c>
      <c r="Q291" s="484"/>
      <c r="R291" s="20"/>
      <c r="S291" s="20"/>
      <c r="T291" s="234">
        <v>70</v>
      </c>
      <c r="V291" s="38">
        <v>297</v>
      </c>
    </row>
    <row r="292" spans="1:22" ht="15.75" customHeight="1">
      <c r="A292" s="200">
        <v>51</v>
      </c>
      <c r="B292" s="59">
        <v>3</v>
      </c>
      <c r="C292" s="12" t="s">
        <v>262</v>
      </c>
      <c r="D292" s="12" t="s">
        <v>263</v>
      </c>
      <c r="E292" s="20"/>
      <c r="F292" s="20"/>
      <c r="G292" s="42">
        <v>290000</v>
      </c>
      <c r="H292" s="20"/>
      <c r="I292" s="20"/>
      <c r="J292" s="20"/>
      <c r="K292" s="20">
        <v>1.62</v>
      </c>
      <c r="L292" s="12" t="s">
        <v>266</v>
      </c>
      <c r="M292" s="484" t="s">
        <v>560</v>
      </c>
      <c r="N292" s="45" t="s">
        <v>286</v>
      </c>
      <c r="O292" s="20">
        <v>30</v>
      </c>
      <c r="P292" s="12" t="s">
        <v>266</v>
      </c>
      <c r="Q292" s="484" t="s">
        <v>281</v>
      </c>
      <c r="R292" s="20" t="s">
        <v>31</v>
      </c>
      <c r="S292" s="20">
        <v>0.1</v>
      </c>
      <c r="T292" s="234">
        <v>69.900000000000006</v>
      </c>
      <c r="V292" s="38">
        <v>298</v>
      </c>
    </row>
    <row r="293" spans="1:22" ht="15.75" customHeight="1">
      <c r="A293" s="200">
        <v>51</v>
      </c>
      <c r="B293" s="59">
        <v>4</v>
      </c>
      <c r="C293" s="12" t="s">
        <v>262</v>
      </c>
      <c r="D293" s="12" t="s">
        <v>263</v>
      </c>
      <c r="E293" s="20"/>
      <c r="F293" s="20"/>
      <c r="G293" s="42">
        <v>290000</v>
      </c>
      <c r="H293" s="20"/>
      <c r="I293" s="20"/>
      <c r="J293" s="20"/>
      <c r="K293" s="20">
        <v>1.62</v>
      </c>
      <c r="L293" s="12" t="s">
        <v>266</v>
      </c>
      <c r="M293" s="484" t="s">
        <v>560</v>
      </c>
      <c r="N293" s="45" t="s">
        <v>286</v>
      </c>
      <c r="O293" s="20">
        <v>30</v>
      </c>
      <c r="P293" s="12" t="s">
        <v>266</v>
      </c>
      <c r="Q293" s="484" t="s">
        <v>281</v>
      </c>
      <c r="R293" s="20" t="s">
        <v>31</v>
      </c>
      <c r="S293" s="20">
        <v>0.3</v>
      </c>
      <c r="T293" s="234">
        <v>69.7</v>
      </c>
      <c r="V293" s="38">
        <v>299</v>
      </c>
    </row>
    <row r="294" spans="1:22" ht="15.75" customHeight="1">
      <c r="A294" s="200">
        <v>51</v>
      </c>
      <c r="B294" s="59">
        <v>5</v>
      </c>
      <c r="C294" s="12" t="s">
        <v>262</v>
      </c>
      <c r="D294" s="12" t="s">
        <v>263</v>
      </c>
      <c r="E294" s="20"/>
      <c r="F294" s="20"/>
      <c r="G294" s="42">
        <v>290000</v>
      </c>
      <c r="H294" s="20"/>
      <c r="I294" s="20"/>
      <c r="J294" s="20"/>
      <c r="K294" s="20">
        <v>1.62</v>
      </c>
      <c r="L294" s="12" t="s">
        <v>266</v>
      </c>
      <c r="M294" s="484" t="s">
        <v>560</v>
      </c>
      <c r="N294" s="45" t="s">
        <v>286</v>
      </c>
      <c r="O294" s="20">
        <v>30</v>
      </c>
      <c r="P294" s="12" t="s">
        <v>266</v>
      </c>
      <c r="Q294" s="484" t="s">
        <v>281</v>
      </c>
      <c r="R294" s="20" t="s">
        <v>31</v>
      </c>
      <c r="S294" s="20">
        <v>0.5</v>
      </c>
      <c r="T294" s="234">
        <v>69.5</v>
      </c>
      <c r="V294" s="38">
        <v>300</v>
      </c>
    </row>
    <row r="295" spans="1:22" ht="15.75" customHeight="1">
      <c r="A295" s="200">
        <v>51</v>
      </c>
      <c r="B295" s="59">
        <v>6</v>
      </c>
      <c r="C295" s="12" t="s">
        <v>262</v>
      </c>
      <c r="D295" s="12" t="s">
        <v>263</v>
      </c>
      <c r="E295" s="20"/>
      <c r="F295" s="20"/>
      <c r="G295" s="42">
        <v>290000</v>
      </c>
      <c r="H295" s="20"/>
      <c r="I295" s="20"/>
      <c r="J295" s="20"/>
      <c r="K295" s="20">
        <v>1.62</v>
      </c>
      <c r="L295" s="12" t="s">
        <v>266</v>
      </c>
      <c r="M295" s="484" t="s">
        <v>560</v>
      </c>
      <c r="N295" s="45" t="s">
        <v>286</v>
      </c>
      <c r="O295" s="20">
        <v>30</v>
      </c>
      <c r="P295" s="12" t="s">
        <v>266</v>
      </c>
      <c r="Q295" s="484" t="s">
        <v>281</v>
      </c>
      <c r="R295" s="20" t="s">
        <v>31</v>
      </c>
      <c r="S295" s="20">
        <v>0.7</v>
      </c>
      <c r="T295" s="234">
        <v>69.3</v>
      </c>
      <c r="V295" s="38">
        <v>301</v>
      </c>
    </row>
    <row r="296" spans="1:22" ht="15.75" customHeight="1">
      <c r="A296" s="200">
        <v>51</v>
      </c>
      <c r="B296" s="59">
        <v>7</v>
      </c>
      <c r="C296" s="24" t="s">
        <v>262</v>
      </c>
      <c r="D296" s="24" t="s">
        <v>263</v>
      </c>
      <c r="E296" s="26"/>
      <c r="F296" s="26"/>
      <c r="G296" s="43">
        <v>290000</v>
      </c>
      <c r="H296" s="26"/>
      <c r="I296" s="26"/>
      <c r="J296" s="26"/>
      <c r="K296" s="26">
        <v>1.62</v>
      </c>
      <c r="L296" s="24" t="s">
        <v>266</v>
      </c>
      <c r="M296" s="484" t="s">
        <v>560</v>
      </c>
      <c r="N296" s="26" t="s">
        <v>286</v>
      </c>
      <c r="O296" s="26">
        <v>30</v>
      </c>
      <c r="P296" s="24" t="s">
        <v>266</v>
      </c>
      <c r="Q296" s="485" t="s">
        <v>281</v>
      </c>
      <c r="R296" s="26" t="s">
        <v>31</v>
      </c>
      <c r="S296" s="26">
        <v>1</v>
      </c>
      <c r="T296" s="238">
        <v>69</v>
      </c>
      <c r="V296" s="38">
        <v>302</v>
      </c>
    </row>
    <row r="297" spans="1:22" ht="15.75" customHeight="1">
      <c r="A297" s="237">
        <v>52</v>
      </c>
      <c r="B297" s="178">
        <v>1</v>
      </c>
      <c r="C297" s="199" t="s">
        <v>262</v>
      </c>
      <c r="D297" s="199" t="s">
        <v>263</v>
      </c>
      <c r="E297" s="199">
        <v>100</v>
      </c>
      <c r="F297" s="199">
        <v>0</v>
      </c>
      <c r="G297" s="244">
        <v>150000</v>
      </c>
      <c r="H297" s="199"/>
      <c r="I297" s="199"/>
      <c r="J297" s="199"/>
      <c r="K297" s="199"/>
      <c r="L297" s="199" t="s">
        <v>265</v>
      </c>
      <c r="M297" s="486"/>
      <c r="N297" s="199"/>
      <c r="O297" s="199"/>
      <c r="P297" s="199" t="s">
        <v>265</v>
      </c>
      <c r="Q297" s="486"/>
      <c r="R297" s="199"/>
      <c r="S297" s="199"/>
      <c r="T297" s="227">
        <v>100</v>
      </c>
      <c r="V297" s="38">
        <v>303</v>
      </c>
    </row>
    <row r="298" spans="1:22" ht="15.75" customHeight="1">
      <c r="A298" s="205">
        <v>52</v>
      </c>
      <c r="B298" s="179">
        <v>2</v>
      </c>
      <c r="C298" s="12" t="s">
        <v>262</v>
      </c>
      <c r="D298" s="12" t="s">
        <v>263</v>
      </c>
      <c r="E298" s="12">
        <v>100</v>
      </c>
      <c r="F298" s="12">
        <v>0</v>
      </c>
      <c r="G298" s="60">
        <v>150000</v>
      </c>
      <c r="H298" s="12"/>
      <c r="I298" s="12"/>
      <c r="J298" s="12"/>
      <c r="K298" s="12"/>
      <c r="L298" s="12" t="s">
        <v>266</v>
      </c>
      <c r="M298" s="484" t="s">
        <v>561</v>
      </c>
      <c r="N298" s="12" t="s">
        <v>204</v>
      </c>
      <c r="O298" s="12">
        <v>20</v>
      </c>
      <c r="P298" s="12" t="s">
        <v>265</v>
      </c>
      <c r="Q298" s="484"/>
      <c r="R298" s="12"/>
      <c r="S298" s="12"/>
      <c r="T298" s="224">
        <v>80</v>
      </c>
      <c r="V298" s="38">
        <v>304</v>
      </c>
    </row>
    <row r="299" spans="1:22" ht="15.75" customHeight="1">
      <c r="A299" s="205">
        <v>52</v>
      </c>
      <c r="B299" s="179">
        <v>3</v>
      </c>
      <c r="C299" s="12" t="s">
        <v>262</v>
      </c>
      <c r="D299" s="12" t="s">
        <v>263</v>
      </c>
      <c r="E299" s="12">
        <v>100</v>
      </c>
      <c r="F299" s="12">
        <v>0</v>
      </c>
      <c r="G299" s="60">
        <v>150000</v>
      </c>
      <c r="H299" s="12"/>
      <c r="I299" s="12"/>
      <c r="J299" s="12"/>
      <c r="K299" s="12"/>
      <c r="L299" s="12" t="s">
        <v>266</v>
      </c>
      <c r="M299" s="484" t="s">
        <v>561</v>
      </c>
      <c r="N299" s="12" t="s">
        <v>204</v>
      </c>
      <c r="O299" s="12">
        <v>40</v>
      </c>
      <c r="P299" s="12" t="s">
        <v>265</v>
      </c>
      <c r="Q299" s="484"/>
      <c r="R299" s="12"/>
      <c r="S299" s="12"/>
      <c r="T299" s="224">
        <v>60</v>
      </c>
      <c r="V299" s="38">
        <v>305</v>
      </c>
    </row>
    <row r="300" spans="1:22" ht="15.75" customHeight="1">
      <c r="A300" s="213">
        <v>52</v>
      </c>
      <c r="B300" s="180">
        <v>4</v>
      </c>
      <c r="C300" s="24" t="s">
        <v>262</v>
      </c>
      <c r="D300" s="24" t="s">
        <v>263</v>
      </c>
      <c r="E300" s="24">
        <v>100</v>
      </c>
      <c r="F300" s="24">
        <v>0</v>
      </c>
      <c r="G300" s="61">
        <v>150000</v>
      </c>
      <c r="H300" s="24"/>
      <c r="I300" s="24"/>
      <c r="J300" s="24"/>
      <c r="K300" s="24"/>
      <c r="L300" s="24" t="s">
        <v>266</v>
      </c>
      <c r="M300" s="484" t="s">
        <v>561</v>
      </c>
      <c r="N300" s="24" t="s">
        <v>204</v>
      </c>
      <c r="O300" s="24">
        <v>60</v>
      </c>
      <c r="P300" s="24" t="s">
        <v>265</v>
      </c>
      <c r="Q300" s="485"/>
      <c r="R300" s="24"/>
      <c r="S300" s="24"/>
      <c r="T300" s="225">
        <v>40</v>
      </c>
      <c r="V300" s="38">
        <v>306</v>
      </c>
    </row>
    <row r="301" spans="1:22" ht="15.75" customHeight="1">
      <c r="A301" s="205">
        <v>53</v>
      </c>
      <c r="B301" s="179">
        <v>1</v>
      </c>
      <c r="C301" s="199" t="s">
        <v>262</v>
      </c>
      <c r="D301" s="199" t="s">
        <v>263</v>
      </c>
      <c r="E301" s="199">
        <v>100</v>
      </c>
      <c r="F301" s="199">
        <v>0</v>
      </c>
      <c r="G301" s="244">
        <v>370000</v>
      </c>
      <c r="H301" s="199"/>
      <c r="I301" s="199"/>
      <c r="J301" s="199"/>
      <c r="K301" s="199">
        <v>1.67</v>
      </c>
      <c r="L301" s="199" t="s">
        <v>265</v>
      </c>
      <c r="M301" s="486"/>
      <c r="N301" s="199"/>
      <c r="O301" s="199"/>
      <c r="P301" s="199" t="s">
        <v>265</v>
      </c>
      <c r="Q301" s="486"/>
      <c r="R301" s="199"/>
      <c r="S301" s="199"/>
      <c r="T301" s="227">
        <v>100</v>
      </c>
      <c r="V301" s="38">
        <v>307</v>
      </c>
    </row>
    <row r="302" spans="1:22" ht="15.75" customHeight="1">
      <c r="A302" s="205">
        <v>53</v>
      </c>
      <c r="B302" s="179">
        <v>2</v>
      </c>
      <c r="C302" s="12" t="s">
        <v>262</v>
      </c>
      <c r="D302" s="12" t="s">
        <v>263</v>
      </c>
      <c r="E302" s="12">
        <v>100</v>
      </c>
      <c r="F302" s="12">
        <v>0</v>
      </c>
      <c r="G302" s="60">
        <v>370000</v>
      </c>
      <c r="H302" s="12"/>
      <c r="I302" s="12"/>
      <c r="J302" s="12"/>
      <c r="K302" s="12">
        <v>1.67</v>
      </c>
      <c r="L302" s="12" t="s">
        <v>266</v>
      </c>
      <c r="M302" s="484" t="s">
        <v>561</v>
      </c>
      <c r="N302" s="12" t="s">
        <v>206</v>
      </c>
      <c r="O302" s="12">
        <v>5</v>
      </c>
      <c r="P302" s="12" t="s">
        <v>265</v>
      </c>
      <c r="Q302" s="484"/>
      <c r="R302" s="12"/>
      <c r="S302" s="12"/>
      <c r="T302" s="224">
        <v>95</v>
      </c>
      <c r="V302" s="38">
        <v>308</v>
      </c>
    </row>
    <row r="303" spans="1:22" ht="15.75" customHeight="1">
      <c r="A303" s="205">
        <v>53</v>
      </c>
      <c r="B303" s="179">
        <v>3</v>
      </c>
      <c r="C303" s="12" t="s">
        <v>262</v>
      </c>
      <c r="D303" s="12" t="s">
        <v>263</v>
      </c>
      <c r="E303" s="12">
        <v>100</v>
      </c>
      <c r="F303" s="12">
        <v>0</v>
      </c>
      <c r="G303" s="60">
        <v>370000</v>
      </c>
      <c r="H303" s="12"/>
      <c r="I303" s="12"/>
      <c r="J303" s="12"/>
      <c r="K303" s="12">
        <v>1.67</v>
      </c>
      <c r="L303" s="12" t="s">
        <v>266</v>
      </c>
      <c r="M303" s="484" t="s">
        <v>561</v>
      </c>
      <c r="N303" s="12" t="s">
        <v>206</v>
      </c>
      <c r="O303" s="12">
        <v>17</v>
      </c>
      <c r="P303" s="12" t="s">
        <v>265</v>
      </c>
      <c r="Q303" s="484"/>
      <c r="R303" s="12"/>
      <c r="S303" s="12"/>
      <c r="T303" s="224">
        <v>83</v>
      </c>
      <c r="V303" s="38">
        <v>309</v>
      </c>
    </row>
    <row r="304" spans="1:22" ht="15.75" customHeight="1">
      <c r="A304" s="205">
        <v>53</v>
      </c>
      <c r="B304" s="179">
        <v>4</v>
      </c>
      <c r="C304" s="12" t="s">
        <v>262</v>
      </c>
      <c r="D304" s="12" t="s">
        <v>263</v>
      </c>
      <c r="E304" s="12">
        <v>100</v>
      </c>
      <c r="F304" s="12">
        <v>0</v>
      </c>
      <c r="G304" s="60">
        <v>370000</v>
      </c>
      <c r="H304" s="12"/>
      <c r="I304" s="12"/>
      <c r="J304" s="12"/>
      <c r="K304" s="12">
        <v>1.67</v>
      </c>
      <c r="L304" s="12" t="s">
        <v>266</v>
      </c>
      <c r="M304" s="484" t="s">
        <v>561</v>
      </c>
      <c r="N304" s="12" t="s">
        <v>208</v>
      </c>
      <c r="O304" s="12">
        <v>5</v>
      </c>
      <c r="P304" s="12" t="s">
        <v>265</v>
      </c>
      <c r="Q304" s="484"/>
      <c r="R304" s="12"/>
      <c r="S304" s="12"/>
      <c r="T304" s="224">
        <v>95</v>
      </c>
      <c r="V304" s="38">
        <v>310</v>
      </c>
    </row>
    <row r="305" spans="1:22" ht="15.75" customHeight="1">
      <c r="A305" s="205">
        <v>53</v>
      </c>
      <c r="B305" s="179">
        <v>5</v>
      </c>
      <c r="C305" s="12" t="s">
        <v>262</v>
      </c>
      <c r="D305" s="12" t="s">
        <v>263</v>
      </c>
      <c r="E305" s="12">
        <v>100</v>
      </c>
      <c r="F305" s="12">
        <v>0</v>
      </c>
      <c r="G305" s="60">
        <v>370000</v>
      </c>
      <c r="H305" s="12"/>
      <c r="I305" s="12"/>
      <c r="J305" s="12"/>
      <c r="K305" s="12">
        <v>1.67</v>
      </c>
      <c r="L305" s="12" t="s">
        <v>266</v>
      </c>
      <c r="M305" s="484" t="s">
        <v>561</v>
      </c>
      <c r="N305" s="12" t="s">
        <v>208</v>
      </c>
      <c r="O305" s="12">
        <v>17</v>
      </c>
      <c r="P305" s="12" t="s">
        <v>265</v>
      </c>
      <c r="Q305" s="484"/>
      <c r="R305" s="12"/>
      <c r="S305" s="12"/>
      <c r="T305" s="224">
        <v>83</v>
      </c>
      <c r="V305" s="38">
        <v>311</v>
      </c>
    </row>
    <row r="306" spans="1:22" ht="15.75" customHeight="1">
      <c r="A306" s="201">
        <v>54</v>
      </c>
      <c r="B306" s="178">
        <v>1</v>
      </c>
      <c r="C306" s="199" t="s">
        <v>262</v>
      </c>
      <c r="D306" s="199" t="s">
        <v>263</v>
      </c>
      <c r="E306" s="199">
        <v>100</v>
      </c>
      <c r="F306" s="199">
        <v>0</v>
      </c>
      <c r="G306" s="199"/>
      <c r="H306" s="206"/>
      <c r="I306" s="199"/>
      <c r="J306" s="199"/>
      <c r="K306" s="199"/>
      <c r="L306" s="199" t="s">
        <v>265</v>
      </c>
      <c r="M306" s="486"/>
      <c r="N306" s="199"/>
      <c r="O306" s="199"/>
      <c r="P306" s="199" t="s">
        <v>265</v>
      </c>
      <c r="Q306" s="486"/>
      <c r="R306" s="199"/>
      <c r="S306" s="199"/>
      <c r="T306" s="227">
        <v>100</v>
      </c>
      <c r="V306" s="38">
        <v>312</v>
      </c>
    </row>
    <row r="307" spans="1:22" ht="15.75" customHeight="1">
      <c r="A307" s="200">
        <v>54</v>
      </c>
      <c r="B307" s="179">
        <v>2</v>
      </c>
      <c r="C307" s="12" t="s">
        <v>262</v>
      </c>
      <c r="D307" s="12" t="s">
        <v>263</v>
      </c>
      <c r="E307" s="12">
        <v>100</v>
      </c>
      <c r="F307" s="12">
        <v>0</v>
      </c>
      <c r="G307" s="12"/>
      <c r="H307" s="2"/>
      <c r="I307" s="12"/>
      <c r="J307" s="12"/>
      <c r="K307" s="12"/>
      <c r="L307" s="12" t="s">
        <v>266</v>
      </c>
      <c r="M307" s="484" t="s">
        <v>560</v>
      </c>
      <c r="N307" s="12" t="s">
        <v>1</v>
      </c>
      <c r="O307" s="12">
        <v>3</v>
      </c>
      <c r="P307" s="12" t="s">
        <v>265</v>
      </c>
      <c r="Q307" s="484"/>
      <c r="R307" s="12"/>
      <c r="S307" s="12"/>
      <c r="T307" s="224">
        <v>97</v>
      </c>
      <c r="V307" s="38">
        <v>313</v>
      </c>
    </row>
    <row r="308" spans="1:22" ht="15.75" customHeight="1">
      <c r="A308" s="200">
        <v>54</v>
      </c>
      <c r="B308" s="179">
        <v>3</v>
      </c>
      <c r="C308" s="12" t="s">
        <v>262</v>
      </c>
      <c r="D308" s="12" t="s">
        <v>263</v>
      </c>
      <c r="E308" s="12">
        <v>100</v>
      </c>
      <c r="F308" s="12">
        <v>0</v>
      </c>
      <c r="G308" s="12"/>
      <c r="H308" s="2"/>
      <c r="I308" s="12"/>
      <c r="J308" s="12"/>
      <c r="K308" s="12"/>
      <c r="L308" s="12" t="s">
        <v>266</v>
      </c>
      <c r="M308" s="484" t="s">
        <v>560</v>
      </c>
      <c r="N308" s="12" t="s">
        <v>1</v>
      </c>
      <c r="O308" s="12">
        <v>5</v>
      </c>
      <c r="P308" s="12" t="s">
        <v>265</v>
      </c>
      <c r="Q308" s="484"/>
      <c r="R308" s="12"/>
      <c r="S308" s="12"/>
      <c r="T308" s="224">
        <v>95</v>
      </c>
      <c r="V308" s="38">
        <v>314</v>
      </c>
    </row>
    <row r="309" spans="1:22" ht="15.75" customHeight="1">
      <c r="A309" s="200">
        <v>54</v>
      </c>
      <c r="B309" s="179">
        <v>4</v>
      </c>
      <c r="C309" s="12" t="s">
        <v>262</v>
      </c>
      <c r="D309" s="12" t="s">
        <v>263</v>
      </c>
      <c r="E309" s="12">
        <v>100</v>
      </c>
      <c r="F309" s="12">
        <v>0</v>
      </c>
      <c r="G309" s="12"/>
      <c r="H309" s="2"/>
      <c r="I309" s="12"/>
      <c r="J309" s="12"/>
      <c r="K309" s="12"/>
      <c r="L309" s="12" t="s">
        <v>266</v>
      </c>
      <c r="M309" s="484" t="s">
        <v>560</v>
      </c>
      <c r="N309" s="12" t="s">
        <v>1</v>
      </c>
      <c r="O309" s="12">
        <v>10</v>
      </c>
      <c r="P309" s="12" t="s">
        <v>265</v>
      </c>
      <c r="Q309" s="484"/>
      <c r="R309" s="12"/>
      <c r="S309" s="12"/>
      <c r="T309" s="224">
        <v>90</v>
      </c>
      <c r="V309" s="38">
        <v>315</v>
      </c>
    </row>
    <row r="310" spans="1:22" ht="15.75" customHeight="1">
      <c r="A310" s="201">
        <v>55</v>
      </c>
      <c r="B310" s="178" t="s">
        <v>220</v>
      </c>
      <c r="C310" s="199" t="s">
        <v>262</v>
      </c>
      <c r="D310" s="199" t="s">
        <v>263</v>
      </c>
      <c r="E310" s="199">
        <v>100</v>
      </c>
      <c r="F310" s="199">
        <v>0</v>
      </c>
      <c r="G310" s="244">
        <v>500000</v>
      </c>
      <c r="H310" s="199"/>
      <c r="I310" s="199"/>
      <c r="J310" s="199"/>
      <c r="K310" s="199"/>
      <c r="L310" s="199" t="s">
        <v>265</v>
      </c>
      <c r="M310" s="486"/>
      <c r="N310" s="199"/>
      <c r="O310" s="199"/>
      <c r="P310" s="199" t="s">
        <v>265</v>
      </c>
      <c r="Q310" s="486"/>
      <c r="R310" s="199"/>
      <c r="S310" s="199"/>
      <c r="T310" s="227">
        <v>100</v>
      </c>
      <c r="V310" s="38">
        <v>316</v>
      </c>
    </row>
    <row r="311" spans="1:22" ht="15.75" customHeight="1">
      <c r="A311" s="200">
        <v>55</v>
      </c>
      <c r="B311" s="179" t="s">
        <v>221</v>
      </c>
      <c r="C311" s="12" t="s">
        <v>262</v>
      </c>
      <c r="D311" s="12" t="s">
        <v>263</v>
      </c>
      <c r="E311" s="12">
        <v>100</v>
      </c>
      <c r="F311" s="12">
        <v>0</v>
      </c>
      <c r="G311" s="60">
        <v>500000</v>
      </c>
      <c r="H311" s="12"/>
      <c r="I311" s="12"/>
      <c r="J311" s="12"/>
      <c r="K311" s="12"/>
      <c r="L311" s="12" t="s">
        <v>266</v>
      </c>
      <c r="M311" s="484" t="s">
        <v>287</v>
      </c>
      <c r="N311" s="12" t="s">
        <v>216</v>
      </c>
      <c r="O311" s="12">
        <v>0.5</v>
      </c>
      <c r="P311" s="12" t="s">
        <v>265</v>
      </c>
      <c r="Q311" s="484"/>
      <c r="R311" s="12"/>
      <c r="S311" s="12"/>
      <c r="T311" s="224">
        <v>99.5</v>
      </c>
      <c r="V311" s="38">
        <v>317</v>
      </c>
    </row>
    <row r="312" spans="1:22" ht="15.75" customHeight="1">
      <c r="A312" s="200">
        <v>55</v>
      </c>
      <c r="B312" s="179" t="s">
        <v>222</v>
      </c>
      <c r="C312" s="12" t="s">
        <v>262</v>
      </c>
      <c r="D312" s="12" t="s">
        <v>263</v>
      </c>
      <c r="E312" s="12">
        <v>100</v>
      </c>
      <c r="F312" s="12">
        <v>0</v>
      </c>
      <c r="G312" s="60">
        <v>500000</v>
      </c>
      <c r="H312" s="12"/>
      <c r="I312" s="12"/>
      <c r="J312" s="12"/>
      <c r="K312" s="12"/>
      <c r="L312" s="12" t="s">
        <v>266</v>
      </c>
      <c r="M312" s="484" t="s">
        <v>287</v>
      </c>
      <c r="N312" s="12" t="s">
        <v>288</v>
      </c>
      <c r="O312" s="12">
        <v>2</v>
      </c>
      <c r="P312" s="12" t="s">
        <v>265</v>
      </c>
      <c r="Q312" s="484"/>
      <c r="R312" s="12"/>
      <c r="S312" s="12"/>
      <c r="T312" s="224">
        <v>98</v>
      </c>
      <c r="V312" s="38">
        <v>318</v>
      </c>
    </row>
    <row r="313" spans="1:22" ht="15.75" customHeight="1">
      <c r="A313" s="200">
        <v>55</v>
      </c>
      <c r="B313" s="179" t="s">
        <v>224</v>
      </c>
      <c r="C313" s="12" t="s">
        <v>262</v>
      </c>
      <c r="D313" s="12" t="s">
        <v>263</v>
      </c>
      <c r="E313" s="12">
        <v>100</v>
      </c>
      <c r="F313" s="12">
        <v>0</v>
      </c>
      <c r="G313" s="60">
        <v>500000</v>
      </c>
      <c r="H313" s="12"/>
      <c r="I313" s="12"/>
      <c r="J313" s="12"/>
      <c r="K313" s="12"/>
      <c r="L313" s="12" t="s">
        <v>265</v>
      </c>
      <c r="M313" s="484"/>
      <c r="N313" s="12"/>
      <c r="O313" s="12"/>
      <c r="P313" s="12" t="s">
        <v>265</v>
      </c>
      <c r="Q313" s="484"/>
      <c r="R313" s="12"/>
      <c r="S313" s="12"/>
      <c r="T313" s="224">
        <v>100</v>
      </c>
      <c r="V313" s="38">
        <v>319</v>
      </c>
    </row>
    <row r="314" spans="1:22" ht="15.75" customHeight="1">
      <c r="A314" s="200">
        <v>55</v>
      </c>
      <c r="B314" s="179" t="s">
        <v>225</v>
      </c>
      <c r="C314" s="12" t="s">
        <v>262</v>
      </c>
      <c r="D314" s="12" t="s">
        <v>263</v>
      </c>
      <c r="E314" s="12">
        <v>100</v>
      </c>
      <c r="F314" s="12">
        <v>0</v>
      </c>
      <c r="G314" s="60">
        <v>500000</v>
      </c>
      <c r="H314" s="12"/>
      <c r="I314" s="12"/>
      <c r="J314" s="12"/>
      <c r="K314" s="12"/>
      <c r="L314" s="12" t="s">
        <v>266</v>
      </c>
      <c r="M314" s="484" t="s">
        <v>287</v>
      </c>
      <c r="N314" s="12" t="s">
        <v>216</v>
      </c>
      <c r="O314" s="12">
        <v>0.5</v>
      </c>
      <c r="P314" s="12" t="s">
        <v>265</v>
      </c>
      <c r="Q314" s="484"/>
      <c r="R314" s="12"/>
      <c r="S314" s="12"/>
      <c r="T314" s="224">
        <v>99.5</v>
      </c>
      <c r="V314" s="38">
        <v>320</v>
      </c>
    </row>
    <row r="315" spans="1:22" ht="15.75" customHeight="1">
      <c r="A315" s="200">
        <v>55</v>
      </c>
      <c r="B315" s="179" t="s">
        <v>226</v>
      </c>
      <c r="C315" s="12" t="s">
        <v>262</v>
      </c>
      <c r="D315" s="12" t="s">
        <v>263</v>
      </c>
      <c r="E315" s="12">
        <v>100</v>
      </c>
      <c r="F315" s="12">
        <v>0</v>
      </c>
      <c r="G315" s="60">
        <v>500000</v>
      </c>
      <c r="H315" s="12"/>
      <c r="I315" s="12"/>
      <c r="J315" s="12"/>
      <c r="K315" s="12"/>
      <c r="L315" s="12" t="s">
        <v>266</v>
      </c>
      <c r="M315" s="484" t="s">
        <v>287</v>
      </c>
      <c r="N315" s="12" t="s">
        <v>288</v>
      </c>
      <c r="O315" s="12">
        <v>2</v>
      </c>
      <c r="P315" s="12" t="s">
        <v>265</v>
      </c>
      <c r="Q315" s="484"/>
      <c r="R315" s="12"/>
      <c r="S315" s="12"/>
      <c r="T315" s="224">
        <v>98</v>
      </c>
      <c r="V315" s="38">
        <v>321</v>
      </c>
    </row>
    <row r="316" spans="1:22" ht="15.75" customHeight="1">
      <c r="A316" s="200">
        <v>55</v>
      </c>
      <c r="B316" s="179" t="s">
        <v>230</v>
      </c>
      <c r="C316" s="12" t="s">
        <v>262</v>
      </c>
      <c r="D316" s="12" t="s">
        <v>263</v>
      </c>
      <c r="E316" s="12">
        <v>100</v>
      </c>
      <c r="F316" s="12">
        <v>0</v>
      </c>
      <c r="G316" s="60">
        <v>500000</v>
      </c>
      <c r="H316" s="12"/>
      <c r="I316" s="12"/>
      <c r="J316" s="12"/>
      <c r="K316" s="12"/>
      <c r="L316" s="12" t="s">
        <v>265</v>
      </c>
      <c r="M316" s="484"/>
      <c r="N316" s="12"/>
      <c r="O316" s="12"/>
      <c r="P316" s="12" t="s">
        <v>265</v>
      </c>
      <c r="Q316" s="484"/>
      <c r="R316" s="12"/>
      <c r="S316" s="12"/>
      <c r="T316" s="224">
        <v>100</v>
      </c>
      <c r="V316" s="38">
        <v>322</v>
      </c>
    </row>
    <row r="317" spans="1:22" ht="15.75" customHeight="1">
      <c r="A317" s="200">
        <v>55</v>
      </c>
      <c r="B317" s="179" t="s">
        <v>231</v>
      </c>
      <c r="C317" s="12" t="s">
        <v>262</v>
      </c>
      <c r="D317" s="12" t="s">
        <v>263</v>
      </c>
      <c r="E317" s="12">
        <v>100</v>
      </c>
      <c r="F317" s="12">
        <v>0</v>
      </c>
      <c r="G317" s="60">
        <v>500000</v>
      </c>
      <c r="H317" s="12"/>
      <c r="I317" s="12"/>
      <c r="J317" s="12"/>
      <c r="K317" s="12"/>
      <c r="L317" s="12" t="s">
        <v>266</v>
      </c>
      <c r="M317" s="484" t="s">
        <v>287</v>
      </c>
      <c r="N317" s="12" t="s">
        <v>216</v>
      </c>
      <c r="O317" s="12">
        <v>0.5</v>
      </c>
      <c r="P317" s="12" t="s">
        <v>265</v>
      </c>
      <c r="Q317" s="484"/>
      <c r="R317" s="12"/>
      <c r="S317" s="12"/>
      <c r="T317" s="224">
        <v>99.5</v>
      </c>
      <c r="V317" s="38">
        <v>323</v>
      </c>
    </row>
    <row r="318" spans="1:22" ht="15.75" customHeight="1">
      <c r="A318" s="200">
        <v>55</v>
      </c>
      <c r="B318" s="179" t="s">
        <v>232</v>
      </c>
      <c r="C318" s="12" t="s">
        <v>262</v>
      </c>
      <c r="D318" s="12" t="s">
        <v>263</v>
      </c>
      <c r="E318" s="12">
        <v>100</v>
      </c>
      <c r="F318" s="12">
        <v>0</v>
      </c>
      <c r="G318" s="60">
        <v>500000</v>
      </c>
      <c r="H318" s="12"/>
      <c r="I318" s="12"/>
      <c r="J318" s="12"/>
      <c r="K318" s="12"/>
      <c r="L318" s="12" t="s">
        <v>266</v>
      </c>
      <c r="M318" s="484" t="s">
        <v>287</v>
      </c>
      <c r="N318" s="12" t="s">
        <v>288</v>
      </c>
      <c r="O318" s="12">
        <v>2</v>
      </c>
      <c r="P318" s="12" t="s">
        <v>265</v>
      </c>
      <c r="Q318" s="484"/>
      <c r="R318" s="12"/>
      <c r="S318" s="12"/>
      <c r="T318" s="224">
        <v>98</v>
      </c>
      <c r="V318" s="38">
        <v>324</v>
      </c>
    </row>
    <row r="319" spans="1:22" ht="15.75" customHeight="1">
      <c r="A319" s="177">
        <v>56</v>
      </c>
      <c r="B319" s="178" t="s">
        <v>220</v>
      </c>
      <c r="C319" s="199" t="s">
        <v>262</v>
      </c>
      <c r="D319" s="199" t="s">
        <v>263</v>
      </c>
      <c r="E319" s="199">
        <v>100</v>
      </c>
      <c r="F319" s="199">
        <v>0</v>
      </c>
      <c r="G319" s="244">
        <v>293500</v>
      </c>
      <c r="H319" s="199"/>
      <c r="I319" s="199">
        <v>1.25</v>
      </c>
      <c r="J319" s="199" t="s">
        <v>264</v>
      </c>
      <c r="K319" s="199"/>
      <c r="L319" s="199" t="s">
        <v>265</v>
      </c>
      <c r="M319" s="486"/>
      <c r="N319" s="199"/>
      <c r="O319" s="199"/>
      <c r="P319" s="199" t="s">
        <v>265</v>
      </c>
      <c r="Q319" s="486"/>
      <c r="R319" s="199"/>
      <c r="S319" s="199"/>
      <c r="T319" s="227">
        <v>100</v>
      </c>
      <c r="V319" s="38">
        <v>325</v>
      </c>
    </row>
    <row r="320" spans="1:22" ht="15.75" customHeight="1">
      <c r="A320" s="175">
        <v>56</v>
      </c>
      <c r="B320" s="180" t="s">
        <v>224</v>
      </c>
      <c r="C320" s="24" t="s">
        <v>262</v>
      </c>
      <c r="D320" s="24" t="s">
        <v>263</v>
      </c>
      <c r="E320" s="24">
        <v>100</v>
      </c>
      <c r="F320" s="24">
        <v>0</v>
      </c>
      <c r="G320" s="61">
        <v>293500</v>
      </c>
      <c r="H320" s="24"/>
      <c r="I320" s="24">
        <v>1.25</v>
      </c>
      <c r="J320" s="24" t="s">
        <v>264</v>
      </c>
      <c r="K320" s="24"/>
      <c r="L320" s="24" t="s">
        <v>265</v>
      </c>
      <c r="M320" s="485"/>
      <c r="N320" s="24"/>
      <c r="O320" s="24"/>
      <c r="P320" s="24" t="s">
        <v>265</v>
      </c>
      <c r="Q320" s="485"/>
      <c r="R320" s="24"/>
      <c r="S320" s="24"/>
      <c r="T320" s="225">
        <v>100</v>
      </c>
      <c r="V320" s="38">
        <v>326</v>
      </c>
    </row>
    <row r="321" spans="1:22" ht="15.75" customHeight="1">
      <c r="A321" s="177">
        <v>57</v>
      </c>
      <c r="B321" s="178">
        <v>1</v>
      </c>
      <c r="C321" s="199" t="s">
        <v>262</v>
      </c>
      <c r="D321" s="199" t="s">
        <v>263</v>
      </c>
      <c r="E321" s="199">
        <v>100</v>
      </c>
      <c r="F321" s="199">
        <v>0</v>
      </c>
      <c r="G321" s="243"/>
      <c r="H321" s="206"/>
      <c r="I321" s="206"/>
      <c r="J321" s="206"/>
      <c r="K321" s="206"/>
      <c r="L321" s="199" t="s">
        <v>265</v>
      </c>
      <c r="M321" s="486"/>
      <c r="N321" s="206"/>
      <c r="O321" s="206"/>
      <c r="P321" s="199" t="s">
        <v>265</v>
      </c>
      <c r="Q321" s="490"/>
      <c r="R321" s="206"/>
      <c r="S321" s="206"/>
      <c r="T321" s="227">
        <v>100</v>
      </c>
      <c r="V321" s="38">
        <v>327</v>
      </c>
    </row>
    <row r="322" spans="1:22" ht="15.75" customHeight="1">
      <c r="A322" s="174">
        <v>57</v>
      </c>
      <c r="B322" s="179">
        <v>2</v>
      </c>
      <c r="C322" s="12" t="s">
        <v>262</v>
      </c>
      <c r="D322" s="12" t="s">
        <v>263</v>
      </c>
      <c r="E322" s="12">
        <v>85.4</v>
      </c>
      <c r="F322" s="12">
        <v>14.6</v>
      </c>
      <c r="G322" s="56"/>
      <c r="H322" s="2"/>
      <c r="I322" s="2"/>
      <c r="J322" s="2"/>
      <c r="K322" s="2"/>
      <c r="L322" s="12" t="s">
        <v>265</v>
      </c>
      <c r="M322" s="484"/>
      <c r="N322" s="2"/>
      <c r="O322" s="2"/>
      <c r="P322" s="12" t="s">
        <v>265</v>
      </c>
      <c r="R322" s="2"/>
      <c r="S322" s="2"/>
      <c r="T322" s="224">
        <v>100</v>
      </c>
      <c r="V322" s="38">
        <v>328</v>
      </c>
    </row>
    <row r="323" spans="1:22" ht="15.75" customHeight="1">
      <c r="A323" s="201">
        <v>58</v>
      </c>
      <c r="B323" s="58">
        <v>1</v>
      </c>
      <c r="C323" s="194" t="s">
        <v>262</v>
      </c>
      <c r="D323" s="194" t="s">
        <v>263</v>
      </c>
      <c r="E323" s="194">
        <v>100</v>
      </c>
      <c r="F323" s="194">
        <v>0</v>
      </c>
      <c r="G323" s="229">
        <v>472000</v>
      </c>
      <c r="H323" s="194">
        <v>192000</v>
      </c>
      <c r="I323" s="194"/>
      <c r="J323" s="194" t="s">
        <v>264</v>
      </c>
      <c r="K323" s="194">
        <v>2.46</v>
      </c>
      <c r="L323" s="194" t="s">
        <v>265</v>
      </c>
      <c r="M323" s="486"/>
      <c r="N323" s="194"/>
      <c r="O323" s="194"/>
      <c r="P323" s="194" t="s">
        <v>265</v>
      </c>
      <c r="Q323" s="486"/>
      <c r="R323" s="194"/>
      <c r="S323" s="194"/>
      <c r="T323" s="236">
        <v>100</v>
      </c>
      <c r="V323" s="38">
        <v>329</v>
      </c>
    </row>
    <row r="324" spans="1:22" ht="15.75" customHeight="1">
      <c r="A324" s="200">
        <v>58</v>
      </c>
      <c r="B324" s="59">
        <v>2</v>
      </c>
      <c r="C324" s="20" t="s">
        <v>262</v>
      </c>
      <c r="D324" s="20" t="s">
        <v>263</v>
      </c>
      <c r="E324" s="20">
        <v>100</v>
      </c>
      <c r="F324" s="20">
        <v>0</v>
      </c>
      <c r="G324" s="42">
        <v>472000</v>
      </c>
      <c r="H324" s="20">
        <v>192000</v>
      </c>
      <c r="I324" s="20"/>
      <c r="J324" s="20" t="s">
        <v>264</v>
      </c>
      <c r="K324" s="20">
        <v>2.46</v>
      </c>
      <c r="L324" s="20" t="s">
        <v>266</v>
      </c>
      <c r="M324" s="484" t="s">
        <v>561</v>
      </c>
      <c r="N324" s="20" t="s">
        <v>289</v>
      </c>
      <c r="O324" s="20">
        <v>20</v>
      </c>
      <c r="P324" s="20" t="s">
        <v>265</v>
      </c>
      <c r="Q324" s="484"/>
      <c r="R324" s="20"/>
      <c r="S324" s="20"/>
      <c r="T324" s="234">
        <v>80</v>
      </c>
      <c r="V324" s="38">
        <v>330</v>
      </c>
    </row>
    <row r="325" spans="1:22" ht="15.75" customHeight="1">
      <c r="A325" s="200">
        <v>58</v>
      </c>
      <c r="B325" s="59">
        <v>3</v>
      </c>
      <c r="C325" s="20" t="s">
        <v>262</v>
      </c>
      <c r="D325" s="20" t="s">
        <v>263</v>
      </c>
      <c r="E325" s="20">
        <v>100</v>
      </c>
      <c r="F325" s="20">
        <v>0</v>
      </c>
      <c r="G325" s="42">
        <v>472000</v>
      </c>
      <c r="H325" s="20">
        <v>192000</v>
      </c>
      <c r="I325" s="20"/>
      <c r="J325" s="20" t="s">
        <v>264</v>
      </c>
      <c r="K325" s="20">
        <v>2.46</v>
      </c>
      <c r="L325" s="20" t="s">
        <v>266</v>
      </c>
      <c r="M325" s="484" t="s">
        <v>561</v>
      </c>
      <c r="N325" s="20" t="s">
        <v>289</v>
      </c>
      <c r="O325" s="20">
        <v>40</v>
      </c>
      <c r="P325" s="20" t="s">
        <v>265</v>
      </c>
      <c r="Q325" s="484"/>
      <c r="R325" s="20"/>
      <c r="S325" s="20"/>
      <c r="T325" s="234">
        <v>60</v>
      </c>
      <c r="V325" s="38">
        <v>331</v>
      </c>
    </row>
    <row r="326" spans="1:22" ht="15.75" customHeight="1">
      <c r="A326" s="201">
        <v>59</v>
      </c>
      <c r="B326" s="58">
        <v>1</v>
      </c>
      <c r="C326" s="199" t="s">
        <v>262</v>
      </c>
      <c r="D326" s="199" t="s">
        <v>263</v>
      </c>
      <c r="E326" s="199">
        <v>100</v>
      </c>
      <c r="F326" s="199">
        <v>0</v>
      </c>
      <c r="G326" s="244">
        <v>550000</v>
      </c>
      <c r="H326" s="194"/>
      <c r="I326" s="194"/>
      <c r="J326" s="194"/>
      <c r="K326" s="194"/>
      <c r="L326" s="199" t="s">
        <v>265</v>
      </c>
      <c r="M326" s="486"/>
      <c r="N326" s="194"/>
      <c r="O326" s="194"/>
      <c r="P326" s="199" t="s">
        <v>265</v>
      </c>
      <c r="Q326" s="486"/>
      <c r="R326" s="194"/>
      <c r="S326" s="194"/>
      <c r="T326" s="227">
        <v>100</v>
      </c>
      <c r="V326" s="38">
        <v>334</v>
      </c>
    </row>
    <row r="327" spans="1:22" ht="15.75" customHeight="1">
      <c r="A327" s="200">
        <v>59</v>
      </c>
      <c r="B327" s="59">
        <v>2</v>
      </c>
      <c r="C327" s="12" t="s">
        <v>262</v>
      </c>
      <c r="D327" s="12" t="s">
        <v>263</v>
      </c>
      <c r="E327" s="12">
        <v>100</v>
      </c>
      <c r="F327" s="12">
        <v>0</v>
      </c>
      <c r="G327" s="60">
        <v>550000</v>
      </c>
      <c r="H327" s="20"/>
      <c r="I327" s="20"/>
      <c r="J327" s="20"/>
      <c r="K327" s="20"/>
      <c r="L327" s="12" t="s">
        <v>266</v>
      </c>
      <c r="M327" s="484" t="s">
        <v>560</v>
      </c>
      <c r="N327" s="12" t="s">
        <v>290</v>
      </c>
      <c r="O327" s="12">
        <v>5</v>
      </c>
      <c r="P327" s="12" t="s">
        <v>265</v>
      </c>
      <c r="Q327" s="484"/>
      <c r="R327" s="20"/>
      <c r="S327" s="12"/>
      <c r="T327" s="224">
        <v>95</v>
      </c>
      <c r="V327" s="38">
        <v>335</v>
      </c>
    </row>
    <row r="328" spans="1:22" ht="15.75" customHeight="1">
      <c r="A328" s="200">
        <v>59</v>
      </c>
      <c r="B328" s="59">
        <v>3</v>
      </c>
      <c r="C328" s="12" t="s">
        <v>262</v>
      </c>
      <c r="D328" s="12" t="s">
        <v>263</v>
      </c>
      <c r="E328" s="12">
        <v>100</v>
      </c>
      <c r="F328" s="12">
        <v>0</v>
      </c>
      <c r="G328" s="60">
        <v>550000</v>
      </c>
      <c r="H328" s="20"/>
      <c r="I328" s="20"/>
      <c r="J328" s="20"/>
      <c r="K328" s="20"/>
      <c r="L328" s="12" t="s">
        <v>266</v>
      </c>
      <c r="M328" s="484" t="s">
        <v>561</v>
      </c>
      <c r="N328" s="12" t="s">
        <v>291</v>
      </c>
      <c r="O328" s="12">
        <v>10</v>
      </c>
      <c r="P328" s="12" t="s">
        <v>266</v>
      </c>
      <c r="Q328" s="484" t="s">
        <v>560</v>
      </c>
      <c r="R328" s="12" t="s">
        <v>290</v>
      </c>
      <c r="S328" s="12">
        <v>5</v>
      </c>
      <c r="T328" s="224">
        <v>85</v>
      </c>
      <c r="V328" s="38">
        <v>336</v>
      </c>
    </row>
    <row r="329" spans="1:22" ht="15.75" customHeight="1">
      <c r="A329" s="200">
        <v>59</v>
      </c>
      <c r="B329" s="59">
        <v>4</v>
      </c>
      <c r="C329" s="12" t="s">
        <v>262</v>
      </c>
      <c r="D329" s="12" t="s">
        <v>263</v>
      </c>
      <c r="E329" s="12">
        <v>100</v>
      </c>
      <c r="F329" s="12">
        <v>0</v>
      </c>
      <c r="G329" s="60">
        <v>550000</v>
      </c>
      <c r="H329" s="20"/>
      <c r="I329" s="20"/>
      <c r="J329" s="20"/>
      <c r="K329" s="20"/>
      <c r="L329" s="12" t="s">
        <v>266</v>
      </c>
      <c r="M329" s="484" t="s">
        <v>561</v>
      </c>
      <c r="N329" s="12" t="s">
        <v>291</v>
      </c>
      <c r="O329" s="12">
        <v>10</v>
      </c>
      <c r="P329" s="12" t="s">
        <v>266</v>
      </c>
      <c r="Q329" s="484" t="s">
        <v>560</v>
      </c>
      <c r="R329" s="12" t="s">
        <v>290</v>
      </c>
      <c r="S329" s="12">
        <v>5</v>
      </c>
      <c r="T329" s="224">
        <v>85</v>
      </c>
      <c r="V329" s="38">
        <v>337</v>
      </c>
    </row>
    <row r="330" spans="1:22" ht="15.75" customHeight="1">
      <c r="A330" s="200">
        <v>59</v>
      </c>
      <c r="B330" s="59">
        <v>5</v>
      </c>
      <c r="C330" s="12" t="s">
        <v>262</v>
      </c>
      <c r="D330" s="12" t="s">
        <v>263</v>
      </c>
      <c r="E330" s="12">
        <v>100</v>
      </c>
      <c r="F330" s="12">
        <v>0</v>
      </c>
      <c r="G330" s="60">
        <v>550000</v>
      </c>
      <c r="H330" s="20"/>
      <c r="I330" s="20"/>
      <c r="J330" s="20"/>
      <c r="K330" s="20"/>
      <c r="L330" s="12" t="s">
        <v>266</v>
      </c>
      <c r="M330" s="484" t="s">
        <v>561</v>
      </c>
      <c r="N330" s="12" t="s">
        <v>291</v>
      </c>
      <c r="O330" s="12">
        <v>10</v>
      </c>
      <c r="P330" s="12" t="s">
        <v>265</v>
      </c>
      <c r="Q330" s="484"/>
      <c r="R330" s="20"/>
      <c r="S330" s="20"/>
      <c r="T330" s="224">
        <v>90</v>
      </c>
      <c r="V330" s="38">
        <v>338</v>
      </c>
    </row>
    <row r="331" spans="1:22" ht="15.75" customHeight="1">
      <c r="A331" s="202">
        <v>59</v>
      </c>
      <c r="B331" s="203">
        <v>6</v>
      </c>
      <c r="C331" s="24" t="s">
        <v>262</v>
      </c>
      <c r="D331" s="24" t="s">
        <v>263</v>
      </c>
      <c r="E331" s="24">
        <v>100</v>
      </c>
      <c r="F331" s="24">
        <v>0</v>
      </c>
      <c r="G331" s="61">
        <v>550000</v>
      </c>
      <c r="H331" s="26"/>
      <c r="I331" s="26"/>
      <c r="J331" s="26"/>
      <c r="K331" s="26"/>
      <c r="L331" s="24" t="s">
        <v>266</v>
      </c>
      <c r="M331" s="484" t="s">
        <v>561</v>
      </c>
      <c r="N331" s="24" t="s">
        <v>291</v>
      </c>
      <c r="O331" s="24">
        <v>10</v>
      </c>
      <c r="P331" s="24" t="s">
        <v>265</v>
      </c>
      <c r="Q331" s="485"/>
      <c r="R331" s="26"/>
      <c r="S331" s="26"/>
      <c r="T331" s="225">
        <v>90</v>
      </c>
      <c r="V331" s="38">
        <v>339</v>
      </c>
    </row>
    <row r="332" spans="1:22" ht="15.75" customHeight="1">
      <c r="A332" s="205">
        <v>60</v>
      </c>
      <c r="B332" s="58">
        <v>1</v>
      </c>
      <c r="C332" s="62" t="s">
        <v>262</v>
      </c>
      <c r="D332" s="62" t="s">
        <v>263</v>
      </c>
      <c r="E332" s="12">
        <v>100</v>
      </c>
      <c r="F332" s="12">
        <v>0</v>
      </c>
      <c r="G332" s="56"/>
      <c r="L332" s="12" t="s">
        <v>265</v>
      </c>
      <c r="M332" s="486"/>
      <c r="P332" s="12" t="s">
        <v>265</v>
      </c>
      <c r="T332" s="227">
        <v>100</v>
      </c>
      <c r="V332" s="38">
        <v>340</v>
      </c>
    </row>
    <row r="333" spans="1:22" ht="15.75" customHeight="1">
      <c r="A333" s="205">
        <v>60</v>
      </c>
      <c r="B333" s="59">
        <v>2</v>
      </c>
      <c r="C333" s="12" t="s">
        <v>262</v>
      </c>
      <c r="D333" s="12" t="s">
        <v>263</v>
      </c>
      <c r="E333" s="12">
        <v>100</v>
      </c>
      <c r="F333" s="12">
        <v>0</v>
      </c>
      <c r="G333" s="56"/>
      <c r="L333" s="12" t="s">
        <v>266</v>
      </c>
      <c r="M333" s="484" t="s">
        <v>561</v>
      </c>
      <c r="N333" s="12" t="s">
        <v>291</v>
      </c>
      <c r="O333" s="12">
        <v>10</v>
      </c>
      <c r="P333" s="12" t="s">
        <v>265</v>
      </c>
      <c r="T333" s="224">
        <v>90</v>
      </c>
      <c r="V333" s="38">
        <v>341</v>
      </c>
    </row>
    <row r="334" spans="1:22" ht="15.75" customHeight="1">
      <c r="A334" s="205">
        <v>60</v>
      </c>
      <c r="B334" s="59">
        <v>3</v>
      </c>
      <c r="C334" s="12" t="s">
        <v>262</v>
      </c>
      <c r="D334" s="12" t="s">
        <v>263</v>
      </c>
      <c r="E334" s="12">
        <v>100</v>
      </c>
      <c r="F334" s="12">
        <v>0</v>
      </c>
      <c r="G334" s="56"/>
      <c r="L334" s="12" t="s">
        <v>266</v>
      </c>
      <c r="M334" s="484" t="s">
        <v>561</v>
      </c>
      <c r="N334" s="12" t="s">
        <v>291</v>
      </c>
      <c r="O334" s="12">
        <v>20</v>
      </c>
      <c r="P334" s="12" t="s">
        <v>265</v>
      </c>
      <c r="T334" s="224">
        <v>80</v>
      </c>
      <c r="V334" s="38">
        <v>342</v>
      </c>
    </row>
    <row r="335" spans="1:22" ht="15.75" customHeight="1">
      <c r="A335" s="205">
        <v>60</v>
      </c>
      <c r="B335" s="59">
        <v>4</v>
      </c>
      <c r="C335" s="12" t="s">
        <v>262</v>
      </c>
      <c r="D335" s="12" t="s">
        <v>263</v>
      </c>
      <c r="E335" s="12">
        <v>100</v>
      </c>
      <c r="F335" s="12">
        <v>0</v>
      </c>
      <c r="G335" s="56"/>
      <c r="L335" s="12" t="s">
        <v>266</v>
      </c>
      <c r="M335" s="484" t="s">
        <v>561</v>
      </c>
      <c r="N335" s="12" t="s">
        <v>291</v>
      </c>
      <c r="O335" s="12">
        <v>35</v>
      </c>
      <c r="P335" s="12" t="s">
        <v>265</v>
      </c>
      <c r="T335" s="224">
        <v>65</v>
      </c>
      <c r="V335" s="38">
        <v>343</v>
      </c>
    </row>
    <row r="336" spans="1:22" ht="15.75" customHeight="1">
      <c r="A336" s="205">
        <v>60</v>
      </c>
      <c r="B336" s="59">
        <v>5</v>
      </c>
      <c r="C336" s="12" t="s">
        <v>262</v>
      </c>
      <c r="D336" s="12" t="s">
        <v>263</v>
      </c>
      <c r="E336" s="12">
        <v>100</v>
      </c>
      <c r="F336" s="12">
        <v>0</v>
      </c>
      <c r="G336" s="56"/>
      <c r="L336" s="12" t="s">
        <v>266</v>
      </c>
      <c r="M336" s="484" t="s">
        <v>561</v>
      </c>
      <c r="N336" s="12" t="s">
        <v>291</v>
      </c>
      <c r="O336" s="12">
        <v>50</v>
      </c>
      <c r="P336" s="12" t="s">
        <v>265</v>
      </c>
      <c r="T336" s="224">
        <v>50</v>
      </c>
      <c r="V336" s="38">
        <v>344</v>
      </c>
    </row>
    <row r="337" spans="1:22" ht="15.75" customHeight="1">
      <c r="A337" s="213">
        <v>61</v>
      </c>
      <c r="B337" s="246">
        <v>1</v>
      </c>
      <c r="C337" s="24" t="s">
        <v>262</v>
      </c>
      <c r="D337" s="24" t="s">
        <v>263</v>
      </c>
      <c r="E337" s="24">
        <v>100</v>
      </c>
      <c r="F337" s="24">
        <v>0</v>
      </c>
      <c r="G337" s="43"/>
      <c r="H337" s="26"/>
      <c r="I337" s="26"/>
      <c r="J337" s="26"/>
      <c r="K337" s="26"/>
      <c r="L337" s="24" t="s">
        <v>266</v>
      </c>
      <c r="M337" s="487" t="s">
        <v>561</v>
      </c>
      <c r="N337" s="24" t="s">
        <v>291</v>
      </c>
      <c r="O337" s="24">
        <v>15.8</v>
      </c>
      <c r="P337" s="24" t="s">
        <v>266</v>
      </c>
      <c r="Q337" s="487" t="s">
        <v>561</v>
      </c>
      <c r="R337" s="24" t="s">
        <v>292</v>
      </c>
      <c r="S337" s="24">
        <v>12.7</v>
      </c>
      <c r="T337" s="225">
        <v>71.5</v>
      </c>
      <c r="V337" s="38">
        <v>348</v>
      </c>
    </row>
    <row r="338" spans="1:22" ht="15.75" customHeight="1">
      <c r="A338" s="16"/>
      <c r="B338" s="20"/>
      <c r="G338" s="42"/>
      <c r="L338" s="20"/>
      <c r="M338" s="484"/>
      <c r="O338" s="20"/>
      <c r="T338" s="64"/>
      <c r="V338" s="38"/>
    </row>
    <row r="339" spans="1:22" ht="15.75" customHeight="1">
      <c r="A339" s="16"/>
      <c r="B339" s="20"/>
      <c r="G339" s="42"/>
      <c r="L339" s="20"/>
      <c r="M339" s="484"/>
      <c r="O339" s="20"/>
      <c r="T339" s="64"/>
    </row>
    <row r="340" spans="1:22" ht="15.75" customHeight="1">
      <c r="A340" s="16"/>
      <c r="B340" s="20"/>
      <c r="G340" s="42"/>
      <c r="L340" s="20"/>
      <c r="M340" s="484"/>
      <c r="O340" s="20"/>
      <c r="T340" s="64"/>
    </row>
    <row r="341" spans="1:22" ht="15.75" customHeight="1">
      <c r="A341" s="16"/>
      <c r="B341" s="20"/>
      <c r="G341" s="42"/>
      <c r="L341" s="20"/>
      <c r="M341" s="484"/>
      <c r="O341" s="20"/>
      <c r="T341" s="64"/>
    </row>
    <row r="342" spans="1:22" ht="15.75" customHeight="1">
      <c r="A342" s="16"/>
      <c r="B342" s="20"/>
      <c r="G342" s="42"/>
      <c r="L342" s="20"/>
      <c r="M342" s="484"/>
      <c r="O342" s="20"/>
      <c r="T342" s="64"/>
    </row>
    <row r="343" spans="1:22" ht="15.75" customHeight="1">
      <c r="A343" s="16"/>
      <c r="B343" s="20"/>
      <c r="G343" s="42"/>
      <c r="L343" s="20"/>
      <c r="M343" s="484"/>
      <c r="O343" s="20"/>
      <c r="T343" s="64"/>
    </row>
    <row r="344" spans="1:22" ht="15.75" customHeight="1">
      <c r="A344" s="16"/>
      <c r="B344" s="20"/>
      <c r="G344" s="42"/>
      <c r="L344" s="20"/>
      <c r="M344" s="484"/>
      <c r="O344" s="20"/>
      <c r="T344" s="64"/>
    </row>
    <row r="345" spans="1:22" ht="15.75" customHeight="1">
      <c r="A345" s="16"/>
      <c r="B345" s="20"/>
      <c r="G345" s="42"/>
      <c r="L345" s="20"/>
      <c r="M345" s="484"/>
      <c r="O345" s="20"/>
      <c r="T345" s="64"/>
    </row>
    <row r="346" spans="1:22" ht="15.75" customHeight="1">
      <c r="A346" s="16"/>
      <c r="B346" s="20"/>
      <c r="G346" s="42"/>
      <c r="L346" s="20"/>
      <c r="M346" s="484"/>
      <c r="O346" s="20"/>
      <c r="T346" s="64"/>
    </row>
    <row r="347" spans="1:22" ht="15.75" customHeight="1">
      <c r="A347" s="16"/>
      <c r="B347" s="20"/>
      <c r="G347" s="42"/>
      <c r="L347" s="20"/>
      <c r="M347" s="484"/>
      <c r="O347" s="20"/>
      <c r="T347" s="64"/>
    </row>
    <row r="348" spans="1:22" ht="15.75" customHeight="1">
      <c r="A348" s="16"/>
      <c r="B348" s="20"/>
      <c r="G348" s="42"/>
      <c r="L348" s="20"/>
      <c r="M348" s="484"/>
      <c r="O348" s="20"/>
      <c r="T348" s="64"/>
    </row>
    <row r="349" spans="1:22" ht="15.75" customHeight="1">
      <c r="A349" s="16"/>
      <c r="B349" s="20"/>
      <c r="G349" s="42"/>
      <c r="L349" s="20"/>
      <c r="M349" s="484"/>
      <c r="O349" s="20"/>
      <c r="T349" s="64"/>
    </row>
    <row r="350" spans="1:22" ht="15.75" customHeight="1">
      <c r="A350" s="16"/>
      <c r="B350" s="20"/>
      <c r="G350" s="42"/>
      <c r="L350" s="20"/>
      <c r="M350" s="484"/>
      <c r="O350" s="20"/>
      <c r="T350" s="64"/>
    </row>
    <row r="351" spans="1:22" ht="15.75" customHeight="1">
      <c r="A351" s="16"/>
      <c r="B351" s="20"/>
      <c r="G351" s="42"/>
      <c r="L351" s="20"/>
      <c r="M351" s="484"/>
      <c r="O351" s="20"/>
      <c r="T351" s="64"/>
    </row>
    <row r="352" spans="1:22" ht="15.75" customHeight="1">
      <c r="A352" s="16"/>
      <c r="B352" s="20"/>
      <c r="G352" s="42"/>
      <c r="L352" s="20"/>
      <c r="M352" s="484"/>
      <c r="O352" s="20"/>
      <c r="T352" s="64"/>
    </row>
    <row r="353" spans="1:20" ht="15.75" customHeight="1">
      <c r="A353" s="16"/>
      <c r="B353" s="20"/>
      <c r="G353" s="42"/>
      <c r="L353" s="20"/>
      <c r="M353" s="484"/>
      <c r="O353" s="20"/>
      <c r="T353" s="64"/>
    </row>
    <row r="354" spans="1:20" ht="15.75" customHeight="1">
      <c r="A354" s="16"/>
      <c r="B354" s="20"/>
      <c r="G354" s="42"/>
      <c r="L354" s="20"/>
      <c r="M354" s="484"/>
      <c r="O354" s="20"/>
      <c r="T354" s="64"/>
    </row>
    <row r="355" spans="1:20" ht="15.75" customHeight="1">
      <c r="A355" s="16"/>
      <c r="B355" s="20"/>
      <c r="G355" s="42"/>
      <c r="L355" s="20"/>
      <c r="M355" s="484"/>
      <c r="O355" s="20"/>
      <c r="T355" s="64"/>
    </row>
    <row r="356" spans="1:20" ht="15.75" customHeight="1">
      <c r="A356" s="16"/>
      <c r="B356" s="20"/>
      <c r="G356" s="42"/>
      <c r="L356" s="20"/>
      <c r="M356" s="484"/>
      <c r="O356" s="20"/>
      <c r="T356" s="64"/>
    </row>
    <row r="357" spans="1:20" ht="15.75" customHeight="1">
      <c r="A357" s="16"/>
      <c r="B357" s="20"/>
      <c r="G357" s="42"/>
      <c r="L357" s="20"/>
      <c r="M357" s="484"/>
      <c r="O357" s="20"/>
      <c r="T357" s="64"/>
    </row>
    <row r="358" spans="1:20" ht="15.75" customHeight="1">
      <c r="A358" s="16"/>
      <c r="B358" s="20"/>
      <c r="G358" s="42"/>
      <c r="L358" s="20"/>
      <c r="M358" s="484"/>
      <c r="O358" s="20"/>
      <c r="T358" s="64"/>
    </row>
    <row r="359" spans="1:20" ht="15.75" customHeight="1">
      <c r="A359" s="16"/>
      <c r="B359" s="20"/>
      <c r="G359" s="42"/>
      <c r="L359" s="20"/>
      <c r="M359" s="484"/>
      <c r="O359" s="20"/>
      <c r="T359" s="64"/>
    </row>
    <row r="360" spans="1:20" ht="15.75" customHeight="1">
      <c r="A360" s="16"/>
      <c r="B360" s="20"/>
      <c r="G360" s="42"/>
      <c r="L360" s="20"/>
      <c r="M360" s="484"/>
      <c r="O360" s="20"/>
      <c r="T360" s="64"/>
    </row>
    <row r="361" spans="1:20" ht="15.75" customHeight="1">
      <c r="A361" s="16"/>
      <c r="B361" s="20"/>
      <c r="G361" s="42"/>
      <c r="L361" s="20"/>
      <c r="M361" s="484"/>
      <c r="O361" s="20"/>
      <c r="T361" s="64"/>
    </row>
    <row r="362" spans="1:20" ht="15.75" customHeight="1">
      <c r="A362" s="16"/>
      <c r="B362" s="20"/>
      <c r="G362" s="42"/>
      <c r="L362" s="20"/>
      <c r="M362" s="484"/>
      <c r="O362" s="20"/>
      <c r="T362" s="64"/>
    </row>
    <row r="363" spans="1:20" ht="15.75" customHeight="1">
      <c r="A363" s="16"/>
      <c r="B363" s="20"/>
      <c r="G363" s="42"/>
      <c r="L363" s="20"/>
      <c r="M363" s="484"/>
      <c r="O363" s="20"/>
      <c r="T363" s="64"/>
    </row>
    <row r="364" spans="1:20" ht="15.75" customHeight="1">
      <c r="A364" s="16"/>
      <c r="B364" s="20"/>
      <c r="G364" s="42"/>
      <c r="L364" s="20"/>
      <c r="M364" s="484"/>
      <c r="O364" s="20"/>
      <c r="T364" s="64"/>
    </row>
    <row r="365" spans="1:20" ht="15.75" customHeight="1">
      <c r="A365" s="16"/>
      <c r="B365" s="20"/>
      <c r="G365" s="42"/>
      <c r="L365" s="20"/>
      <c r="M365" s="484"/>
      <c r="O365" s="20"/>
      <c r="T365" s="64"/>
    </row>
    <row r="366" spans="1:20" ht="15.75" customHeight="1">
      <c r="A366" s="16"/>
      <c r="B366" s="20"/>
      <c r="G366" s="42"/>
      <c r="L366" s="20"/>
      <c r="M366" s="484"/>
      <c r="O366" s="20"/>
      <c r="T366" s="64"/>
    </row>
    <row r="367" spans="1:20" ht="15.75" customHeight="1">
      <c r="A367" s="16"/>
      <c r="B367" s="20"/>
      <c r="G367" s="42"/>
      <c r="L367" s="20"/>
      <c r="M367" s="484"/>
      <c r="O367" s="20"/>
      <c r="T367" s="64"/>
    </row>
    <row r="368" spans="1:20" ht="15.75" customHeight="1">
      <c r="A368" s="16"/>
      <c r="B368" s="20"/>
      <c r="G368" s="42"/>
      <c r="L368" s="20"/>
      <c r="M368" s="484"/>
      <c r="O368" s="20"/>
      <c r="T368" s="64"/>
    </row>
    <row r="369" spans="1:20" ht="15.75" customHeight="1">
      <c r="A369" s="16"/>
      <c r="B369" s="20"/>
      <c r="G369" s="42"/>
      <c r="L369" s="20"/>
      <c r="M369" s="484"/>
      <c r="O369" s="20"/>
      <c r="T369" s="64"/>
    </row>
    <row r="370" spans="1:20" ht="15.75" customHeight="1">
      <c r="A370" s="16"/>
      <c r="B370" s="20"/>
      <c r="G370" s="42"/>
      <c r="L370" s="20"/>
      <c r="M370" s="484"/>
      <c r="O370" s="20"/>
      <c r="T370" s="64"/>
    </row>
    <row r="371" spans="1:20" ht="15.75" customHeight="1">
      <c r="A371" s="16"/>
      <c r="B371" s="20"/>
      <c r="G371" s="42"/>
      <c r="L371" s="20"/>
      <c r="M371" s="484"/>
      <c r="O371" s="20"/>
      <c r="T371" s="64"/>
    </row>
    <row r="372" spans="1:20" ht="15.75" customHeight="1">
      <c r="A372" s="16"/>
      <c r="B372" s="20"/>
      <c r="G372" s="42"/>
      <c r="L372" s="20"/>
      <c r="M372" s="484"/>
      <c r="O372" s="20"/>
      <c r="T372" s="64"/>
    </row>
    <row r="373" spans="1:20" ht="15.75" customHeight="1">
      <c r="A373" s="16"/>
      <c r="B373" s="20"/>
      <c r="G373" s="42"/>
      <c r="L373" s="20"/>
      <c r="M373" s="484"/>
      <c r="O373" s="20"/>
      <c r="T373" s="64"/>
    </row>
    <row r="374" spans="1:20" ht="15.75" customHeight="1">
      <c r="A374" s="16"/>
      <c r="B374" s="20"/>
      <c r="G374" s="42"/>
      <c r="L374" s="20"/>
      <c r="M374" s="484"/>
      <c r="O374" s="20"/>
      <c r="T374" s="64"/>
    </row>
    <row r="375" spans="1:20" ht="15.75" customHeight="1">
      <c r="A375" s="16"/>
      <c r="B375" s="20"/>
      <c r="G375" s="42"/>
      <c r="L375" s="20"/>
      <c r="M375" s="484"/>
      <c r="O375" s="20"/>
      <c r="T375" s="64"/>
    </row>
    <row r="376" spans="1:20" ht="15.75" customHeight="1">
      <c r="A376" s="16"/>
      <c r="B376" s="20"/>
      <c r="G376" s="42"/>
      <c r="L376" s="20"/>
      <c r="M376" s="484"/>
      <c r="O376" s="20"/>
      <c r="T376" s="64"/>
    </row>
    <row r="377" spans="1:20" ht="15.75" customHeight="1">
      <c r="A377" s="16"/>
      <c r="B377" s="20"/>
      <c r="G377" s="42"/>
      <c r="L377" s="20"/>
      <c r="M377" s="484"/>
      <c r="O377" s="20"/>
      <c r="T377" s="64"/>
    </row>
    <row r="378" spans="1:20" ht="15.75" customHeight="1">
      <c r="A378" s="16"/>
      <c r="B378" s="20"/>
      <c r="G378" s="42"/>
      <c r="L378" s="20"/>
      <c r="M378" s="484"/>
      <c r="O378" s="20"/>
      <c r="T378" s="64"/>
    </row>
    <row r="379" spans="1:20" ht="15.75" customHeight="1">
      <c r="A379" s="16"/>
      <c r="B379" s="20"/>
      <c r="G379" s="42"/>
      <c r="L379" s="20"/>
      <c r="M379" s="484"/>
      <c r="O379" s="20"/>
      <c r="T379" s="64"/>
    </row>
    <row r="380" spans="1:20" ht="15.75" customHeight="1">
      <c r="A380" s="16"/>
      <c r="B380" s="20"/>
      <c r="G380" s="42"/>
      <c r="L380" s="20"/>
      <c r="M380" s="484"/>
      <c r="O380" s="20"/>
      <c r="T380" s="64"/>
    </row>
    <row r="381" spans="1:20" ht="15.75" customHeight="1">
      <c r="A381" s="16"/>
      <c r="B381" s="20"/>
      <c r="G381" s="42"/>
      <c r="L381" s="20"/>
      <c r="M381" s="484"/>
      <c r="O381" s="20"/>
      <c r="T381" s="64"/>
    </row>
    <row r="382" spans="1:20" ht="15.75" customHeight="1">
      <c r="A382" s="16"/>
      <c r="B382" s="20"/>
      <c r="G382" s="42"/>
      <c r="L382" s="20"/>
      <c r="M382" s="484"/>
      <c r="O382" s="20"/>
      <c r="T382" s="64"/>
    </row>
    <row r="383" spans="1:20" ht="15.75" customHeight="1">
      <c r="A383" s="16"/>
      <c r="B383" s="20"/>
      <c r="G383" s="42"/>
      <c r="L383" s="20"/>
      <c r="M383" s="484"/>
      <c r="O383" s="20"/>
      <c r="T383" s="64"/>
    </row>
    <row r="384" spans="1:20" ht="15.75" customHeight="1">
      <c r="A384" s="16"/>
      <c r="B384" s="20"/>
      <c r="G384" s="42"/>
      <c r="L384" s="20"/>
      <c r="M384" s="484"/>
      <c r="O384" s="20"/>
      <c r="T384" s="64"/>
    </row>
    <row r="385" spans="1:20" ht="15.75" customHeight="1">
      <c r="A385" s="16"/>
      <c r="B385" s="20"/>
      <c r="G385" s="42"/>
      <c r="L385" s="20"/>
      <c r="M385" s="484"/>
      <c r="O385" s="20"/>
      <c r="T385" s="64"/>
    </row>
    <row r="386" spans="1:20" ht="15.75" customHeight="1">
      <c r="A386" s="16"/>
      <c r="B386" s="20"/>
      <c r="G386" s="42"/>
      <c r="L386" s="20"/>
      <c r="M386" s="484"/>
      <c r="O386" s="20"/>
      <c r="T386" s="64"/>
    </row>
    <row r="387" spans="1:20" ht="15.75" customHeight="1">
      <c r="A387" s="16"/>
      <c r="B387" s="20"/>
      <c r="G387" s="42"/>
      <c r="L387" s="20"/>
      <c r="M387" s="484"/>
      <c r="O387" s="20"/>
      <c r="T387" s="64"/>
    </row>
    <row r="388" spans="1:20" ht="15.75" customHeight="1">
      <c r="A388" s="16"/>
      <c r="B388" s="20"/>
      <c r="G388" s="42"/>
      <c r="L388" s="20"/>
      <c r="M388" s="484"/>
      <c r="O388" s="20"/>
      <c r="T388" s="64"/>
    </row>
    <row r="389" spans="1:20" ht="15.75" customHeight="1">
      <c r="A389" s="16"/>
      <c r="B389" s="20"/>
      <c r="G389" s="42"/>
      <c r="L389" s="20"/>
      <c r="M389" s="484"/>
      <c r="O389" s="20"/>
      <c r="T389" s="64"/>
    </row>
    <row r="390" spans="1:20" ht="15.75" customHeight="1">
      <c r="A390" s="16"/>
      <c r="B390" s="20"/>
      <c r="G390" s="42"/>
      <c r="L390" s="20"/>
      <c r="M390" s="484"/>
      <c r="O390" s="20"/>
      <c r="T390" s="64"/>
    </row>
    <row r="391" spans="1:20" ht="15.75" customHeight="1">
      <c r="A391" s="16"/>
      <c r="B391" s="20"/>
      <c r="G391" s="42"/>
      <c r="L391" s="20"/>
      <c r="M391" s="484"/>
      <c r="O391" s="20"/>
      <c r="T391" s="64"/>
    </row>
    <row r="392" spans="1:20" ht="15.75" customHeight="1">
      <c r="A392" s="16"/>
      <c r="B392" s="20"/>
      <c r="G392" s="42"/>
      <c r="L392" s="20"/>
      <c r="M392" s="484"/>
      <c r="O392" s="20"/>
      <c r="T392" s="64"/>
    </row>
    <row r="393" spans="1:20" ht="15.75" customHeight="1">
      <c r="A393" s="16"/>
      <c r="B393" s="20"/>
      <c r="G393" s="42"/>
      <c r="L393" s="20"/>
      <c r="M393" s="484"/>
      <c r="O393" s="20"/>
      <c r="T393" s="64"/>
    </row>
    <row r="394" spans="1:20" ht="15.75" customHeight="1">
      <c r="A394" s="16"/>
      <c r="B394" s="20"/>
      <c r="G394" s="42"/>
      <c r="L394" s="20"/>
      <c r="M394" s="484"/>
      <c r="O394" s="20"/>
      <c r="T394" s="64"/>
    </row>
    <row r="395" spans="1:20" ht="15.75" customHeight="1">
      <c r="A395" s="16"/>
      <c r="B395" s="20"/>
      <c r="G395" s="42"/>
      <c r="L395" s="20"/>
      <c r="M395" s="484"/>
      <c r="O395" s="20"/>
      <c r="T395" s="64"/>
    </row>
    <row r="396" spans="1:20" ht="15.75" customHeight="1">
      <c r="A396" s="16"/>
      <c r="B396" s="20"/>
      <c r="G396" s="42"/>
      <c r="L396" s="20"/>
      <c r="M396" s="484"/>
      <c r="O396" s="20"/>
      <c r="T396" s="64"/>
    </row>
    <row r="397" spans="1:20" ht="15.75" customHeight="1">
      <c r="A397" s="16"/>
      <c r="B397" s="20"/>
      <c r="G397" s="42"/>
      <c r="L397" s="20"/>
      <c r="M397" s="484"/>
      <c r="O397" s="20"/>
      <c r="T397" s="64"/>
    </row>
    <row r="398" spans="1:20" ht="15.75" customHeight="1">
      <c r="A398" s="16"/>
      <c r="B398" s="20"/>
      <c r="G398" s="42"/>
      <c r="L398" s="20"/>
      <c r="M398" s="484"/>
      <c r="O398" s="20"/>
      <c r="T398" s="64"/>
    </row>
    <row r="399" spans="1:20" ht="15.75" customHeight="1">
      <c r="A399" s="16"/>
      <c r="B399" s="20"/>
      <c r="G399" s="42"/>
      <c r="L399" s="20"/>
      <c r="M399" s="484"/>
      <c r="O399" s="20"/>
      <c r="T399" s="64"/>
    </row>
    <row r="400" spans="1:20" ht="15.75" customHeight="1">
      <c r="A400" s="16"/>
      <c r="B400" s="20"/>
      <c r="G400" s="42"/>
      <c r="L400" s="20"/>
      <c r="M400" s="484"/>
      <c r="O400" s="20"/>
      <c r="T400" s="64"/>
    </row>
    <row r="401" spans="1:20" ht="15.75" customHeight="1">
      <c r="A401" s="16"/>
      <c r="B401" s="20"/>
      <c r="G401" s="42"/>
      <c r="L401" s="20"/>
      <c r="M401" s="484"/>
      <c r="O401" s="20"/>
      <c r="T401" s="64"/>
    </row>
    <row r="402" spans="1:20" ht="15.75" customHeight="1">
      <c r="A402" s="16"/>
      <c r="B402" s="20"/>
      <c r="G402" s="42"/>
      <c r="L402" s="20"/>
      <c r="M402" s="484"/>
      <c r="O402" s="20"/>
      <c r="T402" s="64"/>
    </row>
    <row r="403" spans="1:20" ht="15.75" customHeight="1">
      <c r="A403" s="16"/>
      <c r="B403" s="20"/>
      <c r="G403" s="42"/>
      <c r="L403" s="20"/>
      <c r="M403" s="484"/>
      <c r="O403" s="20"/>
      <c r="T403" s="64"/>
    </row>
    <row r="404" spans="1:20" ht="15.75" customHeight="1">
      <c r="A404" s="16"/>
      <c r="B404" s="20"/>
      <c r="G404" s="42"/>
      <c r="L404" s="20"/>
      <c r="M404" s="484"/>
      <c r="O404" s="20"/>
      <c r="T404" s="64"/>
    </row>
    <row r="405" spans="1:20" ht="15.75" customHeight="1">
      <c r="A405" s="16"/>
      <c r="B405" s="20"/>
      <c r="G405" s="42"/>
      <c r="L405" s="20"/>
      <c r="M405" s="484"/>
      <c r="O405" s="20"/>
      <c r="T405" s="64"/>
    </row>
    <row r="406" spans="1:20" ht="15.75" customHeight="1">
      <c r="A406" s="16"/>
      <c r="B406" s="20"/>
      <c r="G406" s="42"/>
      <c r="L406" s="20"/>
      <c r="M406" s="484"/>
      <c r="O406" s="20"/>
      <c r="T406" s="64"/>
    </row>
    <row r="407" spans="1:20" ht="15.75" customHeight="1">
      <c r="A407" s="16"/>
      <c r="B407" s="20"/>
      <c r="G407" s="42"/>
      <c r="L407" s="20"/>
      <c r="M407" s="484"/>
      <c r="O407" s="20"/>
      <c r="T407" s="64"/>
    </row>
    <row r="408" spans="1:20" ht="15.75" customHeight="1">
      <c r="A408" s="16"/>
      <c r="B408" s="20"/>
      <c r="G408" s="42"/>
      <c r="L408" s="20"/>
      <c r="M408" s="484"/>
      <c r="O408" s="20"/>
      <c r="T408" s="64"/>
    </row>
    <row r="409" spans="1:20" ht="15.75" customHeight="1">
      <c r="A409" s="16"/>
      <c r="B409" s="20"/>
      <c r="G409" s="42"/>
      <c r="L409" s="20"/>
      <c r="M409" s="484"/>
      <c r="O409" s="20"/>
      <c r="T409" s="64"/>
    </row>
    <row r="410" spans="1:20" ht="15.75" customHeight="1">
      <c r="A410" s="16"/>
      <c r="B410" s="20"/>
      <c r="G410" s="42"/>
      <c r="L410" s="20"/>
      <c r="M410" s="484"/>
      <c r="O410" s="20"/>
      <c r="T410" s="64"/>
    </row>
    <row r="411" spans="1:20" ht="15.75" customHeight="1">
      <c r="A411" s="16"/>
      <c r="B411" s="20"/>
      <c r="G411" s="42"/>
      <c r="L411" s="20"/>
      <c r="M411" s="484"/>
      <c r="O411" s="20"/>
      <c r="T411" s="64"/>
    </row>
    <row r="412" spans="1:20" ht="15.75" customHeight="1">
      <c r="A412" s="16"/>
      <c r="B412" s="20"/>
      <c r="G412" s="42"/>
      <c r="L412" s="20"/>
      <c r="M412" s="484"/>
      <c r="O412" s="20"/>
      <c r="T412" s="64"/>
    </row>
    <row r="413" spans="1:20" ht="15.75" customHeight="1">
      <c r="A413" s="16"/>
      <c r="B413" s="20"/>
      <c r="G413" s="42"/>
      <c r="L413" s="20"/>
      <c r="M413" s="484"/>
      <c r="O413" s="20"/>
      <c r="T413" s="64"/>
    </row>
    <row r="414" spans="1:20" ht="15.75" customHeight="1">
      <c r="A414" s="16"/>
      <c r="B414" s="20"/>
      <c r="G414" s="42"/>
      <c r="L414" s="20"/>
      <c r="M414" s="484"/>
      <c r="O414" s="20"/>
      <c r="T414" s="64"/>
    </row>
    <row r="415" spans="1:20" ht="15.75" customHeight="1">
      <c r="A415" s="16"/>
      <c r="B415" s="20"/>
      <c r="G415" s="42"/>
      <c r="L415" s="20"/>
      <c r="M415" s="484"/>
      <c r="O415" s="20"/>
      <c r="T415" s="64"/>
    </row>
    <row r="416" spans="1:20" ht="15.75" customHeight="1">
      <c r="A416" s="16"/>
      <c r="B416" s="20"/>
      <c r="G416" s="42"/>
      <c r="L416" s="20"/>
      <c r="M416" s="484"/>
      <c r="O416" s="20"/>
      <c r="T416" s="64"/>
    </row>
    <row r="417" spans="1:20" ht="15.75" customHeight="1">
      <c r="A417" s="16"/>
      <c r="B417" s="20"/>
      <c r="G417" s="42"/>
      <c r="L417" s="20"/>
      <c r="M417" s="484"/>
      <c r="O417" s="20"/>
      <c r="T417" s="64"/>
    </row>
    <row r="418" spans="1:20" ht="15.75" customHeight="1">
      <c r="A418" s="16"/>
      <c r="B418" s="20"/>
      <c r="G418" s="42"/>
      <c r="L418" s="20"/>
      <c r="M418" s="484"/>
      <c r="O418" s="20"/>
      <c r="T418" s="64"/>
    </row>
    <row r="419" spans="1:20" ht="15.75" customHeight="1">
      <c r="A419" s="16"/>
      <c r="B419" s="20"/>
      <c r="G419" s="42"/>
      <c r="L419" s="20"/>
      <c r="M419" s="484"/>
      <c r="O419" s="20"/>
      <c r="T419" s="64"/>
    </row>
    <row r="420" spans="1:20" ht="15.75" customHeight="1">
      <c r="A420" s="16"/>
      <c r="B420" s="20"/>
      <c r="G420" s="42"/>
      <c r="L420" s="20"/>
      <c r="M420" s="484"/>
      <c r="O420" s="20"/>
      <c r="T420" s="64"/>
    </row>
    <row r="421" spans="1:20" ht="15.75" customHeight="1">
      <c r="A421" s="16"/>
      <c r="B421" s="20"/>
      <c r="G421" s="42"/>
      <c r="L421" s="20"/>
      <c r="M421" s="484"/>
      <c r="O421" s="20"/>
      <c r="T421" s="64"/>
    </row>
    <row r="422" spans="1:20" ht="15.75" customHeight="1">
      <c r="A422" s="16"/>
      <c r="B422" s="20"/>
      <c r="G422" s="42"/>
      <c r="L422" s="20"/>
      <c r="M422" s="484"/>
      <c r="O422" s="20"/>
      <c r="T422" s="64"/>
    </row>
    <row r="423" spans="1:20" ht="15.75" customHeight="1">
      <c r="A423" s="16"/>
      <c r="B423" s="20"/>
      <c r="G423" s="42"/>
      <c r="L423" s="20"/>
      <c r="M423" s="484"/>
      <c r="O423" s="20"/>
      <c r="T423" s="64"/>
    </row>
    <row r="424" spans="1:20" ht="15.75" customHeight="1">
      <c r="A424" s="16"/>
      <c r="B424" s="20"/>
      <c r="G424" s="42"/>
      <c r="L424" s="20"/>
      <c r="M424" s="484"/>
      <c r="O424" s="20"/>
      <c r="T424" s="64"/>
    </row>
    <row r="425" spans="1:20" ht="15.75" customHeight="1">
      <c r="A425" s="16"/>
      <c r="B425" s="20"/>
      <c r="G425" s="42"/>
      <c r="L425" s="20"/>
      <c r="M425" s="484"/>
      <c r="O425" s="20"/>
      <c r="T425" s="64"/>
    </row>
    <row r="426" spans="1:20" ht="15.75" customHeight="1">
      <c r="A426" s="16"/>
      <c r="B426" s="20"/>
      <c r="G426" s="42"/>
      <c r="L426" s="20"/>
      <c r="M426" s="484"/>
      <c r="O426" s="20"/>
      <c r="T426" s="64"/>
    </row>
    <row r="427" spans="1:20" ht="15.75" customHeight="1">
      <c r="A427" s="16"/>
      <c r="B427" s="20"/>
      <c r="G427" s="42"/>
      <c r="L427" s="20"/>
      <c r="M427" s="484"/>
      <c r="O427" s="20"/>
      <c r="T427" s="64"/>
    </row>
    <row r="428" spans="1:20" ht="15.75" customHeight="1">
      <c r="A428" s="16"/>
      <c r="B428" s="20"/>
      <c r="G428" s="42"/>
      <c r="L428" s="20"/>
      <c r="M428" s="484"/>
      <c r="O428" s="20"/>
      <c r="T428" s="64"/>
    </row>
    <row r="429" spans="1:20" ht="15.75" customHeight="1">
      <c r="A429" s="16"/>
      <c r="B429" s="20"/>
      <c r="G429" s="42"/>
      <c r="L429" s="20"/>
      <c r="M429" s="484"/>
      <c r="O429" s="20"/>
      <c r="T429" s="64"/>
    </row>
    <row r="430" spans="1:20" ht="15.75" customHeight="1">
      <c r="A430" s="16"/>
      <c r="B430" s="20"/>
      <c r="G430" s="42"/>
      <c r="L430" s="20"/>
      <c r="M430" s="484"/>
      <c r="O430" s="20"/>
      <c r="T430" s="64"/>
    </row>
    <row r="431" spans="1:20" ht="15.75" customHeight="1">
      <c r="A431" s="16"/>
      <c r="B431" s="20"/>
      <c r="G431" s="42"/>
      <c r="L431" s="20"/>
      <c r="M431" s="484"/>
      <c r="O431" s="20"/>
      <c r="T431" s="64"/>
    </row>
    <row r="432" spans="1:20" ht="15.75" customHeight="1">
      <c r="A432" s="16"/>
      <c r="B432" s="20"/>
      <c r="G432" s="42"/>
      <c r="L432" s="20"/>
      <c r="M432" s="484"/>
      <c r="O432" s="20"/>
      <c r="T432" s="64"/>
    </row>
    <row r="433" spans="1:20" ht="15.75" customHeight="1">
      <c r="A433" s="16"/>
      <c r="B433" s="20"/>
      <c r="G433" s="42"/>
      <c r="L433" s="20"/>
      <c r="M433" s="484"/>
      <c r="O433" s="20"/>
      <c r="T433" s="64"/>
    </row>
    <row r="434" spans="1:20" ht="15.75" customHeight="1">
      <c r="A434" s="16"/>
      <c r="B434" s="20"/>
      <c r="G434" s="42"/>
      <c r="L434" s="20"/>
      <c r="M434" s="484"/>
      <c r="O434" s="20"/>
      <c r="T434" s="64"/>
    </row>
    <row r="435" spans="1:20" ht="15.75" customHeight="1">
      <c r="A435" s="16"/>
      <c r="B435" s="20"/>
      <c r="G435" s="42"/>
      <c r="L435" s="20"/>
      <c r="M435" s="484"/>
      <c r="O435" s="20"/>
      <c r="T435" s="64"/>
    </row>
    <row r="436" spans="1:20" ht="15.75" customHeight="1">
      <c r="A436" s="16"/>
      <c r="B436" s="20"/>
      <c r="G436" s="42"/>
      <c r="L436" s="20"/>
      <c r="M436" s="484"/>
      <c r="O436" s="20"/>
      <c r="T436" s="64"/>
    </row>
    <row r="437" spans="1:20" ht="15.75" customHeight="1">
      <c r="A437" s="16"/>
      <c r="B437" s="20"/>
      <c r="G437" s="42"/>
      <c r="L437" s="20"/>
      <c r="M437" s="484"/>
      <c r="O437" s="20"/>
      <c r="T437" s="64"/>
    </row>
    <row r="438" spans="1:20" ht="15.75" customHeight="1">
      <c r="A438" s="16"/>
      <c r="B438" s="20"/>
      <c r="G438" s="42"/>
      <c r="L438" s="20"/>
      <c r="M438" s="484"/>
      <c r="O438" s="20"/>
      <c r="T438" s="64"/>
    </row>
    <row r="439" spans="1:20" ht="15.75" customHeight="1">
      <c r="A439" s="16"/>
      <c r="B439" s="20"/>
      <c r="G439" s="42"/>
      <c r="L439" s="20"/>
      <c r="M439" s="484"/>
      <c r="O439" s="20"/>
      <c r="T439" s="64"/>
    </row>
    <row r="440" spans="1:20" ht="15.75" customHeight="1">
      <c r="A440" s="16"/>
      <c r="B440" s="20"/>
      <c r="G440" s="42"/>
      <c r="L440" s="20"/>
      <c r="M440" s="484"/>
      <c r="O440" s="20"/>
      <c r="T440" s="64"/>
    </row>
    <row r="441" spans="1:20" ht="15.75" customHeight="1">
      <c r="A441" s="16"/>
      <c r="B441" s="20"/>
      <c r="G441" s="42"/>
      <c r="L441" s="20"/>
      <c r="M441" s="484"/>
      <c r="O441" s="20"/>
      <c r="T441" s="64"/>
    </row>
    <row r="442" spans="1:20" ht="15.75" customHeight="1">
      <c r="A442" s="16"/>
      <c r="B442" s="20"/>
      <c r="G442" s="42"/>
      <c r="L442" s="20"/>
      <c r="M442" s="484"/>
      <c r="O442" s="20"/>
      <c r="T442" s="64"/>
    </row>
    <row r="443" spans="1:20" ht="15.75" customHeight="1">
      <c r="A443" s="16"/>
      <c r="B443" s="20"/>
      <c r="G443" s="42"/>
      <c r="L443" s="20"/>
      <c r="M443" s="484"/>
      <c r="O443" s="20"/>
      <c r="T443" s="64"/>
    </row>
    <row r="444" spans="1:20" ht="15.75" customHeight="1">
      <c r="A444" s="16"/>
      <c r="B444" s="20"/>
      <c r="G444" s="42"/>
      <c r="L444" s="20"/>
      <c r="M444" s="484"/>
      <c r="O444" s="20"/>
      <c r="T444" s="64"/>
    </row>
    <row r="445" spans="1:20" ht="15.75" customHeight="1">
      <c r="A445" s="16"/>
      <c r="B445" s="20"/>
      <c r="G445" s="42"/>
      <c r="L445" s="20"/>
      <c r="M445" s="484"/>
      <c r="O445" s="20"/>
      <c r="T445" s="64"/>
    </row>
    <row r="446" spans="1:20" ht="15.75" customHeight="1">
      <c r="A446" s="16"/>
      <c r="B446" s="20"/>
      <c r="G446" s="42"/>
      <c r="L446" s="20"/>
      <c r="M446" s="484"/>
      <c r="O446" s="20"/>
      <c r="T446" s="64"/>
    </row>
    <row r="447" spans="1:20" ht="15.75" customHeight="1">
      <c r="A447" s="16"/>
      <c r="B447" s="20"/>
      <c r="G447" s="42"/>
      <c r="L447" s="20"/>
      <c r="M447" s="484"/>
      <c r="O447" s="20"/>
      <c r="T447" s="64"/>
    </row>
    <row r="448" spans="1:20" ht="15.75" customHeight="1">
      <c r="A448" s="16"/>
      <c r="B448" s="20"/>
      <c r="G448" s="42"/>
      <c r="L448" s="20"/>
      <c r="M448" s="484"/>
      <c r="O448" s="20"/>
      <c r="T448" s="64"/>
    </row>
    <row r="449" spans="1:20" ht="15.75" customHeight="1">
      <c r="A449" s="16"/>
      <c r="B449" s="20"/>
      <c r="G449" s="42"/>
      <c r="L449" s="20"/>
      <c r="M449" s="484"/>
      <c r="O449" s="20"/>
      <c r="T449" s="64"/>
    </row>
    <row r="450" spans="1:20" ht="15.75" customHeight="1">
      <c r="A450" s="16"/>
      <c r="B450" s="20"/>
      <c r="G450" s="42"/>
      <c r="L450" s="20"/>
      <c r="M450" s="484"/>
      <c r="O450" s="20"/>
      <c r="T450" s="64"/>
    </row>
    <row r="451" spans="1:20" ht="15.75" customHeight="1">
      <c r="A451" s="16"/>
      <c r="B451" s="20"/>
      <c r="G451" s="42"/>
      <c r="L451" s="20"/>
      <c r="M451" s="484"/>
      <c r="O451" s="20"/>
      <c r="T451" s="64"/>
    </row>
    <row r="452" spans="1:20" ht="15.75" customHeight="1">
      <c r="A452" s="16"/>
      <c r="B452" s="20"/>
      <c r="G452" s="42"/>
      <c r="L452" s="20"/>
      <c r="M452" s="484"/>
      <c r="O452" s="20"/>
      <c r="T452" s="64"/>
    </row>
    <row r="453" spans="1:20" ht="15.75" customHeight="1">
      <c r="A453" s="16"/>
      <c r="B453" s="20"/>
      <c r="G453" s="42"/>
      <c r="L453" s="20"/>
      <c r="M453" s="484"/>
      <c r="O453" s="20"/>
      <c r="T453" s="64"/>
    </row>
    <row r="454" spans="1:20" ht="15.75" customHeight="1">
      <c r="A454" s="16"/>
      <c r="B454" s="20"/>
      <c r="G454" s="42"/>
      <c r="L454" s="20"/>
      <c r="M454" s="484"/>
      <c r="O454" s="20"/>
      <c r="T454" s="64"/>
    </row>
    <row r="455" spans="1:20" ht="15.75" customHeight="1">
      <c r="A455" s="16"/>
      <c r="B455" s="20"/>
      <c r="G455" s="42"/>
      <c r="L455" s="20"/>
      <c r="M455" s="484"/>
      <c r="O455" s="20"/>
      <c r="T455" s="64"/>
    </row>
    <row r="456" spans="1:20" ht="15.75" customHeight="1">
      <c r="A456" s="16"/>
      <c r="B456" s="20"/>
      <c r="G456" s="42"/>
      <c r="L456" s="20"/>
      <c r="M456" s="484"/>
      <c r="O456" s="20"/>
      <c r="T456" s="64"/>
    </row>
    <row r="457" spans="1:20" ht="15.75" customHeight="1">
      <c r="A457" s="16"/>
      <c r="B457" s="20"/>
      <c r="G457" s="42"/>
      <c r="L457" s="20"/>
      <c r="M457" s="484"/>
      <c r="O457" s="20"/>
      <c r="T457" s="64"/>
    </row>
    <row r="458" spans="1:20" ht="15.75" customHeight="1">
      <c r="A458" s="16"/>
      <c r="B458" s="20"/>
      <c r="G458" s="42"/>
      <c r="L458" s="20"/>
      <c r="M458" s="484"/>
      <c r="O458" s="20"/>
      <c r="T458" s="64"/>
    </row>
    <row r="459" spans="1:20" ht="15.75" customHeight="1">
      <c r="A459" s="16"/>
      <c r="B459" s="20"/>
      <c r="G459" s="42"/>
      <c r="L459" s="20"/>
      <c r="M459" s="484"/>
      <c r="O459" s="20"/>
      <c r="T459" s="64"/>
    </row>
    <row r="460" spans="1:20" ht="15.75" customHeight="1">
      <c r="A460" s="16"/>
      <c r="B460" s="20"/>
      <c r="G460" s="42"/>
      <c r="L460" s="20"/>
      <c r="M460" s="484"/>
      <c r="O460" s="20"/>
      <c r="T460" s="64"/>
    </row>
    <row r="461" spans="1:20" ht="15.75" customHeight="1">
      <c r="A461" s="16"/>
      <c r="B461" s="20"/>
      <c r="G461" s="42"/>
      <c r="L461" s="20"/>
      <c r="M461" s="484"/>
      <c r="O461" s="20"/>
      <c r="T461" s="64"/>
    </row>
    <row r="462" spans="1:20" ht="15.75" customHeight="1">
      <c r="A462" s="16"/>
      <c r="B462" s="20"/>
      <c r="G462" s="42"/>
      <c r="L462" s="20"/>
      <c r="M462" s="484"/>
      <c r="O462" s="20"/>
      <c r="T462" s="64"/>
    </row>
    <row r="463" spans="1:20" ht="15.75" customHeight="1">
      <c r="A463" s="16"/>
      <c r="B463" s="20"/>
      <c r="G463" s="42"/>
      <c r="L463" s="20"/>
      <c r="M463" s="484"/>
      <c r="O463" s="20"/>
      <c r="T463" s="64"/>
    </row>
    <row r="464" spans="1:20" ht="15.75" customHeight="1">
      <c r="A464" s="16"/>
      <c r="B464" s="20"/>
      <c r="G464" s="42"/>
      <c r="L464" s="20"/>
      <c r="M464" s="484"/>
      <c r="O464" s="20"/>
      <c r="T464" s="64"/>
    </row>
    <row r="465" spans="1:20" ht="15.75" customHeight="1">
      <c r="A465" s="16"/>
      <c r="B465" s="20"/>
      <c r="G465" s="42"/>
      <c r="L465" s="20"/>
      <c r="M465" s="484"/>
      <c r="O465" s="20"/>
      <c r="T465" s="64"/>
    </row>
    <row r="466" spans="1:20" ht="15.75" customHeight="1">
      <c r="A466" s="16"/>
      <c r="B466" s="20"/>
      <c r="G466" s="42"/>
      <c r="L466" s="20"/>
      <c r="M466" s="484"/>
      <c r="O466" s="20"/>
      <c r="T466" s="64"/>
    </row>
    <row r="467" spans="1:20" ht="15.75" customHeight="1">
      <c r="A467" s="16"/>
      <c r="B467" s="20"/>
      <c r="G467" s="42"/>
      <c r="L467" s="20"/>
      <c r="M467" s="484"/>
      <c r="O467" s="20"/>
      <c r="T467" s="64"/>
    </row>
    <row r="468" spans="1:20" ht="15.75" customHeight="1">
      <c r="A468" s="16"/>
      <c r="B468" s="20"/>
      <c r="G468" s="42"/>
      <c r="L468" s="20"/>
      <c r="M468" s="484"/>
      <c r="O468" s="20"/>
      <c r="T468" s="64"/>
    </row>
    <row r="469" spans="1:20" ht="15.75" customHeight="1">
      <c r="A469" s="16"/>
      <c r="B469" s="20"/>
      <c r="G469" s="42"/>
      <c r="L469" s="20"/>
      <c r="M469" s="484"/>
      <c r="O469" s="20"/>
      <c r="T469" s="64"/>
    </row>
    <row r="470" spans="1:20" ht="15.75" customHeight="1">
      <c r="A470" s="16"/>
      <c r="B470" s="20"/>
      <c r="G470" s="42"/>
      <c r="L470" s="20"/>
      <c r="M470" s="484"/>
      <c r="O470" s="20"/>
      <c r="T470" s="64"/>
    </row>
    <row r="471" spans="1:20" ht="15.75" customHeight="1">
      <c r="A471" s="16"/>
      <c r="B471" s="20"/>
      <c r="G471" s="42"/>
      <c r="L471" s="20"/>
      <c r="M471" s="484"/>
      <c r="O471" s="20"/>
      <c r="T471" s="64"/>
    </row>
    <row r="472" spans="1:20" ht="15.75" customHeight="1">
      <c r="A472" s="16"/>
      <c r="B472" s="20"/>
      <c r="G472" s="42"/>
      <c r="L472" s="20"/>
      <c r="M472" s="484"/>
      <c r="O472" s="20"/>
      <c r="T472" s="64"/>
    </row>
    <row r="473" spans="1:20" ht="15.75" customHeight="1">
      <c r="A473" s="16"/>
      <c r="B473" s="20"/>
      <c r="G473" s="42"/>
      <c r="L473" s="20"/>
      <c r="M473" s="484"/>
      <c r="O473" s="20"/>
      <c r="T473" s="64"/>
    </row>
    <row r="474" spans="1:20" ht="15.75" customHeight="1">
      <c r="A474" s="16"/>
      <c r="B474" s="20"/>
      <c r="G474" s="42"/>
      <c r="L474" s="20"/>
      <c r="M474" s="484"/>
      <c r="O474" s="20"/>
      <c r="T474" s="64"/>
    </row>
    <row r="475" spans="1:20" ht="15.75" customHeight="1">
      <c r="A475" s="16"/>
      <c r="B475" s="20"/>
      <c r="G475" s="42"/>
      <c r="L475" s="20"/>
      <c r="M475" s="484"/>
      <c r="O475" s="20"/>
      <c r="T475" s="64"/>
    </row>
    <row r="476" spans="1:20" ht="15.75" customHeight="1">
      <c r="A476" s="16"/>
      <c r="B476" s="20"/>
      <c r="G476" s="42"/>
      <c r="L476" s="20"/>
      <c r="M476" s="484"/>
      <c r="O476" s="20"/>
      <c r="T476" s="64"/>
    </row>
    <row r="477" spans="1:20" ht="15.75" customHeight="1">
      <c r="A477" s="16"/>
      <c r="B477" s="20"/>
      <c r="G477" s="42"/>
      <c r="L477" s="20"/>
      <c r="M477" s="484"/>
      <c r="O477" s="20"/>
      <c r="T477" s="64"/>
    </row>
    <row r="478" spans="1:20" ht="15.75" customHeight="1">
      <c r="A478" s="16"/>
      <c r="B478" s="20"/>
      <c r="G478" s="42"/>
      <c r="L478" s="20"/>
      <c r="M478" s="484"/>
      <c r="O478" s="20"/>
      <c r="T478" s="64"/>
    </row>
    <row r="479" spans="1:20" ht="15.75" customHeight="1">
      <c r="A479" s="16"/>
      <c r="B479" s="20"/>
      <c r="G479" s="42"/>
      <c r="L479" s="20"/>
      <c r="M479" s="484"/>
      <c r="O479" s="20"/>
      <c r="T479" s="64"/>
    </row>
    <row r="480" spans="1:20" ht="15.75" customHeight="1">
      <c r="A480" s="16"/>
      <c r="B480" s="20"/>
      <c r="G480" s="42"/>
      <c r="L480" s="20"/>
      <c r="M480" s="484"/>
      <c r="O480" s="20"/>
      <c r="T480" s="64"/>
    </row>
    <row r="481" spans="1:20" ht="15.75" customHeight="1">
      <c r="A481" s="16"/>
      <c r="B481" s="20"/>
      <c r="G481" s="42"/>
      <c r="L481" s="20"/>
      <c r="M481" s="484"/>
      <c r="O481" s="20"/>
      <c r="T481" s="64"/>
    </row>
    <row r="482" spans="1:20" ht="15.75" customHeight="1">
      <c r="A482" s="16"/>
      <c r="B482" s="20"/>
      <c r="G482" s="42"/>
      <c r="L482" s="20"/>
      <c r="M482" s="484"/>
      <c r="O482" s="20"/>
      <c r="T482" s="64"/>
    </row>
    <row r="483" spans="1:20" ht="15.75" customHeight="1">
      <c r="A483" s="16"/>
      <c r="B483" s="20"/>
      <c r="G483" s="42"/>
      <c r="L483" s="20"/>
      <c r="M483" s="484"/>
      <c r="O483" s="20"/>
      <c r="T483" s="64"/>
    </row>
    <row r="484" spans="1:20" ht="15.75" customHeight="1">
      <c r="A484" s="16"/>
      <c r="B484" s="20"/>
      <c r="G484" s="42"/>
      <c r="J484" s="1"/>
      <c r="L484" s="20"/>
      <c r="M484" s="484"/>
      <c r="O484" s="20"/>
      <c r="T484" s="64"/>
    </row>
    <row r="485" spans="1:20" ht="15.75" customHeight="1">
      <c r="G485" s="20"/>
      <c r="M485" s="484"/>
      <c r="O485" s="20"/>
      <c r="T485" s="64"/>
    </row>
    <row r="486" spans="1:20" ht="15.75" customHeight="1">
      <c r="G486" s="20"/>
      <c r="M486" s="484"/>
      <c r="O486" s="20"/>
      <c r="T486" s="64"/>
    </row>
    <row r="487" spans="1:20" ht="15.75" customHeight="1">
      <c r="G487" s="20"/>
      <c r="M487" s="484"/>
      <c r="O487" s="20"/>
      <c r="T487" s="64"/>
    </row>
    <row r="488" spans="1:20" ht="15.75" customHeight="1">
      <c r="G488" s="20"/>
      <c r="M488" s="484"/>
      <c r="O488" s="20"/>
      <c r="T488" s="64"/>
    </row>
    <row r="489" spans="1:20" ht="15.75" customHeight="1">
      <c r="G489" s="20"/>
      <c r="M489" s="484"/>
      <c r="O489" s="20"/>
      <c r="T489" s="64"/>
    </row>
    <row r="490" spans="1:20" ht="15.75" customHeight="1">
      <c r="G490" s="20"/>
      <c r="M490" s="484"/>
      <c r="O490" s="20"/>
      <c r="T490" s="64"/>
    </row>
    <row r="491" spans="1:20" ht="15.75" customHeight="1">
      <c r="G491" s="20"/>
      <c r="M491" s="484"/>
      <c r="O491" s="20"/>
      <c r="T491" s="64"/>
    </row>
    <row r="492" spans="1:20" ht="15.75" customHeight="1">
      <c r="G492" s="20"/>
      <c r="M492" s="484"/>
      <c r="O492" s="20"/>
      <c r="T492" s="64"/>
    </row>
    <row r="493" spans="1:20" ht="15.75" customHeight="1">
      <c r="G493" s="20"/>
      <c r="M493" s="484"/>
      <c r="O493" s="20"/>
      <c r="T493" s="64"/>
    </row>
    <row r="494" spans="1:20" ht="15.75" customHeight="1">
      <c r="G494" s="20"/>
      <c r="M494" s="484"/>
      <c r="O494" s="20"/>
      <c r="T494" s="64"/>
    </row>
    <row r="495" spans="1:20" ht="15.75" customHeight="1">
      <c r="G495" s="20"/>
      <c r="M495" s="484"/>
      <c r="O495" s="20"/>
      <c r="T495" s="64"/>
    </row>
    <row r="496" spans="1:20" ht="15.75" customHeight="1">
      <c r="G496" s="20"/>
      <c r="M496" s="484"/>
      <c r="O496" s="20"/>
      <c r="T496" s="64"/>
    </row>
    <row r="497" spans="7:20" ht="15.75" customHeight="1">
      <c r="G497" s="20"/>
      <c r="M497" s="484"/>
      <c r="O497" s="20"/>
      <c r="T497" s="64"/>
    </row>
    <row r="498" spans="7:20" ht="15.75" customHeight="1">
      <c r="G498" s="20"/>
      <c r="M498" s="484"/>
      <c r="O498" s="20"/>
      <c r="T498" s="64"/>
    </row>
    <row r="499" spans="7:20" ht="15.75" customHeight="1">
      <c r="G499" s="20"/>
      <c r="M499" s="484"/>
      <c r="O499" s="20"/>
      <c r="T499" s="64"/>
    </row>
    <row r="500" spans="7:20" ht="15.75" customHeight="1">
      <c r="G500" s="20"/>
      <c r="M500" s="484"/>
      <c r="O500" s="20"/>
      <c r="T500" s="64"/>
    </row>
    <row r="501" spans="7:20" ht="15.75" customHeight="1">
      <c r="G501" s="20"/>
      <c r="M501" s="484"/>
      <c r="O501" s="20"/>
      <c r="T501" s="64"/>
    </row>
    <row r="502" spans="7:20" ht="15.75" customHeight="1">
      <c r="G502" s="20"/>
      <c r="M502" s="484"/>
      <c r="O502" s="20"/>
      <c r="T502" s="64"/>
    </row>
    <row r="503" spans="7:20" ht="15.75" customHeight="1">
      <c r="G503" s="20"/>
      <c r="M503" s="484"/>
      <c r="O503" s="20"/>
      <c r="T503" s="64"/>
    </row>
    <row r="504" spans="7:20" ht="15.75" customHeight="1">
      <c r="G504" s="20"/>
      <c r="M504" s="484"/>
      <c r="O504" s="20"/>
      <c r="T504" s="64"/>
    </row>
    <row r="505" spans="7:20" ht="15.75" customHeight="1">
      <c r="G505" s="20"/>
      <c r="M505" s="484"/>
      <c r="O505" s="20"/>
      <c r="T505" s="64"/>
    </row>
    <row r="506" spans="7:20" ht="15.75" customHeight="1">
      <c r="G506" s="20"/>
      <c r="M506" s="484"/>
      <c r="O506" s="20"/>
      <c r="T506" s="64"/>
    </row>
    <row r="507" spans="7:20" ht="15.75" customHeight="1">
      <c r="G507" s="20"/>
      <c r="M507" s="484"/>
      <c r="O507" s="20"/>
      <c r="T507" s="64"/>
    </row>
    <row r="508" spans="7:20" ht="15.75" customHeight="1">
      <c r="G508" s="20"/>
      <c r="M508" s="484"/>
      <c r="O508" s="20"/>
      <c r="T508" s="64"/>
    </row>
    <row r="509" spans="7:20" ht="15.75" customHeight="1">
      <c r="G509" s="20"/>
      <c r="M509" s="484"/>
      <c r="O509" s="20"/>
      <c r="T509" s="64"/>
    </row>
    <row r="510" spans="7:20" ht="15.75" customHeight="1">
      <c r="G510" s="20"/>
      <c r="M510" s="484"/>
      <c r="O510" s="20"/>
      <c r="T510" s="64"/>
    </row>
    <row r="511" spans="7:20" ht="15.75" customHeight="1">
      <c r="G511" s="20"/>
      <c r="M511" s="484"/>
      <c r="O511" s="20"/>
      <c r="T511" s="64"/>
    </row>
    <row r="512" spans="7:20" ht="15.75" customHeight="1">
      <c r="G512" s="20"/>
      <c r="M512" s="484"/>
      <c r="O512" s="20"/>
      <c r="T512" s="64"/>
    </row>
    <row r="513" spans="7:20" ht="15.75" customHeight="1">
      <c r="G513" s="20"/>
      <c r="M513" s="484"/>
      <c r="O513" s="20"/>
      <c r="T513" s="64"/>
    </row>
    <row r="514" spans="7:20" ht="15.75" customHeight="1">
      <c r="G514" s="20"/>
      <c r="M514" s="484"/>
      <c r="O514" s="20"/>
      <c r="T514" s="64"/>
    </row>
    <row r="515" spans="7:20" ht="15.75" customHeight="1">
      <c r="G515" s="20"/>
      <c r="M515" s="484"/>
      <c r="O515" s="20"/>
      <c r="T515" s="64"/>
    </row>
    <row r="516" spans="7:20" ht="15.75" customHeight="1">
      <c r="G516" s="20"/>
      <c r="M516" s="484"/>
      <c r="O516" s="20"/>
      <c r="T516" s="64"/>
    </row>
    <row r="517" spans="7:20" ht="15.75" customHeight="1">
      <c r="G517" s="20"/>
      <c r="M517" s="484"/>
      <c r="O517" s="20"/>
      <c r="T517" s="64"/>
    </row>
    <row r="518" spans="7:20" ht="15.75" customHeight="1">
      <c r="G518" s="20"/>
      <c r="M518" s="484"/>
      <c r="O518" s="20"/>
      <c r="T518" s="64"/>
    </row>
    <row r="519" spans="7:20" ht="15.75" customHeight="1">
      <c r="G519" s="20"/>
      <c r="M519" s="484"/>
      <c r="O519" s="20"/>
      <c r="T519" s="64"/>
    </row>
    <row r="520" spans="7:20" ht="15.75" customHeight="1">
      <c r="G520" s="20"/>
      <c r="M520" s="484"/>
      <c r="O520" s="20"/>
      <c r="T520" s="64"/>
    </row>
    <row r="521" spans="7:20" ht="15.75" customHeight="1">
      <c r="G521" s="20"/>
      <c r="M521" s="484"/>
      <c r="O521" s="20"/>
      <c r="T521" s="64"/>
    </row>
    <row r="522" spans="7:20" ht="15.75" customHeight="1">
      <c r="G522" s="20"/>
      <c r="M522" s="484"/>
      <c r="O522" s="20"/>
      <c r="T522" s="64"/>
    </row>
    <row r="523" spans="7:20" ht="15.75" customHeight="1">
      <c r="G523" s="20"/>
      <c r="M523" s="484"/>
      <c r="O523" s="20"/>
      <c r="T523" s="64"/>
    </row>
    <row r="524" spans="7:20" ht="15.75" customHeight="1">
      <c r="G524" s="20"/>
      <c r="M524" s="484"/>
      <c r="O524" s="20"/>
      <c r="T524" s="64"/>
    </row>
    <row r="525" spans="7:20" ht="15.75" customHeight="1">
      <c r="G525" s="20"/>
      <c r="M525" s="484"/>
      <c r="O525" s="20"/>
      <c r="T525" s="64"/>
    </row>
    <row r="526" spans="7:20" ht="15.75" customHeight="1">
      <c r="G526" s="20"/>
      <c r="M526" s="484"/>
      <c r="O526" s="20"/>
      <c r="T526" s="64"/>
    </row>
    <row r="527" spans="7:20" ht="15.75" customHeight="1">
      <c r="G527" s="20"/>
      <c r="M527" s="484"/>
      <c r="O527" s="20"/>
      <c r="T527" s="64"/>
    </row>
    <row r="528" spans="7:20" ht="15.75" customHeight="1">
      <c r="G528" s="20"/>
      <c r="M528" s="484"/>
      <c r="O528" s="20"/>
      <c r="T528" s="64"/>
    </row>
    <row r="529" spans="7:20" ht="15.75" customHeight="1">
      <c r="G529" s="20"/>
      <c r="M529" s="484"/>
      <c r="O529" s="20"/>
      <c r="T529" s="64"/>
    </row>
    <row r="530" spans="7:20" ht="15.75" customHeight="1">
      <c r="G530" s="20"/>
      <c r="M530" s="484"/>
      <c r="O530" s="20"/>
      <c r="T530" s="64"/>
    </row>
    <row r="531" spans="7:20" ht="15.75" customHeight="1">
      <c r="G531" s="20"/>
      <c r="M531" s="484"/>
      <c r="O531" s="20"/>
      <c r="T531" s="64"/>
    </row>
    <row r="532" spans="7:20" ht="15.75" customHeight="1">
      <c r="G532" s="20"/>
      <c r="M532" s="484"/>
      <c r="O532" s="20"/>
      <c r="T532" s="64"/>
    </row>
    <row r="533" spans="7:20" ht="15.75" customHeight="1">
      <c r="G533" s="20"/>
      <c r="M533" s="484"/>
      <c r="O533" s="20"/>
      <c r="T533" s="64"/>
    </row>
    <row r="534" spans="7:20" ht="15.75" customHeight="1">
      <c r="G534" s="20"/>
      <c r="M534" s="484"/>
      <c r="O534" s="20"/>
      <c r="T534" s="64"/>
    </row>
    <row r="535" spans="7:20" ht="15.75" customHeight="1">
      <c r="G535" s="20"/>
      <c r="M535" s="484"/>
      <c r="O535" s="20"/>
      <c r="T535" s="64"/>
    </row>
    <row r="536" spans="7:20" ht="15.75" customHeight="1">
      <c r="G536" s="20"/>
      <c r="M536" s="484"/>
      <c r="O536" s="20"/>
      <c r="T536" s="64"/>
    </row>
    <row r="537" spans="7:20" ht="15.75" customHeight="1">
      <c r="G537" s="20"/>
      <c r="M537" s="484"/>
      <c r="O537" s="20"/>
      <c r="T537" s="64"/>
    </row>
    <row r="538" spans="7:20" ht="15.75" customHeight="1">
      <c r="G538" s="20"/>
      <c r="M538" s="484"/>
      <c r="O538" s="20"/>
      <c r="T538" s="64"/>
    </row>
    <row r="539" spans="7:20" ht="15.75" customHeight="1">
      <c r="G539" s="20"/>
      <c r="M539" s="484"/>
      <c r="O539" s="20"/>
      <c r="T539" s="64"/>
    </row>
    <row r="540" spans="7:20" ht="15.75" customHeight="1">
      <c r="G540" s="20"/>
      <c r="M540" s="484"/>
      <c r="O540" s="20"/>
      <c r="T540" s="64"/>
    </row>
    <row r="541" spans="7:20" ht="15.75" customHeight="1">
      <c r="G541" s="20"/>
      <c r="M541" s="484"/>
      <c r="O541" s="20"/>
      <c r="T541" s="64"/>
    </row>
    <row r="542" spans="7:20" ht="15.75" customHeight="1">
      <c r="G542" s="20"/>
      <c r="M542" s="484"/>
      <c r="O542" s="20"/>
      <c r="T542" s="64"/>
    </row>
    <row r="543" spans="7:20" ht="15.75" customHeight="1">
      <c r="G543" s="20"/>
      <c r="M543" s="484"/>
      <c r="O543" s="20"/>
      <c r="T543" s="64"/>
    </row>
    <row r="544" spans="7:20" ht="15.75" customHeight="1">
      <c r="G544" s="20"/>
      <c r="M544" s="484"/>
      <c r="O544" s="20"/>
      <c r="T544" s="64"/>
    </row>
    <row r="545" spans="7:20" ht="15.75" customHeight="1">
      <c r="G545" s="20"/>
      <c r="M545" s="484"/>
      <c r="O545" s="20"/>
      <c r="T545" s="64"/>
    </row>
    <row r="546" spans="7:20" ht="15.75" customHeight="1">
      <c r="G546" s="20"/>
      <c r="M546" s="484"/>
      <c r="O546" s="20"/>
      <c r="T546" s="64"/>
    </row>
    <row r="547" spans="7:20" ht="15.75" customHeight="1">
      <c r="G547" s="20"/>
      <c r="M547" s="484"/>
      <c r="O547" s="20"/>
      <c r="T547" s="64"/>
    </row>
    <row r="548" spans="7:20" ht="15.75" customHeight="1">
      <c r="G548" s="20"/>
      <c r="M548" s="484"/>
      <c r="O548" s="20"/>
      <c r="T548" s="64"/>
    </row>
    <row r="549" spans="7:20" ht="15.75" customHeight="1">
      <c r="G549" s="20"/>
      <c r="M549" s="484"/>
      <c r="O549" s="20"/>
      <c r="T549" s="64"/>
    </row>
    <row r="550" spans="7:20" ht="15.75" customHeight="1">
      <c r="G550" s="20"/>
      <c r="M550" s="484"/>
      <c r="O550" s="20"/>
      <c r="T550" s="64"/>
    </row>
    <row r="551" spans="7:20" ht="15.75" customHeight="1">
      <c r="G551" s="20"/>
      <c r="M551" s="484"/>
      <c r="O551" s="20"/>
      <c r="T551" s="64"/>
    </row>
    <row r="552" spans="7:20" ht="15.75" customHeight="1">
      <c r="G552" s="20"/>
      <c r="M552" s="484"/>
      <c r="O552" s="20"/>
      <c r="T552" s="64"/>
    </row>
    <row r="553" spans="7:20" ht="15.75" customHeight="1">
      <c r="G553" s="20"/>
      <c r="M553" s="484"/>
      <c r="O553" s="20"/>
      <c r="T553" s="64"/>
    </row>
    <row r="554" spans="7:20" ht="15.75" customHeight="1">
      <c r="G554" s="20"/>
      <c r="M554" s="484"/>
      <c r="O554" s="20"/>
      <c r="T554" s="64"/>
    </row>
    <row r="555" spans="7:20" ht="15.75" customHeight="1">
      <c r="G555" s="20"/>
      <c r="M555" s="484"/>
      <c r="O555" s="20"/>
      <c r="T555" s="64"/>
    </row>
    <row r="556" spans="7:20" ht="15.75" customHeight="1">
      <c r="G556" s="20"/>
      <c r="M556" s="484"/>
      <c r="O556" s="20"/>
      <c r="T556" s="64"/>
    </row>
    <row r="557" spans="7:20" ht="15.75" customHeight="1">
      <c r="G557" s="20"/>
      <c r="M557" s="484"/>
      <c r="O557" s="20"/>
      <c r="T557" s="64"/>
    </row>
    <row r="558" spans="7:20" ht="15.75" customHeight="1">
      <c r="G558" s="20"/>
      <c r="M558" s="484"/>
      <c r="O558" s="20"/>
      <c r="T558" s="64"/>
    </row>
    <row r="559" spans="7:20" ht="15.75" customHeight="1">
      <c r="G559" s="20"/>
      <c r="M559" s="484"/>
      <c r="O559" s="20"/>
      <c r="T559" s="64"/>
    </row>
    <row r="560" spans="7:20" ht="15.75" customHeight="1">
      <c r="G560" s="20"/>
      <c r="M560" s="484"/>
      <c r="O560" s="20"/>
      <c r="T560" s="64"/>
    </row>
    <row r="561" spans="7:20" ht="15.75" customHeight="1">
      <c r="G561" s="20"/>
      <c r="M561" s="484"/>
      <c r="O561" s="20"/>
      <c r="T561" s="64"/>
    </row>
    <row r="562" spans="7:20" ht="15.75" customHeight="1">
      <c r="G562" s="20"/>
      <c r="M562" s="484"/>
      <c r="O562" s="20"/>
      <c r="T562" s="64"/>
    </row>
    <row r="563" spans="7:20" ht="15.75" customHeight="1">
      <c r="G563" s="20"/>
      <c r="M563" s="484"/>
      <c r="O563" s="20"/>
      <c r="T563" s="64"/>
    </row>
    <row r="564" spans="7:20" ht="15.75" customHeight="1">
      <c r="G564" s="20"/>
      <c r="M564" s="484"/>
      <c r="O564" s="20"/>
      <c r="T564" s="64"/>
    </row>
    <row r="565" spans="7:20" ht="15.75" customHeight="1">
      <c r="G565" s="20"/>
      <c r="M565" s="484"/>
      <c r="O565" s="20"/>
      <c r="T565" s="64"/>
    </row>
    <row r="566" spans="7:20" ht="15.75" customHeight="1">
      <c r="G566" s="20"/>
      <c r="M566" s="484"/>
      <c r="O566" s="20"/>
      <c r="T566" s="64"/>
    </row>
    <row r="567" spans="7:20" ht="15.75" customHeight="1">
      <c r="G567" s="20"/>
      <c r="M567" s="484"/>
      <c r="O567" s="20"/>
      <c r="T567" s="64"/>
    </row>
    <row r="568" spans="7:20" ht="15.75" customHeight="1">
      <c r="G568" s="20"/>
      <c r="M568" s="484"/>
      <c r="O568" s="20"/>
      <c r="T568" s="64"/>
    </row>
    <row r="569" spans="7:20" ht="15.75" customHeight="1">
      <c r="G569" s="20"/>
      <c r="M569" s="484"/>
      <c r="O569" s="20"/>
      <c r="T569" s="64"/>
    </row>
    <row r="570" spans="7:20" ht="15.75" customHeight="1">
      <c r="G570" s="20"/>
      <c r="M570" s="484"/>
      <c r="O570" s="20"/>
      <c r="T570" s="64"/>
    </row>
    <row r="571" spans="7:20" ht="15.75" customHeight="1">
      <c r="G571" s="20"/>
      <c r="M571" s="484"/>
      <c r="O571" s="20"/>
      <c r="T571" s="64"/>
    </row>
    <row r="572" spans="7:20" ht="15.75" customHeight="1">
      <c r="G572" s="20"/>
      <c r="M572" s="484"/>
      <c r="O572" s="20"/>
      <c r="T572" s="64"/>
    </row>
    <row r="573" spans="7:20" ht="15.75" customHeight="1">
      <c r="G573" s="20"/>
      <c r="M573" s="484"/>
      <c r="O573" s="20"/>
      <c r="T573" s="64"/>
    </row>
    <row r="574" spans="7:20" ht="15.75" customHeight="1">
      <c r="G574" s="20"/>
      <c r="M574" s="484"/>
      <c r="O574" s="20"/>
      <c r="T574" s="64"/>
    </row>
    <row r="575" spans="7:20" ht="15.75" customHeight="1">
      <c r="G575" s="20"/>
      <c r="M575" s="484"/>
      <c r="O575" s="20"/>
      <c r="T575" s="64"/>
    </row>
    <row r="576" spans="7:20" ht="15.75" customHeight="1">
      <c r="G576" s="20"/>
      <c r="M576" s="484"/>
      <c r="O576" s="20"/>
      <c r="T576" s="64"/>
    </row>
    <row r="577" spans="7:20" ht="15.75" customHeight="1">
      <c r="G577" s="20"/>
      <c r="M577" s="484"/>
      <c r="O577" s="20"/>
      <c r="T577" s="64"/>
    </row>
    <row r="578" spans="7:20" ht="15.75" customHeight="1">
      <c r="G578" s="20"/>
      <c r="M578" s="484"/>
      <c r="O578" s="20"/>
      <c r="T578" s="64"/>
    </row>
    <row r="579" spans="7:20" ht="15.75" customHeight="1">
      <c r="G579" s="20"/>
      <c r="M579" s="484"/>
      <c r="O579" s="20"/>
      <c r="T579" s="64"/>
    </row>
    <row r="580" spans="7:20" ht="15.75" customHeight="1">
      <c r="G580" s="20"/>
      <c r="M580" s="484"/>
      <c r="O580" s="20"/>
      <c r="T580" s="64"/>
    </row>
    <row r="581" spans="7:20" ht="15.75" customHeight="1">
      <c r="G581" s="20"/>
      <c r="M581" s="484"/>
      <c r="O581" s="20"/>
      <c r="T581" s="64"/>
    </row>
    <row r="582" spans="7:20" ht="15.75" customHeight="1">
      <c r="G582" s="20"/>
      <c r="M582" s="484"/>
      <c r="O582" s="20"/>
      <c r="T582" s="64"/>
    </row>
    <row r="583" spans="7:20" ht="15.75" customHeight="1">
      <c r="G583" s="20"/>
      <c r="M583" s="484"/>
      <c r="O583" s="20"/>
      <c r="T583" s="64"/>
    </row>
    <row r="584" spans="7:20" ht="15.75" customHeight="1">
      <c r="G584" s="20"/>
      <c r="M584" s="484"/>
      <c r="O584" s="20"/>
      <c r="T584" s="64"/>
    </row>
    <row r="585" spans="7:20" ht="15.75" customHeight="1">
      <c r="G585" s="20"/>
      <c r="M585" s="484"/>
      <c r="O585" s="20"/>
      <c r="T585" s="64"/>
    </row>
    <row r="586" spans="7:20" ht="15.75" customHeight="1">
      <c r="G586" s="20"/>
      <c r="M586" s="484"/>
      <c r="O586" s="20"/>
      <c r="T586" s="64"/>
    </row>
    <row r="587" spans="7:20" ht="15.75" customHeight="1">
      <c r="G587" s="20"/>
      <c r="M587" s="484"/>
      <c r="O587" s="20"/>
      <c r="T587" s="64"/>
    </row>
    <row r="588" spans="7:20" ht="15.75" customHeight="1">
      <c r="G588" s="20"/>
      <c r="M588" s="484"/>
      <c r="O588" s="20"/>
      <c r="T588" s="64"/>
    </row>
    <row r="589" spans="7:20" ht="15.75" customHeight="1">
      <c r="G589" s="20"/>
      <c r="M589" s="484"/>
      <c r="O589" s="20"/>
      <c r="T589" s="64"/>
    </row>
    <row r="590" spans="7:20" ht="15.75" customHeight="1">
      <c r="G590" s="20"/>
      <c r="M590" s="484"/>
      <c r="O590" s="20"/>
      <c r="T590" s="64"/>
    </row>
    <row r="591" spans="7:20" ht="15.75" customHeight="1">
      <c r="G591" s="20"/>
      <c r="M591" s="484"/>
      <c r="O591" s="20"/>
      <c r="T591" s="64"/>
    </row>
    <row r="592" spans="7:20" ht="15.75" customHeight="1">
      <c r="G592" s="20"/>
      <c r="M592" s="484"/>
      <c r="O592" s="20"/>
      <c r="T592" s="64"/>
    </row>
    <row r="593" spans="7:20" ht="15.75" customHeight="1">
      <c r="G593" s="20"/>
      <c r="M593" s="484"/>
      <c r="O593" s="20"/>
      <c r="T593" s="64"/>
    </row>
    <row r="594" spans="7:20" ht="15.75" customHeight="1">
      <c r="G594" s="20"/>
      <c r="M594" s="484"/>
      <c r="O594" s="20"/>
      <c r="T594" s="64"/>
    </row>
    <row r="595" spans="7:20" ht="15.75" customHeight="1">
      <c r="G595" s="20"/>
      <c r="M595" s="484"/>
      <c r="O595" s="20"/>
      <c r="T595" s="64"/>
    </row>
    <row r="596" spans="7:20" ht="15.75" customHeight="1">
      <c r="G596" s="20"/>
      <c r="M596" s="484"/>
      <c r="O596" s="20"/>
      <c r="T596" s="64"/>
    </row>
    <row r="597" spans="7:20" ht="15.75" customHeight="1">
      <c r="G597" s="20"/>
      <c r="M597" s="484"/>
      <c r="O597" s="20"/>
      <c r="T597" s="64"/>
    </row>
    <row r="598" spans="7:20" ht="15.75" customHeight="1">
      <c r="G598" s="20"/>
      <c r="M598" s="484"/>
      <c r="O598" s="20"/>
      <c r="T598" s="64"/>
    </row>
    <row r="599" spans="7:20" ht="15.75" customHeight="1">
      <c r="G599" s="20"/>
      <c r="M599" s="484"/>
      <c r="O599" s="20"/>
      <c r="T599" s="64"/>
    </row>
    <row r="600" spans="7:20" ht="15.75" customHeight="1">
      <c r="G600" s="20"/>
      <c r="M600" s="484"/>
      <c r="O600" s="20"/>
      <c r="T600" s="64"/>
    </row>
    <row r="601" spans="7:20" ht="15.75" customHeight="1">
      <c r="G601" s="20"/>
      <c r="M601" s="484"/>
      <c r="O601" s="20"/>
      <c r="T601" s="64"/>
    </row>
    <row r="602" spans="7:20" ht="15.75" customHeight="1">
      <c r="G602" s="20"/>
      <c r="M602" s="484"/>
      <c r="O602" s="20"/>
      <c r="T602" s="64"/>
    </row>
    <row r="603" spans="7:20" ht="15.75" customHeight="1">
      <c r="G603" s="20"/>
      <c r="M603" s="484"/>
      <c r="O603" s="20"/>
      <c r="T603" s="64"/>
    </row>
    <row r="604" spans="7:20" ht="15.75" customHeight="1">
      <c r="G604" s="20"/>
      <c r="M604" s="484"/>
      <c r="O604" s="20"/>
      <c r="T604" s="64"/>
    </row>
    <row r="605" spans="7:20" ht="15.75" customHeight="1">
      <c r="G605" s="20"/>
      <c r="M605" s="484"/>
      <c r="O605" s="20"/>
      <c r="T605" s="64"/>
    </row>
    <row r="606" spans="7:20" ht="15.75" customHeight="1">
      <c r="G606" s="20"/>
      <c r="M606" s="484"/>
      <c r="O606" s="20"/>
      <c r="T606" s="64"/>
    </row>
    <row r="607" spans="7:20" ht="15.75" customHeight="1">
      <c r="G607" s="20"/>
      <c r="M607" s="484"/>
      <c r="O607" s="20"/>
      <c r="T607" s="64"/>
    </row>
    <row r="608" spans="7:20" ht="15.75" customHeight="1">
      <c r="G608" s="20"/>
      <c r="M608" s="484"/>
      <c r="O608" s="20"/>
      <c r="T608" s="64"/>
    </row>
    <row r="609" spans="7:20" ht="15.75" customHeight="1">
      <c r="G609" s="20"/>
      <c r="M609" s="484"/>
      <c r="O609" s="20"/>
      <c r="T609" s="64"/>
    </row>
    <row r="610" spans="7:20" ht="15.75" customHeight="1">
      <c r="G610" s="20"/>
      <c r="M610" s="484"/>
      <c r="O610" s="20"/>
      <c r="T610" s="64"/>
    </row>
    <row r="611" spans="7:20" ht="15.75" customHeight="1">
      <c r="G611" s="20"/>
      <c r="M611" s="484"/>
      <c r="O611" s="20"/>
      <c r="T611" s="64"/>
    </row>
    <row r="612" spans="7:20" ht="15.75" customHeight="1">
      <c r="G612" s="20"/>
      <c r="M612" s="484"/>
      <c r="O612" s="20"/>
      <c r="T612" s="64"/>
    </row>
    <row r="613" spans="7:20" ht="15.75" customHeight="1">
      <c r="G613" s="20"/>
      <c r="M613" s="484"/>
      <c r="O613" s="20"/>
      <c r="T613" s="64"/>
    </row>
    <row r="614" spans="7:20" ht="15.75" customHeight="1">
      <c r="G614" s="20"/>
      <c r="M614" s="484"/>
      <c r="O614" s="20"/>
      <c r="T614" s="64"/>
    </row>
    <row r="615" spans="7:20" ht="15.75" customHeight="1">
      <c r="G615" s="20"/>
      <c r="M615" s="484"/>
      <c r="O615" s="20"/>
      <c r="T615" s="64"/>
    </row>
    <row r="616" spans="7:20" ht="15.75" customHeight="1">
      <c r="G616" s="20"/>
      <c r="M616" s="484"/>
      <c r="O616" s="20"/>
      <c r="T616" s="64"/>
    </row>
    <row r="617" spans="7:20" ht="15.75" customHeight="1">
      <c r="G617" s="20"/>
      <c r="M617" s="484"/>
      <c r="O617" s="20"/>
      <c r="T617" s="64"/>
    </row>
    <row r="618" spans="7:20" ht="15.75" customHeight="1">
      <c r="G618" s="20"/>
      <c r="M618" s="484"/>
      <c r="O618" s="20"/>
      <c r="T618" s="64"/>
    </row>
    <row r="619" spans="7:20" ht="15.75" customHeight="1">
      <c r="G619" s="20"/>
      <c r="M619" s="484"/>
      <c r="O619" s="20"/>
      <c r="T619" s="64"/>
    </row>
    <row r="620" spans="7:20" ht="15.75" customHeight="1">
      <c r="G620" s="20"/>
      <c r="M620" s="484"/>
      <c r="O620" s="20"/>
      <c r="T620" s="64"/>
    </row>
    <row r="621" spans="7:20" ht="15.75" customHeight="1">
      <c r="G621" s="20"/>
      <c r="M621" s="484"/>
      <c r="O621" s="20"/>
      <c r="T621" s="64"/>
    </row>
    <row r="622" spans="7:20" ht="15.75" customHeight="1">
      <c r="G622" s="20"/>
      <c r="M622" s="484"/>
      <c r="O622" s="20"/>
      <c r="T622" s="64"/>
    </row>
    <row r="623" spans="7:20" ht="15.75" customHeight="1">
      <c r="G623" s="20"/>
      <c r="M623" s="484"/>
      <c r="O623" s="20"/>
      <c r="T623" s="64"/>
    </row>
    <row r="624" spans="7:20" ht="15.75" customHeight="1">
      <c r="G624" s="20"/>
      <c r="M624" s="484"/>
      <c r="O624" s="20"/>
      <c r="T624" s="64"/>
    </row>
    <row r="625" spans="7:20" ht="15.75" customHeight="1">
      <c r="G625" s="20"/>
      <c r="M625" s="484"/>
      <c r="O625" s="20"/>
      <c r="T625" s="64"/>
    </row>
    <row r="626" spans="7:20" ht="15.75" customHeight="1">
      <c r="G626" s="20"/>
      <c r="M626" s="484"/>
      <c r="O626" s="20"/>
      <c r="T626" s="64"/>
    </row>
    <row r="627" spans="7:20" ht="15.75" customHeight="1">
      <c r="G627" s="20"/>
      <c r="M627" s="484"/>
      <c r="O627" s="20"/>
      <c r="T627" s="64"/>
    </row>
    <row r="628" spans="7:20" ht="15.75" customHeight="1">
      <c r="G628" s="20"/>
      <c r="M628" s="484"/>
      <c r="O628" s="20"/>
      <c r="T628" s="64"/>
    </row>
    <row r="629" spans="7:20" ht="15.75" customHeight="1">
      <c r="G629" s="20"/>
      <c r="M629" s="484"/>
      <c r="O629" s="20"/>
      <c r="T629" s="64"/>
    </row>
    <row r="630" spans="7:20" ht="15.75" customHeight="1">
      <c r="G630" s="20"/>
      <c r="M630" s="484"/>
      <c r="O630" s="20"/>
      <c r="T630" s="64"/>
    </row>
    <row r="631" spans="7:20" ht="15.75" customHeight="1">
      <c r="G631" s="20"/>
      <c r="M631" s="484"/>
      <c r="O631" s="20"/>
      <c r="T631" s="64"/>
    </row>
    <row r="632" spans="7:20" ht="15.75" customHeight="1">
      <c r="G632" s="20"/>
      <c r="M632" s="484"/>
      <c r="O632" s="20"/>
      <c r="T632" s="64"/>
    </row>
    <row r="633" spans="7:20" ht="15.75" customHeight="1">
      <c r="G633" s="20"/>
      <c r="M633" s="484"/>
      <c r="O633" s="20"/>
      <c r="T633" s="64"/>
    </row>
    <row r="634" spans="7:20" ht="15.75" customHeight="1">
      <c r="G634" s="20"/>
      <c r="M634" s="484"/>
      <c r="O634" s="20"/>
      <c r="T634" s="64"/>
    </row>
    <row r="635" spans="7:20" ht="15.75" customHeight="1">
      <c r="G635" s="20"/>
      <c r="M635" s="484"/>
      <c r="O635" s="20"/>
      <c r="T635" s="64"/>
    </row>
    <row r="636" spans="7:20" ht="15.75" customHeight="1">
      <c r="G636" s="20"/>
      <c r="M636" s="484"/>
      <c r="O636" s="20"/>
      <c r="T636" s="64"/>
    </row>
    <row r="637" spans="7:20" ht="15.75" customHeight="1">
      <c r="G637" s="20"/>
      <c r="M637" s="484"/>
      <c r="O637" s="20"/>
      <c r="T637" s="64"/>
    </row>
    <row r="638" spans="7:20" ht="15.75" customHeight="1">
      <c r="G638" s="20"/>
      <c r="M638" s="484"/>
      <c r="O638" s="20"/>
      <c r="T638" s="64"/>
    </row>
    <row r="639" spans="7:20" ht="15.75" customHeight="1">
      <c r="G639" s="20"/>
      <c r="M639" s="484"/>
      <c r="O639" s="20"/>
      <c r="T639" s="64"/>
    </row>
    <row r="640" spans="7:20" ht="15.75" customHeight="1">
      <c r="G640" s="20"/>
      <c r="M640" s="484"/>
      <c r="O640" s="20"/>
      <c r="T640" s="64"/>
    </row>
    <row r="641" spans="7:20" ht="15.75" customHeight="1">
      <c r="G641" s="20"/>
      <c r="M641" s="484"/>
      <c r="O641" s="20"/>
      <c r="T641" s="64"/>
    </row>
    <row r="642" spans="7:20" ht="15.75" customHeight="1">
      <c r="G642" s="20"/>
      <c r="M642" s="484"/>
      <c r="O642" s="20"/>
      <c r="T642" s="64"/>
    </row>
    <row r="643" spans="7:20" ht="15.75" customHeight="1">
      <c r="G643" s="20"/>
      <c r="M643" s="484"/>
      <c r="O643" s="20"/>
      <c r="T643" s="64"/>
    </row>
    <row r="644" spans="7:20" ht="15.75" customHeight="1">
      <c r="G644" s="20"/>
      <c r="M644" s="484"/>
      <c r="O644" s="20"/>
      <c r="T644" s="64"/>
    </row>
    <row r="645" spans="7:20" ht="15.75" customHeight="1">
      <c r="G645" s="20"/>
      <c r="M645" s="484"/>
      <c r="O645" s="20"/>
      <c r="T645" s="64"/>
    </row>
    <row r="646" spans="7:20" ht="15.75" customHeight="1">
      <c r="G646" s="20"/>
      <c r="M646" s="484"/>
      <c r="O646" s="20"/>
      <c r="T646" s="64"/>
    </row>
    <row r="647" spans="7:20" ht="15.75" customHeight="1">
      <c r="G647" s="20"/>
      <c r="M647" s="484"/>
      <c r="O647" s="20"/>
      <c r="T647" s="64"/>
    </row>
    <row r="648" spans="7:20" ht="15.75" customHeight="1">
      <c r="G648" s="20"/>
      <c r="M648" s="484"/>
      <c r="O648" s="20"/>
      <c r="T648" s="64"/>
    </row>
    <row r="649" spans="7:20" ht="15.75" customHeight="1">
      <c r="G649" s="20"/>
      <c r="M649" s="484"/>
      <c r="O649" s="20"/>
      <c r="T649" s="64"/>
    </row>
    <row r="650" spans="7:20" ht="15.75" customHeight="1">
      <c r="G650" s="20"/>
      <c r="M650" s="484"/>
      <c r="O650" s="20"/>
      <c r="T650" s="64"/>
    </row>
    <row r="651" spans="7:20" ht="15.75" customHeight="1">
      <c r="G651" s="20"/>
      <c r="M651" s="484"/>
      <c r="O651" s="20"/>
      <c r="T651" s="64"/>
    </row>
    <row r="652" spans="7:20" ht="15.75" customHeight="1">
      <c r="G652" s="20"/>
      <c r="M652" s="484"/>
      <c r="O652" s="20"/>
      <c r="T652" s="64"/>
    </row>
    <row r="653" spans="7:20" ht="15.75" customHeight="1">
      <c r="G653" s="20"/>
      <c r="M653" s="484"/>
      <c r="O653" s="20"/>
      <c r="T653" s="64"/>
    </row>
    <row r="654" spans="7:20" ht="15.75" customHeight="1">
      <c r="G654" s="20"/>
      <c r="M654" s="484"/>
      <c r="O654" s="20"/>
      <c r="T654" s="64"/>
    </row>
    <row r="655" spans="7:20" ht="15.75" customHeight="1">
      <c r="G655" s="20"/>
      <c r="M655" s="484"/>
      <c r="O655" s="20"/>
      <c r="T655" s="64"/>
    </row>
    <row r="656" spans="7:20" ht="15.75" customHeight="1">
      <c r="G656" s="20"/>
      <c r="M656" s="484"/>
      <c r="O656" s="20"/>
      <c r="T656" s="64"/>
    </row>
    <row r="657" spans="7:20" ht="15.75" customHeight="1">
      <c r="G657" s="20"/>
      <c r="M657" s="484"/>
      <c r="O657" s="20"/>
      <c r="T657" s="64"/>
    </row>
    <row r="658" spans="7:20" ht="15.75" customHeight="1">
      <c r="G658" s="20"/>
      <c r="M658" s="484"/>
      <c r="O658" s="20"/>
      <c r="T658" s="64"/>
    </row>
    <row r="659" spans="7:20" ht="15.75" customHeight="1">
      <c r="G659" s="20"/>
      <c r="M659" s="484"/>
      <c r="O659" s="20"/>
      <c r="T659" s="64"/>
    </row>
    <row r="660" spans="7:20" ht="15.75" customHeight="1">
      <c r="G660" s="20"/>
      <c r="M660" s="484"/>
      <c r="O660" s="20"/>
      <c r="T660" s="64"/>
    </row>
    <row r="661" spans="7:20" ht="15.75" customHeight="1">
      <c r="G661" s="20"/>
      <c r="M661" s="484"/>
      <c r="O661" s="20"/>
      <c r="T661" s="64"/>
    </row>
    <row r="662" spans="7:20" ht="15.75" customHeight="1">
      <c r="G662" s="20"/>
      <c r="M662" s="484"/>
      <c r="O662" s="20"/>
      <c r="T662" s="64"/>
    </row>
    <row r="663" spans="7:20" ht="15.75" customHeight="1">
      <c r="G663" s="20"/>
      <c r="M663" s="484"/>
      <c r="O663" s="20"/>
      <c r="T663" s="64"/>
    </row>
    <row r="664" spans="7:20" ht="15.75" customHeight="1">
      <c r="G664" s="20"/>
      <c r="M664" s="484"/>
      <c r="O664" s="20"/>
      <c r="T664" s="64"/>
    </row>
    <row r="665" spans="7:20" ht="15.75" customHeight="1">
      <c r="G665" s="20"/>
      <c r="M665" s="484"/>
      <c r="O665" s="20"/>
      <c r="T665" s="64"/>
    </row>
    <row r="666" spans="7:20" ht="15.75" customHeight="1">
      <c r="G666" s="20"/>
      <c r="M666" s="484"/>
      <c r="O666" s="20"/>
      <c r="T666" s="64"/>
    </row>
    <row r="667" spans="7:20" ht="15.75" customHeight="1">
      <c r="G667" s="20"/>
      <c r="M667" s="484"/>
      <c r="O667" s="20"/>
      <c r="T667" s="64"/>
    </row>
    <row r="668" spans="7:20" ht="15.75" customHeight="1">
      <c r="G668" s="20"/>
      <c r="M668" s="484"/>
      <c r="O668" s="20"/>
      <c r="T668" s="64"/>
    </row>
    <row r="669" spans="7:20" ht="15.75" customHeight="1">
      <c r="G669" s="20"/>
      <c r="M669" s="484"/>
      <c r="O669" s="20"/>
      <c r="T669" s="64"/>
    </row>
    <row r="670" spans="7:20" ht="15.75" customHeight="1">
      <c r="G670" s="20"/>
      <c r="M670" s="484"/>
      <c r="O670" s="20"/>
      <c r="T670" s="64"/>
    </row>
    <row r="671" spans="7:20" ht="15.75" customHeight="1">
      <c r="G671" s="20"/>
      <c r="M671" s="484"/>
      <c r="O671" s="20"/>
      <c r="T671" s="64"/>
    </row>
    <row r="672" spans="7:20" ht="15.75" customHeight="1">
      <c r="G672" s="20"/>
      <c r="M672" s="484"/>
      <c r="O672" s="20"/>
      <c r="T672" s="64"/>
    </row>
    <row r="673" spans="7:20" ht="15.75" customHeight="1">
      <c r="G673" s="20"/>
      <c r="M673" s="484"/>
      <c r="O673" s="20"/>
      <c r="T673" s="64"/>
    </row>
    <row r="674" spans="7:20" ht="15.75" customHeight="1">
      <c r="G674" s="20"/>
      <c r="M674" s="484"/>
      <c r="O674" s="20"/>
      <c r="T674" s="64"/>
    </row>
    <row r="675" spans="7:20" ht="15.75" customHeight="1">
      <c r="G675" s="20"/>
      <c r="M675" s="484"/>
      <c r="O675" s="20"/>
      <c r="T675" s="64"/>
    </row>
    <row r="676" spans="7:20" ht="15.75" customHeight="1">
      <c r="G676" s="20"/>
      <c r="M676" s="484"/>
      <c r="O676" s="20"/>
      <c r="T676" s="64"/>
    </row>
    <row r="677" spans="7:20" ht="15.75" customHeight="1">
      <c r="G677" s="20"/>
      <c r="M677" s="484"/>
      <c r="O677" s="20"/>
      <c r="T677" s="64"/>
    </row>
    <row r="678" spans="7:20" ht="15.75" customHeight="1">
      <c r="G678" s="20"/>
      <c r="M678" s="484"/>
      <c r="O678" s="20"/>
      <c r="T678" s="64"/>
    </row>
    <row r="679" spans="7:20" ht="15.75" customHeight="1">
      <c r="G679" s="20"/>
      <c r="M679" s="484"/>
      <c r="O679" s="20"/>
      <c r="T679" s="64"/>
    </row>
    <row r="680" spans="7:20" ht="15.75" customHeight="1">
      <c r="G680" s="20"/>
      <c r="M680" s="484"/>
      <c r="O680" s="20"/>
      <c r="T680" s="64"/>
    </row>
    <row r="681" spans="7:20" ht="15.75" customHeight="1">
      <c r="G681" s="20"/>
      <c r="M681" s="484"/>
      <c r="O681" s="20"/>
      <c r="T681" s="64"/>
    </row>
    <row r="682" spans="7:20" ht="15.75" customHeight="1">
      <c r="G682" s="20"/>
      <c r="M682" s="484"/>
      <c r="O682" s="20"/>
      <c r="T682" s="64"/>
    </row>
    <row r="683" spans="7:20" ht="15.75" customHeight="1">
      <c r="G683" s="20"/>
      <c r="M683" s="484"/>
      <c r="O683" s="20"/>
      <c r="T683" s="64"/>
    </row>
    <row r="684" spans="7:20" ht="15.75" customHeight="1">
      <c r="G684" s="20"/>
      <c r="M684" s="484"/>
      <c r="O684" s="20"/>
      <c r="T684" s="64"/>
    </row>
    <row r="685" spans="7:20" ht="15.75" customHeight="1">
      <c r="G685" s="20"/>
      <c r="M685" s="484"/>
      <c r="O685" s="20"/>
      <c r="T685" s="64"/>
    </row>
    <row r="686" spans="7:20" ht="15.75" customHeight="1">
      <c r="G686" s="20"/>
      <c r="M686" s="484"/>
      <c r="O686" s="20"/>
      <c r="T686" s="64"/>
    </row>
    <row r="687" spans="7:20" ht="15.75" customHeight="1">
      <c r="G687" s="20"/>
      <c r="M687" s="484"/>
      <c r="O687" s="20"/>
      <c r="T687" s="64"/>
    </row>
    <row r="688" spans="7:20" ht="15.75" customHeight="1">
      <c r="G688" s="20"/>
      <c r="M688" s="484"/>
      <c r="O688" s="20"/>
      <c r="T688" s="64"/>
    </row>
    <row r="689" spans="7:20" ht="15.75" customHeight="1">
      <c r="G689" s="20"/>
      <c r="M689" s="484"/>
      <c r="O689" s="20"/>
      <c r="T689" s="64"/>
    </row>
    <row r="690" spans="7:20" ht="15.75" customHeight="1">
      <c r="G690" s="20"/>
      <c r="M690" s="484"/>
      <c r="O690" s="20"/>
      <c r="T690" s="64"/>
    </row>
    <row r="691" spans="7:20" ht="15.75" customHeight="1">
      <c r="G691" s="20"/>
      <c r="M691" s="484"/>
      <c r="O691" s="20"/>
      <c r="T691" s="64"/>
    </row>
    <row r="692" spans="7:20" ht="15.75" customHeight="1">
      <c r="G692" s="20"/>
      <c r="M692" s="484"/>
      <c r="O692" s="20"/>
      <c r="T692" s="64"/>
    </row>
    <row r="693" spans="7:20" ht="15.75" customHeight="1">
      <c r="G693" s="20"/>
      <c r="M693" s="484"/>
      <c r="O693" s="20"/>
      <c r="T693" s="64"/>
    </row>
    <row r="694" spans="7:20" ht="15.75" customHeight="1">
      <c r="G694" s="20"/>
      <c r="M694" s="484"/>
      <c r="O694" s="20"/>
      <c r="T694" s="64"/>
    </row>
    <row r="695" spans="7:20" ht="15.75" customHeight="1">
      <c r="G695" s="20"/>
      <c r="M695" s="484"/>
      <c r="O695" s="20"/>
      <c r="T695" s="64"/>
    </row>
    <row r="696" spans="7:20" ht="15.75" customHeight="1">
      <c r="G696" s="20"/>
      <c r="M696" s="484"/>
      <c r="O696" s="20"/>
      <c r="T696" s="64"/>
    </row>
    <row r="697" spans="7:20" ht="15.75" customHeight="1">
      <c r="G697" s="20"/>
      <c r="M697" s="484"/>
      <c r="O697" s="20"/>
      <c r="T697" s="64"/>
    </row>
    <row r="698" spans="7:20" ht="15.75" customHeight="1">
      <c r="G698" s="20"/>
      <c r="M698" s="484"/>
      <c r="O698" s="20"/>
      <c r="T698" s="64"/>
    </row>
    <row r="699" spans="7:20" ht="15.75" customHeight="1">
      <c r="G699" s="20"/>
      <c r="M699" s="484"/>
      <c r="O699" s="20"/>
      <c r="T699" s="64"/>
    </row>
    <row r="700" spans="7:20" ht="15.75" customHeight="1">
      <c r="G700" s="20"/>
      <c r="M700" s="484"/>
      <c r="O700" s="20"/>
      <c r="T700" s="64"/>
    </row>
    <row r="701" spans="7:20" ht="15.75" customHeight="1">
      <c r="G701" s="20"/>
      <c r="M701" s="484"/>
      <c r="O701" s="20"/>
      <c r="T701" s="64"/>
    </row>
    <row r="702" spans="7:20" ht="15.75" customHeight="1">
      <c r="G702" s="20"/>
      <c r="M702" s="484"/>
      <c r="O702" s="20"/>
      <c r="T702" s="64"/>
    </row>
    <row r="703" spans="7:20" ht="15.75" customHeight="1">
      <c r="G703" s="20"/>
      <c r="M703" s="484"/>
      <c r="O703" s="20"/>
      <c r="T703" s="64"/>
    </row>
    <row r="704" spans="7:20" ht="15.75" customHeight="1">
      <c r="G704" s="20"/>
      <c r="M704" s="484"/>
      <c r="O704" s="20"/>
      <c r="T704" s="64"/>
    </row>
    <row r="705" spans="7:20" ht="15.75" customHeight="1">
      <c r="G705" s="20"/>
      <c r="M705" s="484"/>
      <c r="O705" s="20"/>
      <c r="T705" s="64"/>
    </row>
    <row r="706" spans="7:20" ht="15.75" customHeight="1">
      <c r="G706" s="20"/>
      <c r="M706" s="484"/>
      <c r="O706" s="20"/>
      <c r="T706" s="64"/>
    </row>
    <row r="707" spans="7:20" ht="15.75" customHeight="1">
      <c r="G707" s="20"/>
      <c r="M707" s="484"/>
      <c r="O707" s="20"/>
      <c r="T707" s="64"/>
    </row>
    <row r="708" spans="7:20" ht="15.75" customHeight="1">
      <c r="G708" s="20"/>
      <c r="M708" s="484"/>
      <c r="O708" s="20"/>
      <c r="T708" s="64"/>
    </row>
    <row r="709" spans="7:20" ht="15.75" customHeight="1">
      <c r="G709" s="20"/>
      <c r="M709" s="484"/>
      <c r="O709" s="20"/>
      <c r="T709" s="64"/>
    </row>
    <row r="710" spans="7:20" ht="15.75" customHeight="1">
      <c r="G710" s="20"/>
      <c r="M710" s="484"/>
      <c r="O710" s="20"/>
      <c r="T710" s="64"/>
    </row>
    <row r="711" spans="7:20" ht="15.75" customHeight="1">
      <c r="G711" s="20"/>
      <c r="M711" s="484"/>
      <c r="O711" s="20"/>
      <c r="T711" s="64"/>
    </row>
    <row r="712" spans="7:20" ht="15.75" customHeight="1">
      <c r="G712" s="20"/>
      <c r="M712" s="484"/>
      <c r="O712" s="20"/>
      <c r="T712" s="64"/>
    </row>
    <row r="713" spans="7:20" ht="15.75" customHeight="1">
      <c r="G713" s="20"/>
      <c r="M713" s="484"/>
      <c r="O713" s="20"/>
      <c r="T713" s="64"/>
    </row>
    <row r="714" spans="7:20" ht="15.75" customHeight="1">
      <c r="G714" s="20"/>
      <c r="M714" s="484"/>
      <c r="O714" s="20"/>
      <c r="T714" s="64"/>
    </row>
    <row r="715" spans="7:20" ht="15.75" customHeight="1">
      <c r="G715" s="20"/>
      <c r="M715" s="484"/>
      <c r="O715" s="20"/>
      <c r="T715" s="64"/>
    </row>
    <row r="716" spans="7:20" ht="15.75" customHeight="1">
      <c r="G716" s="20"/>
      <c r="M716" s="484"/>
      <c r="O716" s="20"/>
      <c r="T716" s="64"/>
    </row>
    <row r="717" spans="7:20" ht="15.75" customHeight="1">
      <c r="G717" s="20"/>
      <c r="M717" s="484"/>
      <c r="O717" s="20"/>
      <c r="T717" s="64"/>
    </row>
    <row r="718" spans="7:20" ht="15.75" customHeight="1">
      <c r="G718" s="20"/>
      <c r="M718" s="484"/>
      <c r="O718" s="20"/>
      <c r="T718" s="64"/>
    </row>
    <row r="719" spans="7:20" ht="15.75" customHeight="1">
      <c r="G719" s="20"/>
      <c r="M719" s="484"/>
      <c r="O719" s="20"/>
      <c r="T719" s="64"/>
    </row>
    <row r="720" spans="7:20" ht="15.75" customHeight="1">
      <c r="G720" s="20"/>
      <c r="M720" s="484"/>
      <c r="O720" s="20"/>
      <c r="T720" s="64"/>
    </row>
    <row r="721" spans="7:20" ht="15.75" customHeight="1">
      <c r="G721" s="20"/>
      <c r="M721" s="484"/>
      <c r="O721" s="20"/>
      <c r="T721" s="64"/>
    </row>
    <row r="722" spans="7:20" ht="15.75" customHeight="1">
      <c r="G722" s="20"/>
      <c r="M722" s="484"/>
      <c r="O722" s="20"/>
      <c r="T722" s="64"/>
    </row>
    <row r="723" spans="7:20" ht="15.75" customHeight="1">
      <c r="G723" s="20"/>
      <c r="M723" s="484"/>
      <c r="O723" s="20"/>
      <c r="T723" s="64"/>
    </row>
    <row r="724" spans="7:20" ht="15.75" customHeight="1">
      <c r="G724" s="20"/>
      <c r="M724" s="484"/>
      <c r="O724" s="20"/>
      <c r="T724" s="64"/>
    </row>
    <row r="725" spans="7:20" ht="15.75" customHeight="1">
      <c r="G725" s="20"/>
      <c r="M725" s="484"/>
      <c r="O725" s="20"/>
      <c r="T725" s="64"/>
    </row>
    <row r="726" spans="7:20" ht="15.75" customHeight="1">
      <c r="G726" s="20"/>
      <c r="M726" s="484"/>
      <c r="O726" s="20"/>
      <c r="T726" s="64"/>
    </row>
    <row r="727" spans="7:20" ht="15.75" customHeight="1">
      <c r="G727" s="20"/>
      <c r="M727" s="484"/>
      <c r="O727" s="20"/>
      <c r="T727" s="64"/>
    </row>
    <row r="728" spans="7:20" ht="15.75" customHeight="1">
      <c r="G728" s="20"/>
      <c r="M728" s="484"/>
      <c r="O728" s="20"/>
      <c r="T728" s="64"/>
    </row>
    <row r="729" spans="7:20" ht="15.75" customHeight="1">
      <c r="G729" s="20"/>
      <c r="M729" s="484"/>
      <c r="O729" s="20"/>
      <c r="T729" s="64"/>
    </row>
    <row r="730" spans="7:20" ht="15.75" customHeight="1">
      <c r="G730" s="20"/>
      <c r="M730" s="484"/>
      <c r="O730" s="20"/>
      <c r="T730" s="64"/>
    </row>
    <row r="731" spans="7:20" ht="15.75" customHeight="1">
      <c r="G731" s="20"/>
      <c r="M731" s="484"/>
      <c r="O731" s="20"/>
      <c r="T731" s="64"/>
    </row>
    <row r="732" spans="7:20" ht="15.75" customHeight="1">
      <c r="G732" s="20"/>
      <c r="M732" s="484"/>
      <c r="O732" s="20"/>
      <c r="T732" s="64"/>
    </row>
    <row r="733" spans="7:20" ht="15.75" customHeight="1">
      <c r="G733" s="20"/>
      <c r="M733" s="484"/>
      <c r="O733" s="20"/>
      <c r="T733" s="64"/>
    </row>
    <row r="734" spans="7:20" ht="15.75" customHeight="1">
      <c r="G734" s="20"/>
      <c r="M734" s="484"/>
      <c r="O734" s="20"/>
      <c r="T734" s="64"/>
    </row>
    <row r="735" spans="7:20" ht="15.75" customHeight="1">
      <c r="G735" s="20"/>
      <c r="M735" s="484"/>
      <c r="O735" s="20"/>
      <c r="T735" s="64"/>
    </row>
    <row r="736" spans="7:20" ht="15.75" customHeight="1">
      <c r="G736" s="20"/>
      <c r="M736" s="484"/>
      <c r="O736" s="20"/>
      <c r="T736" s="64"/>
    </row>
    <row r="737" spans="7:20" ht="15.75" customHeight="1">
      <c r="G737" s="20"/>
      <c r="M737" s="484"/>
      <c r="O737" s="20"/>
      <c r="T737" s="64"/>
    </row>
    <row r="738" spans="7:20" ht="15.75" customHeight="1">
      <c r="G738" s="20"/>
      <c r="M738" s="484"/>
      <c r="O738" s="20"/>
      <c r="T738" s="64"/>
    </row>
    <row r="739" spans="7:20" ht="15.75" customHeight="1">
      <c r="G739" s="20"/>
      <c r="M739" s="484"/>
      <c r="O739" s="20"/>
      <c r="T739" s="64"/>
    </row>
    <row r="740" spans="7:20" ht="15.75" customHeight="1">
      <c r="G740" s="20"/>
      <c r="M740" s="484"/>
      <c r="O740" s="20"/>
      <c r="T740" s="64"/>
    </row>
    <row r="741" spans="7:20" ht="15.75" customHeight="1">
      <c r="G741" s="20"/>
      <c r="M741" s="484"/>
      <c r="O741" s="20"/>
      <c r="T741" s="64"/>
    </row>
    <row r="742" spans="7:20" ht="15.75" customHeight="1">
      <c r="G742" s="20"/>
      <c r="M742" s="484"/>
      <c r="O742" s="20"/>
      <c r="T742" s="64"/>
    </row>
    <row r="743" spans="7:20" ht="15.75" customHeight="1">
      <c r="G743" s="20"/>
      <c r="M743" s="484"/>
      <c r="O743" s="20"/>
      <c r="T743" s="64"/>
    </row>
    <row r="744" spans="7:20" ht="15.75" customHeight="1">
      <c r="G744" s="20"/>
      <c r="M744" s="484"/>
      <c r="O744" s="20"/>
      <c r="T744" s="64"/>
    </row>
    <row r="745" spans="7:20" ht="15.75" customHeight="1">
      <c r="G745" s="20"/>
      <c r="M745" s="484"/>
      <c r="O745" s="20"/>
      <c r="T745" s="64"/>
    </row>
    <row r="746" spans="7:20" ht="15.75" customHeight="1">
      <c r="G746" s="20"/>
      <c r="M746" s="484"/>
      <c r="O746" s="20"/>
      <c r="T746" s="64"/>
    </row>
    <row r="747" spans="7:20" ht="15.75" customHeight="1">
      <c r="G747" s="20"/>
      <c r="M747" s="484"/>
      <c r="O747" s="20"/>
      <c r="T747" s="64"/>
    </row>
    <row r="748" spans="7:20" ht="15.75" customHeight="1">
      <c r="G748" s="20"/>
      <c r="M748" s="484"/>
      <c r="O748" s="20"/>
      <c r="T748" s="64"/>
    </row>
    <row r="749" spans="7:20" ht="15.75" customHeight="1">
      <c r="G749" s="20"/>
      <c r="M749" s="484"/>
      <c r="O749" s="20"/>
      <c r="T749" s="64"/>
    </row>
    <row r="750" spans="7:20" ht="15.75" customHeight="1">
      <c r="G750" s="20"/>
      <c r="M750" s="484"/>
      <c r="O750" s="20"/>
      <c r="T750" s="64"/>
    </row>
    <row r="751" spans="7:20" ht="15.75" customHeight="1">
      <c r="G751" s="20"/>
      <c r="M751" s="484"/>
      <c r="O751" s="20"/>
      <c r="T751" s="64"/>
    </row>
    <row r="752" spans="7:20" ht="15.75" customHeight="1">
      <c r="G752" s="20"/>
      <c r="M752" s="484"/>
      <c r="O752" s="20"/>
      <c r="T752" s="64"/>
    </row>
    <row r="753" spans="7:20" ht="15.75" customHeight="1">
      <c r="G753" s="20"/>
      <c r="M753" s="484"/>
      <c r="O753" s="20"/>
      <c r="T753" s="64"/>
    </row>
    <row r="754" spans="7:20" ht="15.75" customHeight="1">
      <c r="G754" s="20"/>
      <c r="M754" s="484"/>
      <c r="O754" s="20"/>
      <c r="T754" s="64"/>
    </row>
    <row r="755" spans="7:20" ht="15.75" customHeight="1">
      <c r="G755" s="20"/>
      <c r="M755" s="484"/>
      <c r="O755" s="20"/>
      <c r="T755" s="64"/>
    </row>
    <row r="756" spans="7:20" ht="15.75" customHeight="1">
      <c r="G756" s="20"/>
      <c r="M756" s="484"/>
      <c r="O756" s="20"/>
      <c r="T756" s="64"/>
    </row>
    <row r="757" spans="7:20" ht="15.75" customHeight="1">
      <c r="G757" s="20"/>
      <c r="M757" s="484"/>
      <c r="O757" s="20"/>
      <c r="T757" s="64"/>
    </row>
    <row r="758" spans="7:20" ht="15.75" customHeight="1">
      <c r="G758" s="20"/>
      <c r="M758" s="484"/>
      <c r="O758" s="20"/>
      <c r="T758" s="64"/>
    </row>
    <row r="759" spans="7:20" ht="15.75" customHeight="1">
      <c r="G759" s="20"/>
      <c r="M759" s="484"/>
      <c r="O759" s="20"/>
      <c r="T759" s="64"/>
    </row>
    <row r="760" spans="7:20" ht="15.75" customHeight="1">
      <c r="G760" s="20"/>
      <c r="M760" s="484"/>
      <c r="O760" s="20"/>
      <c r="T760" s="64"/>
    </row>
    <row r="761" spans="7:20" ht="15.75" customHeight="1">
      <c r="G761" s="20"/>
      <c r="M761" s="484"/>
      <c r="O761" s="20"/>
      <c r="T761" s="64"/>
    </row>
    <row r="762" spans="7:20" ht="15.75" customHeight="1">
      <c r="G762" s="20"/>
      <c r="M762" s="484"/>
      <c r="O762" s="20"/>
      <c r="T762" s="64"/>
    </row>
    <row r="763" spans="7:20" ht="15.75" customHeight="1">
      <c r="G763" s="20"/>
      <c r="M763" s="484"/>
      <c r="O763" s="20"/>
      <c r="T763" s="64"/>
    </row>
    <row r="764" spans="7:20" ht="15.75" customHeight="1">
      <c r="G764" s="20"/>
      <c r="M764" s="484"/>
      <c r="O764" s="20"/>
      <c r="T764" s="64"/>
    </row>
    <row r="765" spans="7:20" ht="15.75" customHeight="1">
      <c r="G765" s="20"/>
      <c r="M765" s="484"/>
      <c r="O765" s="20"/>
      <c r="T765" s="64"/>
    </row>
    <row r="766" spans="7:20" ht="15.75" customHeight="1">
      <c r="G766" s="20"/>
      <c r="M766" s="484"/>
      <c r="O766" s="20"/>
      <c r="T766" s="64"/>
    </row>
    <row r="767" spans="7:20" ht="15.75" customHeight="1">
      <c r="G767" s="20"/>
      <c r="M767" s="484"/>
      <c r="O767" s="20"/>
      <c r="T767" s="64"/>
    </row>
    <row r="768" spans="7:20" ht="15.75" customHeight="1">
      <c r="G768" s="20"/>
      <c r="M768" s="484"/>
      <c r="O768" s="20"/>
      <c r="T768" s="64"/>
    </row>
    <row r="769" spans="7:20" ht="15.75" customHeight="1">
      <c r="G769" s="20"/>
      <c r="M769" s="484"/>
      <c r="O769" s="20"/>
      <c r="T769" s="64"/>
    </row>
    <row r="770" spans="7:20" ht="15.75" customHeight="1">
      <c r="G770" s="20"/>
      <c r="M770" s="484"/>
      <c r="O770" s="20"/>
      <c r="T770" s="64"/>
    </row>
    <row r="771" spans="7:20" ht="15.75" customHeight="1">
      <c r="G771" s="20"/>
      <c r="M771" s="484"/>
      <c r="O771" s="20"/>
      <c r="T771" s="64"/>
    </row>
    <row r="772" spans="7:20" ht="15.75" customHeight="1">
      <c r="G772" s="20"/>
      <c r="M772" s="484"/>
      <c r="O772" s="20"/>
      <c r="T772" s="64"/>
    </row>
    <row r="773" spans="7:20" ht="15.75" customHeight="1">
      <c r="G773" s="20"/>
      <c r="M773" s="484"/>
      <c r="O773" s="20"/>
      <c r="T773" s="64"/>
    </row>
    <row r="774" spans="7:20" ht="15.75" customHeight="1">
      <c r="G774" s="20"/>
      <c r="M774" s="484"/>
      <c r="O774" s="20"/>
      <c r="T774" s="64"/>
    </row>
    <row r="775" spans="7:20" ht="15.75" customHeight="1">
      <c r="G775" s="20"/>
      <c r="M775" s="484"/>
      <c r="O775" s="20"/>
      <c r="T775" s="64"/>
    </row>
    <row r="776" spans="7:20" ht="15.75" customHeight="1">
      <c r="G776" s="20"/>
      <c r="M776" s="484"/>
      <c r="O776" s="20"/>
      <c r="T776" s="64"/>
    </row>
    <row r="777" spans="7:20" ht="15.75" customHeight="1">
      <c r="G777" s="20"/>
      <c r="M777" s="484"/>
      <c r="O777" s="20"/>
      <c r="T777" s="64"/>
    </row>
    <row r="778" spans="7:20" ht="15.75" customHeight="1">
      <c r="G778" s="20"/>
      <c r="M778" s="484"/>
      <c r="O778" s="20"/>
      <c r="T778" s="64"/>
    </row>
    <row r="779" spans="7:20" ht="15.75" customHeight="1">
      <c r="G779" s="20"/>
      <c r="M779" s="484"/>
      <c r="O779" s="20"/>
      <c r="T779" s="64"/>
    </row>
    <row r="780" spans="7:20" ht="15.75" customHeight="1">
      <c r="G780" s="20"/>
      <c r="M780" s="484"/>
      <c r="O780" s="20"/>
      <c r="T780" s="64"/>
    </row>
    <row r="781" spans="7:20" ht="15.75" customHeight="1">
      <c r="G781" s="20"/>
      <c r="M781" s="484"/>
      <c r="O781" s="20"/>
      <c r="T781" s="64"/>
    </row>
    <row r="782" spans="7:20" ht="15.75" customHeight="1">
      <c r="G782" s="20"/>
      <c r="M782" s="484"/>
      <c r="O782" s="20"/>
      <c r="T782" s="64"/>
    </row>
    <row r="783" spans="7:20" ht="15.75" customHeight="1">
      <c r="G783" s="20"/>
      <c r="M783" s="484"/>
      <c r="O783" s="20"/>
      <c r="T783" s="64"/>
    </row>
    <row r="784" spans="7:20" ht="15.75" customHeight="1">
      <c r="G784" s="20"/>
      <c r="M784" s="484"/>
      <c r="O784" s="20"/>
      <c r="T784" s="64"/>
    </row>
    <row r="785" spans="7:20" ht="15.75" customHeight="1">
      <c r="G785" s="20"/>
      <c r="M785" s="484"/>
      <c r="O785" s="20"/>
      <c r="T785" s="64"/>
    </row>
    <row r="786" spans="7:20" ht="15.75" customHeight="1">
      <c r="G786" s="20"/>
      <c r="M786" s="484"/>
      <c r="O786" s="20"/>
      <c r="T786" s="64"/>
    </row>
    <row r="787" spans="7:20" ht="15.75" customHeight="1">
      <c r="G787" s="20"/>
      <c r="M787" s="484"/>
      <c r="O787" s="20"/>
      <c r="T787" s="64"/>
    </row>
    <row r="788" spans="7:20" ht="15.75" customHeight="1">
      <c r="G788" s="20"/>
      <c r="M788" s="484"/>
      <c r="O788" s="20"/>
      <c r="T788" s="64"/>
    </row>
    <row r="789" spans="7:20" ht="15.75" customHeight="1">
      <c r="G789" s="20"/>
      <c r="M789" s="484"/>
      <c r="O789" s="20"/>
      <c r="T789" s="64"/>
    </row>
    <row r="790" spans="7:20" ht="15.75" customHeight="1">
      <c r="G790" s="20"/>
      <c r="M790" s="484"/>
      <c r="O790" s="20"/>
      <c r="T790" s="64"/>
    </row>
    <row r="791" spans="7:20" ht="15.75" customHeight="1">
      <c r="G791" s="20"/>
      <c r="M791" s="484"/>
      <c r="O791" s="20"/>
      <c r="T791" s="64"/>
    </row>
    <row r="792" spans="7:20" ht="15.75" customHeight="1">
      <c r="G792" s="20"/>
      <c r="M792" s="484"/>
      <c r="O792" s="20"/>
      <c r="T792" s="64"/>
    </row>
    <row r="793" spans="7:20" ht="15.75" customHeight="1">
      <c r="G793" s="20"/>
      <c r="M793" s="484"/>
      <c r="O793" s="20"/>
      <c r="T793" s="64"/>
    </row>
    <row r="794" spans="7:20" ht="15.75" customHeight="1">
      <c r="G794" s="20"/>
      <c r="M794" s="484"/>
      <c r="O794" s="20"/>
      <c r="T794" s="64"/>
    </row>
    <row r="795" spans="7:20" ht="15.75" customHeight="1">
      <c r="G795" s="20"/>
      <c r="M795" s="484"/>
      <c r="O795" s="20"/>
      <c r="T795" s="64"/>
    </row>
    <row r="796" spans="7:20" ht="15.75" customHeight="1">
      <c r="G796" s="20"/>
      <c r="M796" s="484"/>
      <c r="O796" s="20"/>
      <c r="T796" s="64"/>
    </row>
    <row r="797" spans="7:20" ht="15.75" customHeight="1">
      <c r="G797" s="20"/>
      <c r="M797" s="484"/>
      <c r="O797" s="20"/>
      <c r="T797" s="64"/>
    </row>
    <row r="798" spans="7:20" ht="15.75" customHeight="1">
      <c r="G798" s="20"/>
      <c r="M798" s="484"/>
      <c r="O798" s="20"/>
      <c r="T798" s="64"/>
    </row>
    <row r="799" spans="7:20" ht="15.75" customHeight="1">
      <c r="G799" s="20"/>
      <c r="M799" s="484"/>
      <c r="O799" s="20"/>
      <c r="T799" s="64"/>
    </row>
    <row r="800" spans="7:20" ht="15.75" customHeight="1">
      <c r="G800" s="20"/>
      <c r="M800" s="484"/>
      <c r="O800" s="20"/>
      <c r="T800" s="64"/>
    </row>
    <row r="801" spans="7:20" ht="15.75" customHeight="1">
      <c r="G801" s="20"/>
      <c r="M801" s="484"/>
      <c r="O801" s="20"/>
      <c r="T801" s="64"/>
    </row>
    <row r="802" spans="7:20" ht="15.75" customHeight="1">
      <c r="G802" s="20"/>
      <c r="M802" s="484"/>
      <c r="O802" s="20"/>
      <c r="T802" s="64"/>
    </row>
    <row r="803" spans="7:20" ht="15.75" customHeight="1">
      <c r="G803" s="20"/>
      <c r="M803" s="484"/>
      <c r="O803" s="20"/>
      <c r="T803" s="64"/>
    </row>
    <row r="804" spans="7:20" ht="15.75" customHeight="1">
      <c r="G804" s="20"/>
      <c r="M804" s="484"/>
      <c r="O804" s="20"/>
      <c r="T804" s="64"/>
    </row>
    <row r="805" spans="7:20" ht="15.75" customHeight="1">
      <c r="G805" s="20"/>
      <c r="M805" s="484"/>
      <c r="O805" s="20"/>
      <c r="T805" s="64"/>
    </row>
    <row r="806" spans="7:20" ht="15.75" customHeight="1">
      <c r="G806" s="20"/>
      <c r="M806" s="484"/>
      <c r="O806" s="20"/>
      <c r="T806" s="64"/>
    </row>
    <row r="807" spans="7:20" ht="15.75" customHeight="1">
      <c r="G807" s="20"/>
      <c r="M807" s="484"/>
      <c r="O807" s="20"/>
      <c r="T807" s="64"/>
    </row>
    <row r="808" spans="7:20" ht="15.75" customHeight="1">
      <c r="G808" s="20"/>
      <c r="M808" s="484"/>
      <c r="O808" s="20"/>
      <c r="T808" s="64"/>
    </row>
    <row r="809" spans="7:20" ht="15.75" customHeight="1">
      <c r="G809" s="20"/>
      <c r="M809" s="484"/>
      <c r="O809" s="20"/>
      <c r="T809" s="64"/>
    </row>
    <row r="810" spans="7:20" ht="15.75" customHeight="1">
      <c r="G810" s="20"/>
      <c r="M810" s="484"/>
      <c r="O810" s="20"/>
      <c r="T810" s="64"/>
    </row>
    <row r="811" spans="7:20" ht="15.75" customHeight="1">
      <c r="G811" s="20"/>
      <c r="M811" s="484"/>
      <c r="O811" s="20"/>
      <c r="T811" s="64"/>
    </row>
    <row r="812" spans="7:20" ht="15.75" customHeight="1">
      <c r="G812" s="20"/>
      <c r="M812" s="484"/>
      <c r="O812" s="20"/>
      <c r="T812" s="64"/>
    </row>
    <row r="813" spans="7:20" ht="15.75" customHeight="1">
      <c r="G813" s="20"/>
      <c r="M813" s="484"/>
      <c r="O813" s="20"/>
      <c r="T813" s="64"/>
    </row>
    <row r="814" spans="7:20" ht="15.75" customHeight="1">
      <c r="G814" s="20"/>
      <c r="M814" s="484"/>
      <c r="O814" s="20"/>
      <c r="T814" s="64"/>
    </row>
    <row r="815" spans="7:20" ht="15.75" customHeight="1">
      <c r="G815" s="20"/>
      <c r="M815" s="484"/>
      <c r="O815" s="20"/>
      <c r="T815" s="64"/>
    </row>
    <row r="816" spans="7:20" ht="15.75" customHeight="1">
      <c r="G816" s="20"/>
      <c r="M816" s="484"/>
      <c r="O816" s="20"/>
      <c r="T816" s="64"/>
    </row>
    <row r="817" spans="7:20" ht="15.75" customHeight="1">
      <c r="G817" s="20"/>
      <c r="M817" s="484"/>
      <c r="O817" s="20"/>
      <c r="T817" s="64"/>
    </row>
    <row r="818" spans="7:20" ht="15.75" customHeight="1">
      <c r="G818" s="20"/>
      <c r="M818" s="484"/>
      <c r="O818" s="20"/>
      <c r="T818" s="64"/>
    </row>
    <row r="819" spans="7:20" ht="15.75" customHeight="1">
      <c r="G819" s="20"/>
      <c r="M819" s="484"/>
      <c r="O819" s="20"/>
      <c r="T819" s="64"/>
    </row>
    <row r="820" spans="7:20" ht="15.75" customHeight="1">
      <c r="G820" s="20"/>
      <c r="M820" s="484"/>
      <c r="O820" s="20"/>
      <c r="T820" s="64"/>
    </row>
    <row r="821" spans="7:20" ht="15.75" customHeight="1">
      <c r="G821" s="20"/>
      <c r="M821" s="484"/>
      <c r="O821" s="20"/>
      <c r="T821" s="64"/>
    </row>
    <row r="822" spans="7:20" ht="15.75" customHeight="1">
      <c r="G822" s="20"/>
      <c r="M822" s="484"/>
      <c r="O822" s="20"/>
      <c r="T822" s="64"/>
    </row>
    <row r="823" spans="7:20" ht="15.75" customHeight="1">
      <c r="G823" s="20"/>
      <c r="M823" s="484"/>
      <c r="O823" s="20"/>
      <c r="T823" s="64"/>
    </row>
    <row r="824" spans="7:20" ht="15.75" customHeight="1">
      <c r="G824" s="20"/>
      <c r="M824" s="484"/>
      <c r="O824" s="20"/>
      <c r="T824" s="64"/>
    </row>
    <row r="825" spans="7:20" ht="15.75" customHeight="1">
      <c r="G825" s="20"/>
      <c r="M825" s="484"/>
      <c r="O825" s="20"/>
      <c r="T825" s="64"/>
    </row>
    <row r="826" spans="7:20" ht="15.75" customHeight="1">
      <c r="G826" s="20"/>
      <c r="M826" s="484"/>
      <c r="O826" s="20"/>
      <c r="T826" s="64"/>
    </row>
    <row r="827" spans="7:20" ht="15.75" customHeight="1">
      <c r="G827" s="20"/>
      <c r="M827" s="484"/>
      <c r="O827" s="20"/>
      <c r="T827" s="64"/>
    </row>
    <row r="828" spans="7:20" ht="15.75" customHeight="1">
      <c r="G828" s="20"/>
      <c r="M828" s="484"/>
      <c r="O828" s="20"/>
      <c r="T828" s="64"/>
    </row>
    <row r="829" spans="7:20" ht="15.75" customHeight="1">
      <c r="G829" s="20"/>
      <c r="M829" s="484"/>
      <c r="O829" s="20"/>
      <c r="T829" s="64"/>
    </row>
    <row r="830" spans="7:20" ht="15.75" customHeight="1">
      <c r="G830" s="20"/>
      <c r="M830" s="484"/>
      <c r="O830" s="20"/>
      <c r="T830" s="64"/>
    </row>
    <row r="831" spans="7:20" ht="15.75" customHeight="1">
      <c r="G831" s="20"/>
      <c r="M831" s="484"/>
      <c r="O831" s="20"/>
      <c r="T831" s="64"/>
    </row>
    <row r="832" spans="7:20" ht="15.75" customHeight="1">
      <c r="G832" s="20"/>
      <c r="M832" s="484"/>
      <c r="O832" s="20"/>
      <c r="T832" s="64"/>
    </row>
    <row r="833" spans="7:20" ht="15.75" customHeight="1">
      <c r="G833" s="20"/>
      <c r="M833" s="484"/>
      <c r="O833" s="20"/>
      <c r="T833" s="64"/>
    </row>
    <row r="834" spans="7:20" ht="15.75" customHeight="1">
      <c r="G834" s="20"/>
      <c r="M834" s="484"/>
      <c r="O834" s="20"/>
      <c r="T834" s="64"/>
    </row>
    <row r="835" spans="7:20" ht="15.75" customHeight="1">
      <c r="G835" s="20"/>
      <c r="M835" s="484"/>
      <c r="O835" s="20"/>
      <c r="T835" s="64"/>
    </row>
    <row r="836" spans="7:20" ht="15.75" customHeight="1">
      <c r="G836" s="20"/>
      <c r="M836" s="484"/>
      <c r="O836" s="20"/>
      <c r="T836" s="64"/>
    </row>
    <row r="837" spans="7:20" ht="15.75" customHeight="1">
      <c r="G837" s="20"/>
      <c r="M837" s="484"/>
      <c r="O837" s="20"/>
      <c r="T837" s="64"/>
    </row>
    <row r="838" spans="7:20" ht="15.75" customHeight="1">
      <c r="G838" s="20"/>
      <c r="M838" s="484"/>
      <c r="O838" s="20"/>
      <c r="T838" s="64"/>
    </row>
    <row r="839" spans="7:20" ht="15.75" customHeight="1">
      <c r="G839" s="20"/>
      <c r="M839" s="484"/>
      <c r="O839" s="20"/>
      <c r="T839" s="64"/>
    </row>
    <row r="840" spans="7:20" ht="15.75" customHeight="1">
      <c r="G840" s="20"/>
      <c r="M840" s="484"/>
      <c r="O840" s="20"/>
      <c r="T840" s="64"/>
    </row>
    <row r="841" spans="7:20" ht="15.75" customHeight="1">
      <c r="G841" s="20"/>
      <c r="M841" s="484"/>
      <c r="O841" s="20"/>
      <c r="T841" s="64"/>
    </row>
    <row r="842" spans="7:20" ht="15.75" customHeight="1">
      <c r="G842" s="20"/>
      <c r="M842" s="484"/>
      <c r="O842" s="20"/>
      <c r="T842" s="64"/>
    </row>
    <row r="843" spans="7:20" ht="15.75" customHeight="1">
      <c r="G843" s="20"/>
      <c r="M843" s="484"/>
      <c r="O843" s="20"/>
      <c r="T843" s="64"/>
    </row>
    <row r="844" spans="7:20" ht="15.75" customHeight="1">
      <c r="G844" s="20"/>
      <c r="M844" s="484"/>
      <c r="O844" s="20"/>
      <c r="T844" s="64"/>
    </row>
    <row r="845" spans="7:20" ht="15.75" customHeight="1">
      <c r="G845" s="20"/>
      <c r="M845" s="484"/>
      <c r="O845" s="20"/>
      <c r="T845" s="64"/>
    </row>
    <row r="846" spans="7:20" ht="15.75" customHeight="1">
      <c r="G846" s="20"/>
      <c r="M846" s="484"/>
      <c r="O846" s="20"/>
      <c r="T846" s="64"/>
    </row>
    <row r="847" spans="7:20" ht="15.75" customHeight="1">
      <c r="G847" s="20"/>
      <c r="M847" s="484"/>
      <c r="O847" s="20"/>
      <c r="T847" s="64"/>
    </row>
    <row r="848" spans="7:20" ht="15.75" customHeight="1">
      <c r="G848" s="20"/>
      <c r="M848" s="484"/>
      <c r="O848" s="20"/>
      <c r="T848" s="64"/>
    </row>
    <row r="849" spans="7:20" ht="15.75" customHeight="1">
      <c r="G849" s="20"/>
      <c r="M849" s="484"/>
      <c r="O849" s="20"/>
      <c r="T849" s="64"/>
    </row>
    <row r="850" spans="7:20" ht="15.75" customHeight="1">
      <c r="G850" s="20"/>
      <c r="M850" s="484"/>
      <c r="O850" s="20"/>
      <c r="T850" s="64"/>
    </row>
    <row r="851" spans="7:20" ht="15.75" customHeight="1">
      <c r="G851" s="20"/>
      <c r="M851" s="484"/>
      <c r="O851" s="20"/>
      <c r="T851" s="64"/>
    </row>
    <row r="852" spans="7:20" ht="15.75" customHeight="1">
      <c r="G852" s="20"/>
      <c r="M852" s="484"/>
      <c r="O852" s="20"/>
      <c r="T852" s="64"/>
    </row>
    <row r="853" spans="7:20" ht="15.75" customHeight="1">
      <c r="G853" s="20"/>
      <c r="M853" s="484"/>
      <c r="O853" s="20"/>
      <c r="T853" s="64"/>
    </row>
    <row r="854" spans="7:20" ht="15.75" customHeight="1">
      <c r="G854" s="20"/>
      <c r="M854" s="484"/>
      <c r="O854" s="20"/>
      <c r="T854" s="64"/>
    </row>
    <row r="855" spans="7:20" ht="15.75" customHeight="1">
      <c r="G855" s="20"/>
      <c r="M855" s="484"/>
      <c r="O855" s="20"/>
      <c r="T855" s="64"/>
    </row>
    <row r="856" spans="7:20" ht="15.75" customHeight="1">
      <c r="G856" s="20"/>
      <c r="M856" s="484"/>
      <c r="O856" s="20"/>
      <c r="T856" s="64"/>
    </row>
    <row r="857" spans="7:20" ht="15.75" customHeight="1">
      <c r="G857" s="20"/>
      <c r="M857" s="484"/>
      <c r="O857" s="20"/>
      <c r="T857" s="64"/>
    </row>
    <row r="858" spans="7:20" ht="15.75" customHeight="1">
      <c r="G858" s="20"/>
      <c r="M858" s="484"/>
      <c r="O858" s="20"/>
      <c r="T858" s="64"/>
    </row>
    <row r="859" spans="7:20" ht="15.75" customHeight="1">
      <c r="G859" s="20"/>
      <c r="M859" s="484"/>
      <c r="O859" s="20"/>
      <c r="T859" s="64"/>
    </row>
    <row r="860" spans="7:20" ht="15.75" customHeight="1">
      <c r="G860" s="20"/>
      <c r="M860" s="484"/>
      <c r="O860" s="20"/>
      <c r="T860" s="64"/>
    </row>
    <row r="861" spans="7:20" ht="15.75" customHeight="1">
      <c r="G861" s="20"/>
      <c r="M861" s="484"/>
      <c r="O861" s="20"/>
      <c r="T861" s="64"/>
    </row>
    <row r="862" spans="7:20" ht="15.75" customHeight="1">
      <c r="G862" s="20"/>
      <c r="M862" s="484"/>
      <c r="O862" s="20"/>
      <c r="T862" s="64"/>
    </row>
    <row r="863" spans="7:20" ht="15.75" customHeight="1">
      <c r="G863" s="20"/>
      <c r="M863" s="484"/>
      <c r="O863" s="20"/>
      <c r="T863" s="64"/>
    </row>
    <row r="864" spans="7:20" ht="15.75" customHeight="1">
      <c r="G864" s="20"/>
      <c r="M864" s="484"/>
      <c r="O864" s="20"/>
      <c r="T864" s="64"/>
    </row>
    <row r="865" spans="7:20" ht="15.75" customHeight="1">
      <c r="G865" s="20"/>
      <c r="M865" s="484"/>
      <c r="O865" s="20"/>
      <c r="T865" s="64"/>
    </row>
    <row r="866" spans="7:20" ht="15.75" customHeight="1">
      <c r="G866" s="20"/>
      <c r="M866" s="484"/>
      <c r="O866" s="20"/>
      <c r="T866" s="64"/>
    </row>
    <row r="867" spans="7:20" ht="15.75" customHeight="1">
      <c r="G867" s="20"/>
      <c r="M867" s="484"/>
      <c r="O867" s="20"/>
      <c r="T867" s="64"/>
    </row>
    <row r="868" spans="7:20" ht="15.75" customHeight="1">
      <c r="G868" s="20"/>
      <c r="M868" s="484"/>
      <c r="O868" s="20"/>
      <c r="T868" s="64"/>
    </row>
    <row r="869" spans="7:20" ht="15.75" customHeight="1">
      <c r="G869" s="20"/>
      <c r="M869" s="484"/>
      <c r="O869" s="20"/>
      <c r="T869" s="64"/>
    </row>
    <row r="870" spans="7:20" ht="15.75" customHeight="1">
      <c r="G870" s="20"/>
      <c r="M870" s="484"/>
      <c r="O870" s="20"/>
      <c r="T870" s="64"/>
    </row>
    <row r="871" spans="7:20" ht="15.75" customHeight="1">
      <c r="G871" s="20"/>
      <c r="M871" s="484"/>
      <c r="O871" s="20"/>
      <c r="T871" s="64"/>
    </row>
    <row r="872" spans="7:20" ht="15.75" customHeight="1">
      <c r="G872" s="20"/>
      <c r="M872" s="484"/>
      <c r="O872" s="20"/>
      <c r="T872" s="64"/>
    </row>
    <row r="873" spans="7:20" ht="15.75" customHeight="1">
      <c r="G873" s="20"/>
      <c r="M873" s="484"/>
      <c r="O873" s="20"/>
      <c r="T873" s="64"/>
    </row>
    <row r="874" spans="7:20" ht="15.75" customHeight="1">
      <c r="G874" s="20"/>
      <c r="M874" s="484"/>
      <c r="O874" s="20"/>
      <c r="T874" s="64"/>
    </row>
    <row r="875" spans="7:20" ht="15.75" customHeight="1">
      <c r="G875" s="20"/>
      <c r="M875" s="484"/>
      <c r="O875" s="20"/>
      <c r="T875" s="64"/>
    </row>
    <row r="876" spans="7:20" ht="15.75" customHeight="1">
      <c r="G876" s="20"/>
      <c r="M876" s="484"/>
      <c r="O876" s="20"/>
      <c r="T876" s="64"/>
    </row>
    <row r="877" spans="7:20" ht="15.75" customHeight="1">
      <c r="G877" s="20"/>
      <c r="M877" s="484"/>
      <c r="O877" s="20"/>
      <c r="T877" s="64"/>
    </row>
    <row r="878" spans="7:20" ht="15.75" customHeight="1">
      <c r="G878" s="20"/>
      <c r="M878" s="484"/>
      <c r="O878" s="20"/>
      <c r="T878" s="64"/>
    </row>
    <row r="879" spans="7:20" ht="15.75" customHeight="1">
      <c r="G879" s="20"/>
      <c r="M879" s="484"/>
      <c r="O879" s="20"/>
      <c r="T879" s="64"/>
    </row>
    <row r="880" spans="7:20" ht="15.75" customHeight="1">
      <c r="G880" s="20"/>
      <c r="M880" s="484"/>
      <c r="O880" s="20"/>
      <c r="T880" s="64"/>
    </row>
    <row r="881" spans="7:20" ht="15.75" customHeight="1">
      <c r="G881" s="20"/>
      <c r="M881" s="484"/>
      <c r="O881" s="20"/>
      <c r="T881" s="64"/>
    </row>
    <row r="882" spans="7:20" ht="15.75" customHeight="1">
      <c r="G882" s="20"/>
      <c r="M882" s="484"/>
      <c r="O882" s="20"/>
      <c r="T882" s="64"/>
    </row>
    <row r="883" spans="7:20" ht="15.75" customHeight="1">
      <c r="G883" s="20"/>
      <c r="M883" s="484"/>
      <c r="O883" s="20"/>
      <c r="T883" s="64"/>
    </row>
    <row r="884" spans="7:20" ht="15.75" customHeight="1">
      <c r="G884" s="20"/>
      <c r="M884" s="484"/>
      <c r="O884" s="20"/>
      <c r="T884" s="64"/>
    </row>
    <row r="885" spans="7:20" ht="15.75" customHeight="1">
      <c r="G885" s="20"/>
      <c r="M885" s="484"/>
      <c r="O885" s="20"/>
      <c r="T885" s="64"/>
    </row>
    <row r="886" spans="7:20" ht="15.75" customHeight="1">
      <c r="G886" s="20"/>
      <c r="M886" s="484"/>
      <c r="O886" s="20"/>
      <c r="T886" s="64"/>
    </row>
    <row r="887" spans="7:20" ht="15.75" customHeight="1">
      <c r="G887" s="20"/>
      <c r="M887" s="484"/>
      <c r="O887" s="20"/>
      <c r="T887" s="64"/>
    </row>
    <row r="888" spans="7:20" ht="15.75" customHeight="1">
      <c r="G888" s="20"/>
      <c r="M888" s="484"/>
      <c r="O888" s="20"/>
      <c r="T888" s="64"/>
    </row>
    <row r="889" spans="7:20" ht="15.75" customHeight="1">
      <c r="G889" s="20"/>
      <c r="M889" s="484"/>
      <c r="O889" s="20"/>
      <c r="T889" s="64"/>
    </row>
    <row r="890" spans="7:20" ht="15.75" customHeight="1">
      <c r="G890" s="20"/>
      <c r="M890" s="484"/>
      <c r="O890" s="20"/>
      <c r="T890" s="64"/>
    </row>
    <row r="891" spans="7:20" ht="15.75" customHeight="1">
      <c r="G891" s="20"/>
      <c r="M891" s="484"/>
      <c r="O891" s="20"/>
      <c r="T891" s="64"/>
    </row>
    <row r="892" spans="7:20" ht="15.75" customHeight="1">
      <c r="G892" s="20"/>
      <c r="M892" s="484"/>
      <c r="O892" s="20"/>
      <c r="T892" s="64"/>
    </row>
    <row r="893" spans="7:20" ht="15.75" customHeight="1">
      <c r="G893" s="20"/>
      <c r="M893" s="484"/>
      <c r="O893" s="20"/>
      <c r="T893" s="64"/>
    </row>
    <row r="894" spans="7:20" ht="15.75" customHeight="1">
      <c r="G894" s="20"/>
      <c r="M894" s="484"/>
      <c r="O894" s="20"/>
      <c r="T894" s="64"/>
    </row>
    <row r="895" spans="7:20" ht="15.75" customHeight="1">
      <c r="G895" s="20"/>
      <c r="M895" s="484"/>
      <c r="O895" s="20"/>
      <c r="T895" s="64"/>
    </row>
    <row r="896" spans="7:20" ht="15.75" customHeight="1">
      <c r="G896" s="20"/>
      <c r="M896" s="484"/>
      <c r="O896" s="20"/>
      <c r="T896" s="64"/>
    </row>
    <row r="897" spans="7:20" ht="15.75" customHeight="1">
      <c r="G897" s="20"/>
      <c r="M897" s="484"/>
      <c r="O897" s="20"/>
      <c r="T897" s="64"/>
    </row>
    <row r="898" spans="7:20" ht="15.75" customHeight="1">
      <c r="G898" s="20"/>
      <c r="M898" s="484"/>
      <c r="O898" s="20"/>
      <c r="T898" s="64"/>
    </row>
    <row r="899" spans="7:20" ht="15.75" customHeight="1">
      <c r="G899" s="20"/>
      <c r="M899" s="484"/>
      <c r="O899" s="20"/>
      <c r="T899" s="64"/>
    </row>
    <row r="900" spans="7:20" ht="15.75" customHeight="1">
      <c r="G900" s="20"/>
      <c r="M900" s="484"/>
      <c r="O900" s="20"/>
      <c r="T900" s="64"/>
    </row>
    <row r="901" spans="7:20" ht="15.75" customHeight="1">
      <c r="G901" s="20"/>
      <c r="M901" s="484"/>
      <c r="O901" s="20"/>
      <c r="T901" s="64"/>
    </row>
    <row r="902" spans="7:20" ht="15.75" customHeight="1">
      <c r="G902" s="20"/>
      <c r="M902" s="484"/>
      <c r="O902" s="20"/>
      <c r="T902" s="64"/>
    </row>
    <row r="903" spans="7:20" ht="15.75" customHeight="1">
      <c r="G903" s="20"/>
      <c r="M903" s="484"/>
      <c r="O903" s="20"/>
      <c r="T903" s="64"/>
    </row>
    <row r="904" spans="7:20" ht="15.75" customHeight="1">
      <c r="G904" s="20"/>
      <c r="M904" s="484"/>
      <c r="O904" s="20"/>
      <c r="T904" s="64"/>
    </row>
    <row r="905" spans="7:20" ht="15.75" customHeight="1">
      <c r="G905" s="20"/>
      <c r="M905" s="484"/>
      <c r="O905" s="20"/>
      <c r="T905" s="64"/>
    </row>
    <row r="906" spans="7:20" ht="15.75" customHeight="1">
      <c r="G906" s="20"/>
      <c r="M906" s="484"/>
      <c r="O906" s="20"/>
      <c r="T906" s="64"/>
    </row>
    <row r="907" spans="7:20" ht="15.75" customHeight="1">
      <c r="G907" s="20"/>
      <c r="M907" s="484"/>
      <c r="O907" s="20"/>
      <c r="T907" s="64"/>
    </row>
    <row r="908" spans="7:20" ht="15.75" customHeight="1">
      <c r="G908" s="20"/>
      <c r="M908" s="484"/>
      <c r="O908" s="20"/>
      <c r="T908" s="64"/>
    </row>
    <row r="909" spans="7:20" ht="15.75" customHeight="1">
      <c r="G909" s="20"/>
      <c r="M909" s="484"/>
      <c r="O909" s="20"/>
      <c r="T909" s="64"/>
    </row>
    <row r="910" spans="7:20" ht="15.75" customHeight="1">
      <c r="G910" s="20"/>
      <c r="M910" s="484"/>
      <c r="O910" s="20"/>
      <c r="T910" s="64"/>
    </row>
    <row r="911" spans="7:20" ht="15.75" customHeight="1">
      <c r="G911" s="20"/>
      <c r="M911" s="484"/>
      <c r="O911" s="20"/>
      <c r="T911" s="64"/>
    </row>
    <row r="912" spans="7:20" ht="15.75" customHeight="1">
      <c r="G912" s="20"/>
      <c r="M912" s="484"/>
      <c r="O912" s="20"/>
      <c r="T912" s="64"/>
    </row>
    <row r="913" spans="7:20" ht="15.75" customHeight="1">
      <c r="G913" s="20"/>
      <c r="M913" s="484"/>
      <c r="O913" s="20"/>
      <c r="T913" s="64"/>
    </row>
    <row r="914" spans="7:20" ht="15.75" customHeight="1">
      <c r="G914" s="20"/>
      <c r="M914" s="484"/>
      <c r="O914" s="20"/>
      <c r="T914" s="64"/>
    </row>
    <row r="915" spans="7:20" ht="15.75" customHeight="1">
      <c r="G915" s="20"/>
      <c r="M915" s="484"/>
      <c r="O915" s="20"/>
      <c r="T915" s="64"/>
    </row>
    <row r="916" spans="7:20" ht="15.75" customHeight="1">
      <c r="G916" s="20"/>
      <c r="M916" s="484"/>
      <c r="O916" s="20"/>
      <c r="T916" s="64"/>
    </row>
    <row r="917" spans="7:20" ht="15.75" customHeight="1">
      <c r="G917" s="20"/>
      <c r="M917" s="484"/>
      <c r="O917" s="20"/>
      <c r="T917" s="64"/>
    </row>
    <row r="918" spans="7:20" ht="15.75" customHeight="1">
      <c r="G918" s="20"/>
      <c r="M918" s="484"/>
      <c r="O918" s="20"/>
      <c r="T918" s="64"/>
    </row>
    <row r="919" spans="7:20" ht="15.75" customHeight="1">
      <c r="G919" s="20"/>
      <c r="M919" s="484"/>
      <c r="O919" s="20"/>
      <c r="T919" s="64"/>
    </row>
    <row r="920" spans="7:20" ht="15.75" customHeight="1">
      <c r="G920" s="20"/>
      <c r="M920" s="484"/>
      <c r="O920" s="20"/>
      <c r="T920" s="64"/>
    </row>
    <row r="921" spans="7:20" ht="15.75" customHeight="1">
      <c r="G921" s="20"/>
      <c r="M921" s="484"/>
      <c r="O921" s="20"/>
      <c r="T921" s="64"/>
    </row>
    <row r="922" spans="7:20" ht="15.75" customHeight="1">
      <c r="G922" s="20"/>
      <c r="M922" s="484"/>
      <c r="O922" s="20"/>
      <c r="T922" s="64"/>
    </row>
    <row r="923" spans="7:20" ht="15.75" customHeight="1">
      <c r="G923" s="20"/>
      <c r="M923" s="484"/>
      <c r="O923" s="20"/>
      <c r="T923" s="64"/>
    </row>
    <row r="924" spans="7:20" ht="15.75" customHeight="1">
      <c r="G924" s="20"/>
      <c r="M924" s="484"/>
      <c r="O924" s="20"/>
      <c r="T924" s="64"/>
    </row>
    <row r="925" spans="7:20" ht="15.75" customHeight="1">
      <c r="G925" s="20"/>
      <c r="M925" s="484"/>
      <c r="O925" s="20"/>
      <c r="T925" s="64"/>
    </row>
    <row r="926" spans="7:20" ht="15.75" customHeight="1">
      <c r="G926" s="20"/>
      <c r="M926" s="484"/>
      <c r="O926" s="20"/>
      <c r="T926" s="64"/>
    </row>
    <row r="927" spans="7:20" ht="15.75" customHeight="1">
      <c r="G927" s="20"/>
      <c r="M927" s="484"/>
      <c r="O927" s="20"/>
      <c r="T927" s="64"/>
    </row>
    <row r="928" spans="7:20" ht="15.75" customHeight="1">
      <c r="G928" s="20"/>
      <c r="M928" s="484"/>
      <c r="O928" s="20"/>
      <c r="T928" s="64"/>
    </row>
    <row r="929" spans="7:20" ht="15.75" customHeight="1">
      <c r="G929" s="20"/>
      <c r="M929" s="484"/>
      <c r="O929" s="20"/>
      <c r="T929" s="64"/>
    </row>
    <row r="930" spans="7:20" ht="15.75" customHeight="1">
      <c r="G930" s="20"/>
      <c r="M930" s="484"/>
      <c r="O930" s="20"/>
      <c r="T930" s="64"/>
    </row>
    <row r="931" spans="7:20" ht="15.75" customHeight="1">
      <c r="G931" s="20"/>
      <c r="M931" s="484"/>
      <c r="O931" s="20"/>
      <c r="T931" s="64"/>
    </row>
    <row r="932" spans="7:20" ht="15.75" customHeight="1">
      <c r="G932" s="20"/>
      <c r="M932" s="484"/>
      <c r="O932" s="20"/>
      <c r="T932" s="64"/>
    </row>
    <row r="933" spans="7:20" ht="15.75" customHeight="1">
      <c r="G933" s="20"/>
      <c r="M933" s="484"/>
      <c r="O933" s="20"/>
      <c r="T933" s="64"/>
    </row>
    <row r="934" spans="7:20" ht="15.75" customHeight="1">
      <c r="G934" s="20"/>
      <c r="M934" s="484"/>
      <c r="O934" s="20"/>
      <c r="T934" s="64"/>
    </row>
    <row r="935" spans="7:20" ht="15.75" customHeight="1">
      <c r="G935" s="20"/>
      <c r="M935" s="484"/>
      <c r="O935" s="20"/>
      <c r="T935" s="64"/>
    </row>
    <row r="936" spans="7:20" ht="15.75" customHeight="1">
      <c r="G936" s="20"/>
      <c r="M936" s="484"/>
      <c r="O936" s="20"/>
      <c r="T936" s="64"/>
    </row>
    <row r="937" spans="7:20" ht="15.75" customHeight="1">
      <c r="G937" s="20"/>
      <c r="M937" s="484"/>
      <c r="O937" s="20"/>
      <c r="T937" s="64"/>
    </row>
    <row r="938" spans="7:20" ht="15.75" customHeight="1">
      <c r="G938" s="20"/>
      <c r="M938" s="484"/>
      <c r="O938" s="20"/>
      <c r="T938" s="64"/>
    </row>
    <row r="939" spans="7:20" ht="15.75" customHeight="1">
      <c r="G939" s="20"/>
      <c r="M939" s="484"/>
      <c r="O939" s="20"/>
      <c r="T939" s="64"/>
    </row>
    <row r="940" spans="7:20" ht="15.75" customHeight="1">
      <c r="G940" s="20"/>
      <c r="M940" s="484"/>
      <c r="O940" s="20"/>
      <c r="T940" s="64"/>
    </row>
    <row r="941" spans="7:20" ht="15.75" customHeight="1">
      <c r="G941" s="20"/>
      <c r="M941" s="484"/>
      <c r="O941" s="20"/>
      <c r="T941" s="64"/>
    </row>
    <row r="942" spans="7:20" ht="15.75" customHeight="1">
      <c r="G942" s="20"/>
      <c r="M942" s="484"/>
      <c r="O942" s="20"/>
      <c r="T942" s="64"/>
    </row>
    <row r="943" spans="7:20" ht="15.75" customHeight="1">
      <c r="G943" s="20"/>
      <c r="M943" s="484"/>
      <c r="O943" s="20"/>
      <c r="T943" s="64"/>
    </row>
    <row r="944" spans="7:20" ht="15.75" customHeight="1">
      <c r="G944" s="20"/>
      <c r="M944" s="484"/>
      <c r="O944" s="20"/>
      <c r="T944" s="64"/>
    </row>
    <row r="945" spans="7:20" ht="15.75" customHeight="1">
      <c r="G945" s="20"/>
      <c r="M945" s="484"/>
      <c r="O945" s="20"/>
      <c r="T945" s="64"/>
    </row>
    <row r="946" spans="7:20" ht="15.75" customHeight="1">
      <c r="G946" s="20"/>
      <c r="M946" s="484"/>
      <c r="O946" s="20"/>
      <c r="T946" s="64"/>
    </row>
    <row r="947" spans="7:20" ht="15.75" customHeight="1">
      <c r="G947" s="20"/>
      <c r="M947" s="484"/>
      <c r="O947" s="20"/>
      <c r="T947" s="64"/>
    </row>
    <row r="948" spans="7:20" ht="15.75" customHeight="1">
      <c r="G948" s="20"/>
      <c r="M948" s="484"/>
      <c r="O948" s="20"/>
      <c r="T948" s="64"/>
    </row>
    <row r="949" spans="7:20" ht="15.75" customHeight="1">
      <c r="G949" s="20"/>
      <c r="M949" s="484"/>
      <c r="O949" s="20"/>
      <c r="T949" s="64"/>
    </row>
    <row r="950" spans="7:20" ht="15.75" customHeight="1">
      <c r="G950" s="20"/>
      <c r="M950" s="484"/>
      <c r="O950" s="20"/>
      <c r="T950" s="64"/>
    </row>
    <row r="951" spans="7:20" ht="15.75" customHeight="1">
      <c r="G951" s="20"/>
      <c r="M951" s="484"/>
      <c r="O951" s="20"/>
      <c r="T951" s="64"/>
    </row>
    <row r="952" spans="7:20" ht="15.75" customHeight="1">
      <c r="G952" s="20"/>
      <c r="M952" s="484"/>
      <c r="O952" s="20"/>
      <c r="T952" s="64"/>
    </row>
    <row r="953" spans="7:20" ht="15.75" customHeight="1">
      <c r="G953" s="20"/>
      <c r="M953" s="484"/>
      <c r="O953" s="20"/>
      <c r="T953" s="64"/>
    </row>
    <row r="954" spans="7:20" ht="15.75" customHeight="1">
      <c r="G954" s="20"/>
      <c r="M954" s="484"/>
      <c r="O954" s="20"/>
      <c r="T954" s="64"/>
    </row>
    <row r="955" spans="7:20" ht="15.75" customHeight="1">
      <c r="G955" s="20"/>
      <c r="M955" s="484"/>
      <c r="O955" s="20"/>
      <c r="T955" s="64"/>
    </row>
    <row r="956" spans="7:20" ht="15.75" customHeight="1">
      <c r="G956" s="20"/>
      <c r="M956" s="484"/>
      <c r="O956" s="20"/>
      <c r="T956" s="64"/>
    </row>
    <row r="957" spans="7:20" ht="15.75" customHeight="1">
      <c r="G957" s="20"/>
      <c r="M957" s="484"/>
      <c r="O957" s="20"/>
      <c r="T957" s="64"/>
    </row>
    <row r="958" spans="7:20" ht="15.75" customHeight="1">
      <c r="G958" s="20"/>
      <c r="M958" s="484"/>
      <c r="O958" s="20"/>
      <c r="T958" s="64"/>
    </row>
    <row r="959" spans="7:20" ht="15.75" customHeight="1">
      <c r="G959" s="20"/>
      <c r="M959" s="484"/>
      <c r="O959" s="20"/>
      <c r="T959" s="64"/>
    </row>
    <row r="960" spans="7:20" ht="15.75" customHeight="1">
      <c r="G960" s="20"/>
      <c r="M960" s="484"/>
      <c r="O960" s="20"/>
      <c r="T960" s="64"/>
    </row>
    <row r="961" spans="7:20" ht="15.75" customHeight="1">
      <c r="G961" s="20"/>
      <c r="M961" s="484"/>
      <c r="O961" s="20"/>
      <c r="T961" s="64"/>
    </row>
    <row r="962" spans="7:20" ht="15.75" customHeight="1">
      <c r="G962" s="20"/>
      <c r="M962" s="484"/>
      <c r="O962" s="20"/>
      <c r="T962" s="64"/>
    </row>
    <row r="963" spans="7:20" ht="15.75" customHeight="1">
      <c r="G963" s="20"/>
      <c r="M963" s="484"/>
      <c r="O963" s="20"/>
      <c r="T963" s="64"/>
    </row>
    <row r="964" spans="7:20" ht="15.75" customHeight="1">
      <c r="G964" s="20"/>
      <c r="M964" s="484"/>
      <c r="O964" s="20"/>
      <c r="T964" s="64"/>
    </row>
    <row r="965" spans="7:20" ht="15.75" customHeight="1">
      <c r="G965" s="20"/>
      <c r="M965" s="484"/>
      <c r="O965" s="20"/>
      <c r="T965" s="64"/>
    </row>
    <row r="966" spans="7:20" ht="15.75" customHeight="1">
      <c r="G966" s="20"/>
      <c r="M966" s="484"/>
      <c r="O966" s="20"/>
      <c r="T966" s="64"/>
    </row>
    <row r="967" spans="7:20" ht="15.75" customHeight="1">
      <c r="G967" s="20"/>
      <c r="M967" s="484"/>
      <c r="O967" s="20"/>
      <c r="T967" s="64"/>
    </row>
    <row r="968" spans="7:20" ht="15.75" customHeight="1">
      <c r="G968" s="20"/>
      <c r="M968" s="484"/>
      <c r="O968" s="20"/>
      <c r="T968" s="64"/>
    </row>
    <row r="969" spans="7:20" ht="15.75" customHeight="1">
      <c r="G969" s="20"/>
      <c r="M969" s="484"/>
      <c r="O969" s="20"/>
      <c r="T969" s="64"/>
    </row>
    <row r="970" spans="7:20" ht="15.75" customHeight="1">
      <c r="G970" s="20"/>
      <c r="M970" s="484"/>
      <c r="O970" s="20"/>
      <c r="T970" s="64"/>
    </row>
    <row r="971" spans="7:20" ht="15.75" customHeight="1">
      <c r="G971" s="20"/>
      <c r="M971" s="484"/>
      <c r="O971" s="20"/>
      <c r="T971" s="64"/>
    </row>
    <row r="972" spans="7:20" ht="15.75" customHeight="1">
      <c r="G972" s="20"/>
      <c r="M972" s="484"/>
      <c r="O972" s="20"/>
      <c r="T972" s="64"/>
    </row>
    <row r="973" spans="7:20" ht="15.75" customHeight="1">
      <c r="G973" s="20"/>
      <c r="M973" s="484"/>
      <c r="O973" s="20"/>
      <c r="T973" s="64"/>
    </row>
    <row r="974" spans="7:20">
      <c r="G974" s="20"/>
      <c r="M974" s="484"/>
      <c r="O974" s="20"/>
      <c r="T974" s="64"/>
    </row>
    <row r="975" spans="7:20">
      <c r="G975" s="20"/>
      <c r="M975" s="484"/>
      <c r="O975" s="20"/>
      <c r="T975" s="64"/>
    </row>
    <row r="976" spans="7:20">
      <c r="G976" s="20"/>
      <c r="M976" s="484"/>
      <c r="O976" s="20"/>
      <c r="T976" s="64"/>
    </row>
    <row r="977" spans="7:20">
      <c r="G977" s="20"/>
      <c r="M977" s="484"/>
      <c r="O977" s="20"/>
      <c r="T977" s="64"/>
    </row>
    <row r="978" spans="7:20">
      <c r="G978" s="20"/>
      <c r="M978" s="484"/>
      <c r="O978" s="20"/>
      <c r="T978" s="64"/>
    </row>
    <row r="979" spans="7:20">
      <c r="G979" s="20"/>
      <c r="M979" s="484"/>
      <c r="O979" s="20"/>
      <c r="T979" s="64"/>
    </row>
    <row r="980" spans="7:20">
      <c r="G980" s="20"/>
      <c r="M980" s="484"/>
      <c r="O980" s="20"/>
      <c r="T980" s="64"/>
    </row>
    <row r="981" spans="7:20">
      <c r="G981" s="20"/>
      <c r="M981" s="484"/>
      <c r="O981" s="20"/>
      <c r="T981" s="64"/>
    </row>
    <row r="982" spans="7:20">
      <c r="G982" s="20"/>
      <c r="M982" s="484"/>
      <c r="O982" s="20"/>
      <c r="T982" s="64"/>
    </row>
    <row r="983" spans="7:20">
      <c r="G983" s="20"/>
      <c r="M983" s="484"/>
      <c r="O983" s="20"/>
      <c r="T983" s="64"/>
    </row>
    <row r="984" spans="7:20">
      <c r="G984" s="20"/>
      <c r="M984" s="484"/>
      <c r="O984" s="20"/>
      <c r="T984" s="64"/>
    </row>
    <row r="985" spans="7:20">
      <c r="G985" s="20"/>
      <c r="M985" s="484"/>
      <c r="O985" s="20"/>
      <c r="T985" s="64"/>
    </row>
  </sheetData>
  <autoFilter ref="A1:V337" xr:uid="{00000000-0009-0000-0000-000003000000}"/>
  <conditionalFormatting sqref="T1:T985">
    <cfRule type="notContainsBlanks" dxfId="0" priority="1">
      <formula>LEN(TRIM(T1))&gt;0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9"/>
  <sheetViews>
    <sheetView workbookViewId="0">
      <pane ySplit="1" topLeftCell="A326" activePane="bottomLeft" state="frozen"/>
      <selection activeCell="A348" activeCellId="11" sqref="A10:XFD10 A226:XFD226 A230:XFD230 A229:XFD229 A228:XFD228 A227:XFD227 A292:XFD292 A333:XFD333 A334:XFD334 A346:XFD346 A347:XFD347 A348:XFD348"/>
      <selection pane="bottomLeft" activeCell="A348" activeCellId="11" sqref="A10:XFD10 A226:XFD226 A230:XFD230 A229:XFD229 A228:XFD228 A227:XFD227 A292:XFD292 A333:XFD333 A334:XFD334 A346:XFD346 A347:XFD347 A348:XFD348"/>
    </sheetView>
  </sheetViews>
  <sheetFormatPr defaultColWidth="12.5703125" defaultRowHeight="15" customHeight="1"/>
  <cols>
    <col min="1" max="1" width="13.28515625" customWidth="1"/>
    <col min="2" max="2" width="12.85546875" customWidth="1"/>
    <col min="3" max="8" width="9.42578125" customWidth="1"/>
    <col min="9" max="9" width="11.28515625" customWidth="1"/>
    <col min="10" max="11" width="9.42578125" customWidth="1"/>
    <col min="12" max="12" width="21.85546875" customWidth="1"/>
    <col min="13" max="14" width="10.7109375" customWidth="1"/>
    <col min="15" max="15" width="9.42578125" customWidth="1"/>
    <col min="16" max="17" width="18.5703125" customWidth="1"/>
    <col min="18" max="18" width="21.7109375" customWidth="1"/>
    <col min="19" max="29" width="9.42578125" customWidth="1"/>
  </cols>
  <sheetData>
    <row r="1" spans="1:29">
      <c r="A1" s="417" t="s">
        <v>218</v>
      </c>
      <c r="B1" s="418" t="s">
        <v>219</v>
      </c>
      <c r="C1" s="419" t="s">
        <v>293</v>
      </c>
      <c r="D1" s="418" t="s">
        <v>294</v>
      </c>
      <c r="E1" s="419" t="s">
        <v>295</v>
      </c>
      <c r="F1" s="419" t="s">
        <v>296</v>
      </c>
      <c r="G1" s="419" t="s">
        <v>297</v>
      </c>
      <c r="H1" s="418" t="s">
        <v>298</v>
      </c>
      <c r="I1" s="418" t="s">
        <v>299</v>
      </c>
      <c r="J1" s="419" t="s">
        <v>300</v>
      </c>
      <c r="K1" s="419" t="s">
        <v>301</v>
      </c>
      <c r="L1" s="418" t="s">
        <v>302</v>
      </c>
      <c r="M1" s="419" t="s">
        <v>303</v>
      </c>
      <c r="N1" s="418" t="s">
        <v>304</v>
      </c>
      <c r="O1" s="419" t="s">
        <v>305</v>
      </c>
      <c r="P1" s="419" t="s">
        <v>306</v>
      </c>
      <c r="Q1" s="418" t="s">
        <v>307</v>
      </c>
      <c r="R1" s="65" t="s">
        <v>554</v>
      </c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</row>
    <row r="2" spans="1:29">
      <c r="A2" s="201">
        <v>1</v>
      </c>
      <c r="B2" s="58">
        <v>1</v>
      </c>
      <c r="C2" s="420"/>
      <c r="D2" s="420"/>
      <c r="E2" s="420">
        <v>125</v>
      </c>
      <c r="F2" s="420"/>
      <c r="G2" s="420"/>
      <c r="H2" s="420">
        <v>168</v>
      </c>
      <c r="I2" s="420"/>
      <c r="J2" s="420"/>
      <c r="K2" s="420"/>
      <c r="L2" s="421" t="s">
        <v>308</v>
      </c>
      <c r="M2" s="420"/>
      <c r="N2" s="420"/>
      <c r="O2" s="420"/>
      <c r="P2" s="420"/>
      <c r="Q2" s="420"/>
      <c r="R2" s="422"/>
      <c r="S2" s="66"/>
      <c r="T2" s="66"/>
      <c r="U2" s="66"/>
    </row>
    <row r="3" spans="1:29" ht="15.75" customHeight="1">
      <c r="A3" s="200">
        <v>1</v>
      </c>
      <c r="B3" s="59">
        <v>2</v>
      </c>
      <c r="C3" s="423"/>
      <c r="D3" s="423"/>
      <c r="E3" s="423">
        <v>125</v>
      </c>
      <c r="F3" s="423"/>
      <c r="G3" s="423"/>
      <c r="H3" s="423">
        <v>168</v>
      </c>
      <c r="I3" s="423"/>
      <c r="J3" s="423"/>
      <c r="K3" s="423"/>
      <c r="L3" s="424" t="s">
        <v>308</v>
      </c>
      <c r="M3" s="423"/>
      <c r="N3" s="423"/>
      <c r="O3" s="423"/>
      <c r="P3" s="423"/>
      <c r="Q3" s="423"/>
      <c r="R3" s="425"/>
    </row>
    <row r="4" spans="1:29" ht="15.75" customHeight="1">
      <c r="A4" s="200">
        <v>1</v>
      </c>
      <c r="B4" s="59">
        <v>3</v>
      </c>
      <c r="C4" s="420"/>
      <c r="D4" s="420"/>
      <c r="E4" s="420">
        <v>125</v>
      </c>
      <c r="F4" s="420"/>
      <c r="G4" s="420"/>
      <c r="H4" s="420">
        <v>168</v>
      </c>
      <c r="I4" s="420"/>
      <c r="J4" s="420"/>
      <c r="K4" s="420"/>
      <c r="L4" s="421" t="s">
        <v>308</v>
      </c>
      <c r="M4" s="420"/>
      <c r="N4" s="420"/>
      <c r="O4" s="420"/>
      <c r="P4" s="420"/>
      <c r="Q4" s="420"/>
      <c r="R4" s="422"/>
    </row>
    <row r="5" spans="1:29" ht="15.75" customHeight="1">
      <c r="A5" s="174">
        <v>1</v>
      </c>
      <c r="B5" s="179">
        <v>4</v>
      </c>
      <c r="C5" s="423"/>
      <c r="D5" s="423"/>
      <c r="E5" s="423">
        <v>125</v>
      </c>
      <c r="F5" s="423"/>
      <c r="G5" s="423"/>
      <c r="H5" s="423">
        <v>168</v>
      </c>
      <c r="I5" s="423"/>
      <c r="J5" s="423"/>
      <c r="K5" s="423"/>
      <c r="L5" s="424" t="s">
        <v>308</v>
      </c>
      <c r="M5" s="423"/>
      <c r="N5" s="423"/>
      <c r="O5" s="423"/>
      <c r="P5" s="423"/>
      <c r="Q5" s="423"/>
      <c r="R5" s="425"/>
    </row>
    <row r="6" spans="1:29" ht="15.75" customHeight="1">
      <c r="A6" s="174">
        <v>1</v>
      </c>
      <c r="B6" s="179">
        <v>5</v>
      </c>
      <c r="C6" s="426"/>
      <c r="D6" s="426"/>
      <c r="E6" s="426">
        <v>125</v>
      </c>
      <c r="F6" s="426"/>
      <c r="G6" s="426"/>
      <c r="H6" s="426">
        <v>168</v>
      </c>
      <c r="I6" s="426"/>
      <c r="J6" s="426"/>
      <c r="K6" s="426"/>
      <c r="L6" s="427" t="s">
        <v>308</v>
      </c>
      <c r="M6" s="426"/>
      <c r="N6" s="426"/>
      <c r="O6" s="426"/>
      <c r="P6" s="426"/>
      <c r="Q6" s="426"/>
      <c r="R6" s="422"/>
    </row>
    <row r="7" spans="1:29" ht="15.75" customHeight="1">
      <c r="A7" s="177">
        <v>2</v>
      </c>
      <c r="B7" s="178">
        <v>1</v>
      </c>
      <c r="C7" s="428">
        <v>3</v>
      </c>
      <c r="D7" s="429"/>
      <c r="E7" s="429"/>
      <c r="F7" s="429"/>
      <c r="G7" s="428">
        <v>89</v>
      </c>
      <c r="H7" s="428">
        <v>172</v>
      </c>
      <c r="I7" s="429"/>
      <c r="J7" s="429"/>
      <c r="K7" s="429"/>
      <c r="L7" s="428" t="s">
        <v>308</v>
      </c>
      <c r="M7" s="428">
        <v>92</v>
      </c>
      <c r="N7" s="429"/>
      <c r="O7" s="429"/>
      <c r="P7" s="429"/>
      <c r="Q7" s="428" t="s">
        <v>309</v>
      </c>
      <c r="R7" s="430">
        <v>63</v>
      </c>
    </row>
    <row r="8" spans="1:29" ht="15.75" customHeight="1">
      <c r="A8" s="174">
        <v>2</v>
      </c>
      <c r="B8" s="179">
        <v>2</v>
      </c>
      <c r="C8" s="421">
        <v>7</v>
      </c>
      <c r="D8" s="420"/>
      <c r="E8" s="420"/>
      <c r="F8" s="420"/>
      <c r="G8" s="421">
        <v>132</v>
      </c>
      <c r="H8" s="421">
        <v>174</v>
      </c>
      <c r="I8" s="420"/>
      <c r="J8" s="420"/>
      <c r="K8" s="420"/>
      <c r="L8" s="421" t="s">
        <v>308</v>
      </c>
      <c r="M8" s="421">
        <v>90</v>
      </c>
      <c r="N8" s="420"/>
      <c r="O8" s="420"/>
      <c r="P8" s="420"/>
      <c r="Q8" s="421" t="s">
        <v>309</v>
      </c>
      <c r="R8" s="431">
        <v>61</v>
      </c>
    </row>
    <row r="9" spans="1:29" ht="15.75" customHeight="1">
      <c r="A9" s="174">
        <v>2</v>
      </c>
      <c r="B9" s="179">
        <v>3</v>
      </c>
      <c r="C9" s="424">
        <v>17</v>
      </c>
      <c r="D9" s="423"/>
      <c r="E9" s="423"/>
      <c r="F9" s="423"/>
      <c r="G9" s="424">
        <v>86</v>
      </c>
      <c r="H9" s="424">
        <v>165</v>
      </c>
      <c r="I9" s="423"/>
      <c r="J9" s="423"/>
      <c r="K9" s="423"/>
      <c r="L9" s="424" t="s">
        <v>308</v>
      </c>
      <c r="M9" s="424">
        <v>31</v>
      </c>
      <c r="N9" s="423"/>
      <c r="O9" s="423"/>
      <c r="P9" s="423"/>
      <c r="Q9" s="424" t="s">
        <v>309</v>
      </c>
      <c r="R9" s="432">
        <v>21</v>
      </c>
    </row>
    <row r="10" spans="1:29" ht="15.75" customHeight="1">
      <c r="A10" s="181">
        <v>3</v>
      </c>
      <c r="B10" s="178">
        <v>1</v>
      </c>
      <c r="C10" s="222">
        <v>3.8</v>
      </c>
      <c r="D10" s="331"/>
      <c r="E10" s="222">
        <v>46.6</v>
      </c>
      <c r="F10" s="331"/>
      <c r="G10" s="222">
        <v>63.2</v>
      </c>
      <c r="H10" s="331"/>
      <c r="I10" s="331"/>
      <c r="J10" s="331"/>
      <c r="K10" s="331"/>
      <c r="L10" s="222" t="s">
        <v>308</v>
      </c>
      <c r="M10" s="222">
        <v>83.3</v>
      </c>
      <c r="N10" s="331"/>
      <c r="O10" s="222">
        <v>72.8</v>
      </c>
      <c r="P10" s="222">
        <v>15.3</v>
      </c>
      <c r="Q10" s="222" t="s">
        <v>309</v>
      </c>
      <c r="R10" s="433"/>
    </row>
    <row r="11" spans="1:29" ht="15.75" customHeight="1">
      <c r="A11" s="182">
        <v>3</v>
      </c>
      <c r="B11" s="179">
        <v>2</v>
      </c>
      <c r="C11" s="37">
        <v>4.5999999999999996</v>
      </c>
      <c r="D11" s="415"/>
      <c r="E11" s="37">
        <v>46.7</v>
      </c>
      <c r="F11" s="415"/>
      <c r="G11" s="37">
        <v>62.9</v>
      </c>
      <c r="H11" s="415"/>
      <c r="I11" s="415"/>
      <c r="J11" s="415"/>
      <c r="K11" s="415"/>
      <c r="L11" s="37" t="s">
        <v>308</v>
      </c>
      <c r="M11" s="37">
        <v>83.1</v>
      </c>
      <c r="N11" s="415"/>
      <c r="O11" s="37">
        <v>30</v>
      </c>
      <c r="P11" s="37">
        <v>45</v>
      </c>
      <c r="Q11" s="37" t="s">
        <v>309</v>
      </c>
      <c r="R11" s="434"/>
    </row>
    <row r="12" spans="1:29" ht="15.75" customHeight="1">
      <c r="A12" s="182">
        <v>3</v>
      </c>
      <c r="B12" s="179">
        <v>3</v>
      </c>
      <c r="C12" s="40">
        <v>3.8</v>
      </c>
      <c r="D12" s="416"/>
      <c r="E12" s="40">
        <v>41.6</v>
      </c>
      <c r="F12" s="416"/>
      <c r="G12" s="40">
        <v>47.3</v>
      </c>
      <c r="H12" s="416"/>
      <c r="I12" s="416"/>
      <c r="J12" s="416"/>
      <c r="K12" s="416"/>
      <c r="L12" s="40" t="s">
        <v>308</v>
      </c>
      <c r="M12" s="40">
        <v>83.7</v>
      </c>
      <c r="N12" s="416"/>
      <c r="O12" s="40">
        <v>50</v>
      </c>
      <c r="P12" s="40">
        <v>27.9</v>
      </c>
      <c r="Q12" s="40" t="s">
        <v>309</v>
      </c>
      <c r="R12" s="435"/>
    </row>
    <row r="13" spans="1:29" ht="15.75" customHeight="1">
      <c r="A13" s="182">
        <v>3</v>
      </c>
      <c r="B13" s="179">
        <v>4</v>
      </c>
      <c r="C13" s="37">
        <v>4.7</v>
      </c>
      <c r="D13" s="415"/>
      <c r="E13" s="37">
        <v>41.2</v>
      </c>
      <c r="F13" s="415"/>
      <c r="G13" s="37">
        <v>62.2</v>
      </c>
      <c r="H13" s="415"/>
      <c r="I13" s="415"/>
      <c r="J13" s="415"/>
      <c r="K13" s="415"/>
      <c r="L13" s="37" t="s">
        <v>308</v>
      </c>
      <c r="M13" s="37">
        <v>82.3</v>
      </c>
      <c r="N13" s="415"/>
      <c r="O13" s="37">
        <v>15.7</v>
      </c>
      <c r="P13" s="37">
        <v>49.7</v>
      </c>
      <c r="Q13" s="37" t="s">
        <v>309</v>
      </c>
      <c r="R13" s="434"/>
    </row>
    <row r="14" spans="1:29" ht="15.75" customHeight="1">
      <c r="A14" s="181">
        <v>4</v>
      </c>
      <c r="B14" s="178">
        <v>1</v>
      </c>
      <c r="C14" s="222"/>
      <c r="D14" s="331"/>
      <c r="E14" s="222"/>
      <c r="F14" s="331"/>
      <c r="G14" s="222"/>
      <c r="H14" s="331"/>
      <c r="I14" s="331"/>
      <c r="J14" s="331"/>
      <c r="K14" s="331"/>
      <c r="L14" s="222"/>
      <c r="M14" s="222"/>
      <c r="N14" s="331"/>
      <c r="O14" s="222"/>
      <c r="P14" s="222"/>
      <c r="Q14" s="222"/>
      <c r="R14" s="436"/>
    </row>
    <row r="15" spans="1:29" ht="15.75" customHeight="1">
      <c r="A15" s="182">
        <v>4</v>
      </c>
      <c r="B15" s="179">
        <v>2</v>
      </c>
      <c r="C15" s="37"/>
      <c r="D15" s="415"/>
      <c r="E15" s="37"/>
      <c r="F15" s="415"/>
      <c r="G15" s="37"/>
      <c r="H15" s="415"/>
      <c r="I15" s="415"/>
      <c r="J15" s="415"/>
      <c r="K15" s="415"/>
      <c r="L15" s="37"/>
      <c r="M15" s="37"/>
      <c r="N15" s="415"/>
      <c r="O15" s="37"/>
      <c r="P15" s="37"/>
      <c r="Q15" s="37"/>
      <c r="R15" s="437"/>
    </row>
    <row r="16" spans="1:29" ht="15.75" customHeight="1">
      <c r="A16" s="183">
        <v>4</v>
      </c>
      <c r="B16" s="180">
        <v>3</v>
      </c>
      <c r="C16" s="235"/>
      <c r="D16" s="438"/>
      <c r="E16" s="235"/>
      <c r="F16" s="438"/>
      <c r="G16" s="235"/>
      <c r="H16" s="438"/>
      <c r="I16" s="438"/>
      <c r="J16" s="438"/>
      <c r="K16" s="438"/>
      <c r="L16" s="235"/>
      <c r="M16" s="235"/>
      <c r="N16" s="438"/>
      <c r="O16" s="235"/>
      <c r="P16" s="235"/>
      <c r="Q16" s="235"/>
      <c r="R16" s="439"/>
    </row>
    <row r="17" spans="1:18" ht="15.75" customHeight="1">
      <c r="A17" s="181">
        <v>5</v>
      </c>
      <c r="B17" s="178">
        <v>1</v>
      </c>
      <c r="C17" s="206"/>
      <c r="D17" s="206"/>
      <c r="E17" s="199">
        <v>91</v>
      </c>
      <c r="F17" s="206"/>
      <c r="G17" s="206"/>
      <c r="H17" s="206"/>
      <c r="I17" s="199">
        <v>170</v>
      </c>
      <c r="J17" s="206"/>
      <c r="K17" s="206"/>
      <c r="L17" s="199" t="s">
        <v>308</v>
      </c>
      <c r="M17" s="206"/>
      <c r="N17" s="206"/>
      <c r="O17" s="199">
        <v>74</v>
      </c>
      <c r="P17" s="206"/>
      <c r="Q17" s="199" t="s">
        <v>309</v>
      </c>
      <c r="R17" s="189">
        <v>64.3</v>
      </c>
    </row>
    <row r="18" spans="1:18" ht="15.75" customHeight="1">
      <c r="A18" s="182">
        <v>5</v>
      </c>
      <c r="B18" s="179">
        <v>2</v>
      </c>
      <c r="C18" s="2"/>
      <c r="D18" s="2"/>
      <c r="E18" s="12">
        <v>71</v>
      </c>
      <c r="F18" s="2"/>
      <c r="G18" s="2"/>
      <c r="H18" s="12">
        <v>163</v>
      </c>
      <c r="I18" s="12">
        <v>172</v>
      </c>
      <c r="J18" s="2"/>
      <c r="K18" s="2"/>
      <c r="L18" s="12" t="s">
        <v>308</v>
      </c>
      <c r="M18" s="2"/>
      <c r="N18" s="2"/>
      <c r="O18" s="12">
        <v>47</v>
      </c>
      <c r="P18" s="2"/>
      <c r="Q18" s="12" t="s">
        <v>309</v>
      </c>
      <c r="R18" s="192">
        <v>62.3</v>
      </c>
    </row>
    <row r="19" spans="1:18" ht="15.75" customHeight="1">
      <c r="A19" s="182">
        <v>5</v>
      </c>
      <c r="B19" s="179">
        <v>3</v>
      </c>
      <c r="C19" s="2"/>
      <c r="D19" s="2"/>
      <c r="E19" s="12">
        <v>60</v>
      </c>
      <c r="F19" s="2"/>
      <c r="G19" s="2"/>
      <c r="H19" s="12">
        <v>160</v>
      </c>
      <c r="I19" s="12">
        <v>170</v>
      </c>
      <c r="J19" s="2"/>
      <c r="K19" s="2"/>
      <c r="L19" s="12" t="s">
        <v>308</v>
      </c>
      <c r="M19" s="2"/>
      <c r="N19" s="2"/>
      <c r="O19" s="12">
        <v>34</v>
      </c>
      <c r="P19" s="2"/>
      <c r="Q19" s="12" t="s">
        <v>309</v>
      </c>
      <c r="R19" s="192">
        <v>64.2</v>
      </c>
    </row>
    <row r="20" spans="1:18" ht="15.75" customHeight="1">
      <c r="A20" s="182">
        <v>5</v>
      </c>
      <c r="B20" s="179">
        <v>4</v>
      </c>
      <c r="C20" s="2"/>
      <c r="D20" s="2"/>
      <c r="E20" s="12">
        <v>66</v>
      </c>
      <c r="F20" s="2"/>
      <c r="G20" s="2"/>
      <c r="H20" s="12">
        <v>158</v>
      </c>
      <c r="I20" s="12">
        <v>170</v>
      </c>
      <c r="J20" s="2"/>
      <c r="K20" s="2"/>
      <c r="L20" s="12" t="s">
        <v>308</v>
      </c>
      <c r="M20" s="2"/>
      <c r="N20" s="2"/>
      <c r="O20" s="12">
        <v>33</v>
      </c>
      <c r="P20" s="2"/>
      <c r="Q20" s="12" t="s">
        <v>309</v>
      </c>
      <c r="R20" s="192">
        <v>64.8</v>
      </c>
    </row>
    <row r="21" spans="1:18" ht="15.75" customHeight="1">
      <c r="A21" s="182">
        <v>5</v>
      </c>
      <c r="B21" s="179">
        <v>5</v>
      </c>
      <c r="C21" s="2"/>
      <c r="D21" s="2"/>
      <c r="E21" s="12">
        <v>71</v>
      </c>
      <c r="F21" s="2"/>
      <c r="G21" s="2"/>
      <c r="H21" s="12">
        <v>158</v>
      </c>
      <c r="I21" s="12">
        <v>170</v>
      </c>
      <c r="J21" s="2"/>
      <c r="K21" s="2"/>
      <c r="L21" s="12" t="s">
        <v>308</v>
      </c>
      <c r="M21" s="2"/>
      <c r="N21" s="2"/>
      <c r="O21" s="12">
        <v>34</v>
      </c>
      <c r="P21" s="2"/>
      <c r="Q21" s="12" t="s">
        <v>309</v>
      </c>
      <c r="R21" s="192">
        <v>64.8</v>
      </c>
    </row>
    <row r="22" spans="1:18" ht="15.75" customHeight="1">
      <c r="A22" s="183">
        <v>5</v>
      </c>
      <c r="B22" s="180">
        <v>6</v>
      </c>
      <c r="C22" s="30"/>
      <c r="D22" s="30"/>
      <c r="E22" s="24">
        <v>77</v>
      </c>
      <c r="F22" s="30"/>
      <c r="G22" s="30"/>
      <c r="H22" s="24">
        <v>167</v>
      </c>
      <c r="I22" s="24">
        <v>174</v>
      </c>
      <c r="J22" s="30"/>
      <c r="K22" s="30"/>
      <c r="L22" s="24" t="s">
        <v>308</v>
      </c>
      <c r="M22" s="30"/>
      <c r="N22" s="30"/>
      <c r="O22" s="24">
        <v>49</v>
      </c>
      <c r="P22" s="30"/>
      <c r="Q22" s="24" t="s">
        <v>309</v>
      </c>
      <c r="R22" s="193">
        <v>64.5</v>
      </c>
    </row>
    <row r="23" spans="1:18" ht="15.75" customHeight="1">
      <c r="A23" s="182">
        <v>6</v>
      </c>
      <c r="B23" s="179">
        <v>1</v>
      </c>
      <c r="C23" s="12">
        <v>-1.3</v>
      </c>
      <c r="D23" s="2"/>
      <c r="E23" s="2"/>
      <c r="F23" s="2"/>
      <c r="G23" s="12">
        <v>53</v>
      </c>
      <c r="H23" s="12">
        <v>167.8</v>
      </c>
      <c r="I23" s="2"/>
      <c r="J23" s="12">
        <v>265.5</v>
      </c>
      <c r="K23" s="2"/>
      <c r="L23" s="12" t="s">
        <v>308</v>
      </c>
      <c r="M23" s="12">
        <v>74.099999999999994</v>
      </c>
      <c r="N23" s="2"/>
      <c r="O23" s="2"/>
      <c r="P23" s="2"/>
      <c r="Q23" s="12" t="s">
        <v>309</v>
      </c>
      <c r="R23" s="70">
        <v>50.8</v>
      </c>
    </row>
    <row r="24" spans="1:18" ht="15.75" customHeight="1">
      <c r="A24" s="182">
        <v>6</v>
      </c>
      <c r="B24" s="179">
        <v>2</v>
      </c>
      <c r="C24" s="12">
        <v>0.2</v>
      </c>
      <c r="D24" s="2"/>
      <c r="E24" s="2"/>
      <c r="F24" s="2"/>
      <c r="G24" s="12">
        <v>72.900000000000006</v>
      </c>
      <c r="H24" s="12">
        <v>167.7</v>
      </c>
      <c r="I24" s="2"/>
      <c r="J24" s="12">
        <v>265.10000000000002</v>
      </c>
      <c r="K24" s="2"/>
      <c r="L24" s="12" t="s">
        <v>308</v>
      </c>
      <c r="M24" s="12">
        <v>71.3</v>
      </c>
      <c r="N24" s="2"/>
      <c r="O24" s="2"/>
      <c r="P24" s="2"/>
      <c r="Q24" s="12" t="s">
        <v>309</v>
      </c>
      <c r="R24" s="70">
        <v>48.8</v>
      </c>
    </row>
    <row r="25" spans="1:18" ht="15.75" customHeight="1">
      <c r="A25" s="182">
        <v>6</v>
      </c>
      <c r="B25" s="179">
        <v>3</v>
      </c>
      <c r="C25" s="12">
        <v>1.3</v>
      </c>
      <c r="D25" s="2"/>
      <c r="E25" s="2"/>
      <c r="F25" s="2"/>
      <c r="G25" s="12">
        <v>69.400000000000006</v>
      </c>
      <c r="H25" s="12">
        <v>168.6</v>
      </c>
      <c r="I25" s="2"/>
      <c r="J25" s="12">
        <v>267.5</v>
      </c>
      <c r="K25" s="2"/>
      <c r="L25" s="12" t="s">
        <v>308</v>
      </c>
      <c r="M25" s="12">
        <v>65.099999999999994</v>
      </c>
      <c r="N25" s="2"/>
      <c r="O25" s="2"/>
      <c r="P25" s="2"/>
      <c r="Q25" s="12" t="s">
        <v>309</v>
      </c>
      <c r="R25" s="70">
        <v>44.6</v>
      </c>
    </row>
    <row r="26" spans="1:18" ht="15.75" customHeight="1">
      <c r="A26" s="182">
        <v>6</v>
      </c>
      <c r="B26" s="179">
        <v>4</v>
      </c>
      <c r="C26" s="12">
        <v>2</v>
      </c>
      <c r="D26" s="2"/>
      <c r="E26" s="2"/>
      <c r="F26" s="2"/>
      <c r="G26" s="12">
        <v>68.400000000000006</v>
      </c>
      <c r="H26" s="12">
        <v>169.2</v>
      </c>
      <c r="I26" s="2"/>
      <c r="J26" s="12">
        <v>266.5</v>
      </c>
      <c r="K26" s="2"/>
      <c r="L26" s="12" t="s">
        <v>308</v>
      </c>
      <c r="M26" s="12">
        <v>62.3</v>
      </c>
      <c r="N26" s="2"/>
      <c r="O26" s="2"/>
      <c r="P26" s="2"/>
      <c r="Q26" s="12" t="s">
        <v>309</v>
      </c>
      <c r="R26" s="70">
        <v>42.7</v>
      </c>
    </row>
    <row r="27" spans="1:18" ht="15.75" customHeight="1">
      <c r="A27" s="181">
        <v>7</v>
      </c>
      <c r="B27" s="178">
        <v>1</v>
      </c>
      <c r="C27" s="194">
        <v>3.9</v>
      </c>
      <c r="D27" s="206"/>
      <c r="E27" s="194">
        <v>47.4</v>
      </c>
      <c r="F27" s="206"/>
      <c r="G27" s="206"/>
      <c r="H27" s="194">
        <v>175</v>
      </c>
      <c r="I27" s="206"/>
      <c r="J27" s="206"/>
      <c r="K27" s="206"/>
      <c r="L27" s="199" t="s">
        <v>308</v>
      </c>
      <c r="M27" s="194">
        <v>87.4</v>
      </c>
      <c r="N27" s="206"/>
      <c r="O27" s="194">
        <v>68.7</v>
      </c>
      <c r="P27" s="206"/>
      <c r="Q27" s="199" t="s">
        <v>309</v>
      </c>
      <c r="R27" s="207"/>
    </row>
    <row r="28" spans="1:18" ht="15.75" customHeight="1">
      <c r="A28" s="71">
        <v>7</v>
      </c>
      <c r="B28" s="72">
        <v>2</v>
      </c>
      <c r="C28" s="249">
        <v>3.8</v>
      </c>
      <c r="D28" s="168"/>
      <c r="E28" s="249">
        <v>42.9</v>
      </c>
      <c r="F28" s="168"/>
      <c r="G28" s="168"/>
      <c r="H28" s="249">
        <v>171.4</v>
      </c>
      <c r="I28" s="168"/>
      <c r="J28" s="168"/>
      <c r="K28" s="168"/>
      <c r="L28" s="250" t="s">
        <v>308</v>
      </c>
      <c r="M28" s="249">
        <v>87.8</v>
      </c>
      <c r="N28" s="168"/>
      <c r="O28" s="249">
        <v>25.1</v>
      </c>
      <c r="P28" s="168"/>
      <c r="Q28" s="250" t="s">
        <v>309</v>
      </c>
      <c r="R28" s="7"/>
    </row>
    <row r="29" spans="1:18" ht="15.75" customHeight="1">
      <c r="A29" s="182">
        <v>8</v>
      </c>
      <c r="B29" s="179">
        <v>1</v>
      </c>
      <c r="C29" s="12">
        <v>-13.4</v>
      </c>
      <c r="D29" s="2"/>
      <c r="E29" s="12">
        <v>85.7</v>
      </c>
      <c r="F29" s="2"/>
      <c r="G29" s="2"/>
      <c r="H29" s="12">
        <v>161.30000000000001</v>
      </c>
      <c r="I29" s="12">
        <v>170.3</v>
      </c>
      <c r="J29" s="12">
        <v>215.7</v>
      </c>
      <c r="K29" s="12">
        <v>279.10000000000002</v>
      </c>
      <c r="L29" s="12" t="s">
        <v>308</v>
      </c>
      <c r="M29" s="12">
        <v>86</v>
      </c>
      <c r="N29" s="12">
        <v>88.7</v>
      </c>
      <c r="O29" s="12">
        <v>73.900000000000006</v>
      </c>
      <c r="P29" s="2"/>
      <c r="Q29" s="12" t="s">
        <v>309</v>
      </c>
      <c r="R29" s="70">
        <v>58.9</v>
      </c>
    </row>
    <row r="30" spans="1:18" ht="15.75" customHeight="1">
      <c r="A30" s="182">
        <v>8</v>
      </c>
      <c r="B30" s="179">
        <v>2</v>
      </c>
      <c r="C30" s="12">
        <v>-10.1</v>
      </c>
      <c r="D30" s="2"/>
      <c r="E30" s="12">
        <v>87.5</v>
      </c>
      <c r="F30" s="2"/>
      <c r="G30" s="2"/>
      <c r="H30" s="12">
        <v>161.80000000000001</v>
      </c>
      <c r="I30" s="12">
        <v>170.4</v>
      </c>
      <c r="J30" s="12">
        <v>226.5</v>
      </c>
      <c r="K30" s="12">
        <v>287.2</v>
      </c>
      <c r="L30" s="12" t="s">
        <v>308</v>
      </c>
      <c r="M30" s="12">
        <v>83.7</v>
      </c>
      <c r="N30" s="12">
        <v>85.4</v>
      </c>
      <c r="O30" s="12">
        <v>68.5</v>
      </c>
      <c r="P30" s="2"/>
      <c r="Q30" s="12" t="s">
        <v>309</v>
      </c>
      <c r="R30" s="70">
        <v>60.4</v>
      </c>
    </row>
    <row r="31" spans="1:18" ht="15.75" customHeight="1">
      <c r="A31" s="182">
        <v>8</v>
      </c>
      <c r="B31" s="179">
        <v>3</v>
      </c>
      <c r="C31" s="12">
        <v>-6.3</v>
      </c>
      <c r="D31" s="2"/>
      <c r="E31" s="12">
        <v>83.8</v>
      </c>
      <c r="F31" s="2"/>
      <c r="G31" s="2"/>
      <c r="H31" s="12">
        <v>161.19999999999999</v>
      </c>
      <c r="I31" s="12">
        <v>170</v>
      </c>
      <c r="J31" s="12">
        <v>229.3</v>
      </c>
      <c r="K31" s="12">
        <v>288.89999999999998</v>
      </c>
      <c r="L31" s="12" t="s">
        <v>308</v>
      </c>
      <c r="M31" s="12">
        <v>84.5</v>
      </c>
      <c r="N31" s="12">
        <v>79.900000000000006</v>
      </c>
      <c r="O31" s="12">
        <v>61.9</v>
      </c>
      <c r="P31" s="2"/>
      <c r="Q31" s="12" t="s">
        <v>309</v>
      </c>
      <c r="R31" s="70">
        <v>64.3</v>
      </c>
    </row>
    <row r="32" spans="1:18" ht="15.75" customHeight="1">
      <c r="A32" s="71">
        <v>8</v>
      </c>
      <c r="B32" s="72">
        <v>4</v>
      </c>
      <c r="C32" s="250">
        <v>-21</v>
      </c>
      <c r="D32" s="168"/>
      <c r="E32" s="250">
        <v>77</v>
      </c>
      <c r="F32" s="168"/>
      <c r="G32" s="168"/>
      <c r="H32" s="250">
        <v>155.5</v>
      </c>
      <c r="I32" s="250">
        <v>166.7</v>
      </c>
      <c r="J32" s="250">
        <v>203</v>
      </c>
      <c r="K32" s="250">
        <v>287.39999999999998</v>
      </c>
      <c r="L32" s="250" t="s">
        <v>308</v>
      </c>
      <c r="M32" s="250">
        <v>79</v>
      </c>
      <c r="N32" s="250">
        <v>73.7</v>
      </c>
      <c r="O32" s="250">
        <v>57.5</v>
      </c>
      <c r="P32" s="168"/>
      <c r="Q32" s="250" t="s">
        <v>309</v>
      </c>
      <c r="R32" s="73">
        <v>63.6</v>
      </c>
    </row>
    <row r="33" spans="1:18" ht="15.75" customHeight="1">
      <c r="A33" s="182">
        <v>9</v>
      </c>
      <c r="B33" s="179">
        <v>1</v>
      </c>
      <c r="C33" s="20" t="s">
        <v>310</v>
      </c>
      <c r="D33" s="2"/>
      <c r="E33" s="20">
        <v>104.2</v>
      </c>
      <c r="F33" s="2"/>
      <c r="G33" s="2"/>
      <c r="H33" s="20">
        <v>150.80000000000001</v>
      </c>
      <c r="I33" s="20">
        <v>162.30000000000001</v>
      </c>
      <c r="J33" s="2"/>
      <c r="K33" s="2"/>
      <c r="L33" s="12" t="s">
        <v>308</v>
      </c>
      <c r="M33" s="20">
        <v>20.100000000000001</v>
      </c>
      <c r="N33" s="20">
        <v>17.3</v>
      </c>
      <c r="O33" s="20">
        <v>28.6</v>
      </c>
      <c r="P33" s="2"/>
      <c r="Q33" s="12" t="s">
        <v>309</v>
      </c>
      <c r="R33" s="69"/>
    </row>
    <row r="34" spans="1:18" ht="15.75" customHeight="1">
      <c r="A34" s="182">
        <v>9</v>
      </c>
      <c r="B34" s="179">
        <v>2</v>
      </c>
      <c r="C34" s="20" t="s">
        <v>311</v>
      </c>
      <c r="D34" s="2"/>
      <c r="E34" s="20">
        <v>100.8</v>
      </c>
      <c r="F34" s="2"/>
      <c r="G34" s="2"/>
      <c r="H34" s="20">
        <v>149.4</v>
      </c>
      <c r="I34" s="20">
        <v>161.69999999999999</v>
      </c>
      <c r="J34" s="2"/>
      <c r="K34" s="2"/>
      <c r="L34" s="12" t="s">
        <v>308</v>
      </c>
      <c r="M34" s="20">
        <v>18.3</v>
      </c>
      <c r="N34" s="20">
        <v>19</v>
      </c>
      <c r="O34" s="20">
        <v>32.5</v>
      </c>
      <c r="P34" s="2"/>
      <c r="Q34" s="12" t="s">
        <v>309</v>
      </c>
      <c r="R34" s="69"/>
    </row>
    <row r="35" spans="1:18" ht="15.75" customHeight="1">
      <c r="A35" s="182">
        <v>9</v>
      </c>
      <c r="B35" s="179">
        <v>3</v>
      </c>
      <c r="C35" s="20" t="s">
        <v>312</v>
      </c>
      <c r="D35" s="2"/>
      <c r="E35" s="20">
        <v>96</v>
      </c>
      <c r="F35" s="2"/>
      <c r="G35" s="2"/>
      <c r="H35" s="20">
        <v>148.19999999999999</v>
      </c>
      <c r="I35" s="20">
        <v>161.4</v>
      </c>
      <c r="J35" s="2"/>
      <c r="K35" s="2"/>
      <c r="L35" s="12" t="s">
        <v>308</v>
      </c>
      <c r="M35" s="20">
        <v>15.6</v>
      </c>
      <c r="N35" s="20">
        <v>20.3</v>
      </c>
      <c r="O35" s="20">
        <v>30.7</v>
      </c>
      <c r="P35" s="2"/>
      <c r="Q35" s="12" t="s">
        <v>309</v>
      </c>
      <c r="R35" s="69"/>
    </row>
    <row r="36" spans="1:18" ht="15.75" customHeight="1">
      <c r="A36" s="71">
        <v>9</v>
      </c>
      <c r="B36" s="72">
        <v>4</v>
      </c>
      <c r="C36" s="249" t="s">
        <v>313</v>
      </c>
      <c r="D36" s="168"/>
      <c r="E36" s="249">
        <v>107.2</v>
      </c>
      <c r="F36" s="168"/>
      <c r="G36" s="168"/>
      <c r="H36" s="249">
        <v>151.1</v>
      </c>
      <c r="I36" s="249">
        <v>161.9</v>
      </c>
      <c r="J36" s="168"/>
      <c r="K36" s="168"/>
      <c r="L36" s="250" t="s">
        <v>308</v>
      </c>
      <c r="M36" s="249">
        <v>20.5</v>
      </c>
      <c r="N36" s="249">
        <v>13.5</v>
      </c>
      <c r="O36" s="249">
        <v>26.9</v>
      </c>
      <c r="P36" s="168"/>
      <c r="Q36" s="250" t="s">
        <v>309</v>
      </c>
      <c r="R36" s="7"/>
    </row>
    <row r="37" spans="1:18" ht="15.75" customHeight="1">
      <c r="A37" s="181">
        <v>11</v>
      </c>
      <c r="B37" s="178" t="s">
        <v>220</v>
      </c>
      <c r="C37" s="206"/>
      <c r="D37" s="206"/>
      <c r="E37" s="206"/>
      <c r="F37" s="206"/>
      <c r="G37" s="206"/>
      <c r="H37" s="206"/>
      <c r="I37" s="206"/>
      <c r="J37" s="206"/>
      <c r="K37" s="206"/>
      <c r="L37" s="199" t="s">
        <v>308</v>
      </c>
      <c r="M37" s="206"/>
      <c r="N37" s="206"/>
      <c r="O37" s="206"/>
      <c r="P37" s="206"/>
      <c r="Q37" s="206"/>
      <c r="R37" s="207"/>
    </row>
    <row r="38" spans="1:18" ht="15.75" customHeight="1">
      <c r="A38" s="182">
        <v>11</v>
      </c>
      <c r="B38" s="179" t="s">
        <v>221</v>
      </c>
      <c r="L38" s="12" t="s">
        <v>308</v>
      </c>
      <c r="R38" s="208"/>
    </row>
    <row r="39" spans="1:18" ht="15.75" customHeight="1">
      <c r="A39" s="182">
        <v>11</v>
      </c>
      <c r="B39" s="179" t="s">
        <v>222</v>
      </c>
      <c r="L39" s="12" t="s">
        <v>308</v>
      </c>
      <c r="R39" s="208"/>
    </row>
    <row r="40" spans="1:18" ht="15.75" customHeight="1">
      <c r="A40" s="182">
        <v>11</v>
      </c>
      <c r="B40" s="179" t="s">
        <v>223</v>
      </c>
      <c r="L40" s="12" t="s">
        <v>308</v>
      </c>
      <c r="R40" s="208"/>
    </row>
    <row r="41" spans="1:18" ht="15.75" customHeight="1">
      <c r="A41" s="182">
        <v>11</v>
      </c>
      <c r="B41" s="179" t="s">
        <v>224</v>
      </c>
      <c r="L41" s="12" t="s">
        <v>308</v>
      </c>
      <c r="R41" s="208"/>
    </row>
    <row r="42" spans="1:18" ht="15.75" customHeight="1">
      <c r="A42" s="182">
        <v>11</v>
      </c>
      <c r="B42" s="179" t="s">
        <v>225</v>
      </c>
      <c r="L42" s="12" t="s">
        <v>308</v>
      </c>
      <c r="R42" s="208"/>
    </row>
    <row r="43" spans="1:18" ht="15.75" customHeight="1">
      <c r="A43" s="182">
        <v>11</v>
      </c>
      <c r="B43" s="179" t="s">
        <v>226</v>
      </c>
      <c r="L43" s="12" t="s">
        <v>308</v>
      </c>
      <c r="R43" s="208"/>
    </row>
    <row r="44" spans="1:18" ht="15.75" customHeight="1">
      <c r="A44" s="183">
        <v>11</v>
      </c>
      <c r="B44" s="180" t="s">
        <v>227</v>
      </c>
      <c r="C44" s="30"/>
      <c r="D44" s="30"/>
      <c r="E44" s="30"/>
      <c r="F44" s="30"/>
      <c r="G44" s="30"/>
      <c r="H44" s="30"/>
      <c r="I44" s="30"/>
      <c r="J44" s="30"/>
      <c r="K44" s="30"/>
      <c r="L44" s="24" t="s">
        <v>308</v>
      </c>
      <c r="M44" s="30"/>
      <c r="N44" s="30"/>
      <c r="O44" s="30"/>
      <c r="P44" s="30"/>
      <c r="Q44" s="30"/>
      <c r="R44" s="209"/>
    </row>
    <row r="45" spans="1:18" ht="15.75" customHeight="1">
      <c r="A45" s="182">
        <v>12</v>
      </c>
      <c r="B45" s="179" t="s">
        <v>220</v>
      </c>
      <c r="C45" s="413"/>
    </row>
    <row r="46" spans="1:18" ht="15.75" customHeight="1">
      <c r="A46" s="182">
        <v>12</v>
      </c>
      <c r="B46" s="179" t="s">
        <v>221</v>
      </c>
      <c r="C46" s="414"/>
    </row>
    <row r="47" spans="1:18" ht="15.75" customHeight="1">
      <c r="A47" s="182">
        <v>12</v>
      </c>
      <c r="B47" s="179" t="s">
        <v>222</v>
      </c>
      <c r="C47" s="413"/>
    </row>
    <row r="48" spans="1:18" ht="15.75" customHeight="1">
      <c r="A48" s="182">
        <v>12</v>
      </c>
      <c r="B48" s="179" t="s">
        <v>223</v>
      </c>
      <c r="C48" s="414"/>
    </row>
    <row r="49" spans="1:18" ht="15.75" customHeight="1">
      <c r="A49" s="182">
        <v>12</v>
      </c>
      <c r="B49" s="179" t="s">
        <v>228</v>
      </c>
      <c r="C49" s="413"/>
    </row>
    <row r="50" spans="1:18" ht="15.75" customHeight="1">
      <c r="A50" s="182">
        <v>12</v>
      </c>
      <c r="B50" s="179" t="s">
        <v>224</v>
      </c>
      <c r="C50" s="414"/>
    </row>
    <row r="51" spans="1:18" ht="15.75" customHeight="1">
      <c r="A51" s="182">
        <v>12</v>
      </c>
      <c r="B51" s="179" t="s">
        <v>225</v>
      </c>
      <c r="C51" s="413"/>
    </row>
    <row r="52" spans="1:18" ht="15.75" customHeight="1">
      <c r="A52" s="182">
        <v>12</v>
      </c>
      <c r="B52" s="179" t="s">
        <v>226</v>
      </c>
      <c r="C52" s="414"/>
    </row>
    <row r="53" spans="1:18" ht="15.75" customHeight="1">
      <c r="A53" s="182">
        <v>12</v>
      </c>
      <c r="B53" s="179" t="s">
        <v>227</v>
      </c>
      <c r="C53" s="413"/>
    </row>
    <row r="54" spans="1:18" ht="15.75" customHeight="1">
      <c r="A54" s="182">
        <v>12</v>
      </c>
      <c r="B54" s="179" t="s">
        <v>229</v>
      </c>
      <c r="C54" s="414"/>
    </row>
    <row r="55" spans="1:18" ht="15.75" customHeight="1">
      <c r="A55" s="181">
        <v>13</v>
      </c>
      <c r="B55" s="178">
        <v>1</v>
      </c>
      <c r="C55" s="216" t="s">
        <v>314</v>
      </c>
      <c r="D55" s="194"/>
      <c r="E55" s="194">
        <v>61.8</v>
      </c>
      <c r="F55" s="194"/>
      <c r="G55" s="194"/>
      <c r="H55" s="194">
        <v>126.1</v>
      </c>
      <c r="I55" s="194">
        <v>152.5</v>
      </c>
      <c r="J55" s="194"/>
      <c r="K55" s="194"/>
      <c r="L55" s="199" t="s">
        <v>308</v>
      </c>
      <c r="M55" s="194"/>
      <c r="N55" s="194"/>
      <c r="O55" s="194"/>
      <c r="P55" s="194"/>
      <c r="Q55" s="194"/>
      <c r="R55" s="197">
        <v>29</v>
      </c>
    </row>
    <row r="56" spans="1:18" ht="15.75" customHeight="1">
      <c r="A56" s="182">
        <v>13</v>
      </c>
      <c r="B56" s="179">
        <v>2</v>
      </c>
      <c r="C56" s="39" t="s">
        <v>315</v>
      </c>
      <c r="D56" s="20"/>
      <c r="E56" s="20">
        <v>107.1</v>
      </c>
      <c r="F56" s="20"/>
      <c r="G56" s="20"/>
      <c r="H56" s="20">
        <v>150.9</v>
      </c>
      <c r="I56" s="20">
        <v>166.5</v>
      </c>
      <c r="J56" s="20"/>
      <c r="K56" s="20"/>
      <c r="L56" s="12" t="s">
        <v>308</v>
      </c>
      <c r="M56" s="20"/>
      <c r="N56" s="20"/>
      <c r="O56" s="20"/>
      <c r="P56" s="20"/>
      <c r="Q56" s="20"/>
      <c r="R56" s="198">
        <v>19.3</v>
      </c>
    </row>
    <row r="57" spans="1:18" ht="15.75" customHeight="1">
      <c r="A57" s="182">
        <v>13</v>
      </c>
      <c r="B57" s="179">
        <v>3</v>
      </c>
      <c r="C57" s="41" t="s">
        <v>316</v>
      </c>
      <c r="D57" s="20"/>
      <c r="E57" s="20">
        <v>104.8</v>
      </c>
      <c r="F57" s="20"/>
      <c r="G57" s="20"/>
      <c r="H57" s="20">
        <v>159.69999999999999</v>
      </c>
      <c r="I57" s="20">
        <v>170.1</v>
      </c>
      <c r="J57" s="20"/>
      <c r="K57" s="20"/>
      <c r="L57" s="12" t="s">
        <v>308</v>
      </c>
      <c r="M57" s="20"/>
      <c r="N57" s="20"/>
      <c r="O57" s="20"/>
      <c r="P57" s="20"/>
      <c r="Q57" s="20"/>
      <c r="R57" s="198">
        <v>25.8</v>
      </c>
    </row>
    <row r="58" spans="1:18" ht="15.75" customHeight="1">
      <c r="A58" s="182">
        <v>13</v>
      </c>
      <c r="B58" s="179">
        <v>4</v>
      </c>
      <c r="C58" s="39" t="s">
        <v>317</v>
      </c>
      <c r="D58" s="20"/>
      <c r="E58" s="20">
        <v>80</v>
      </c>
      <c r="F58" s="20"/>
      <c r="G58" s="20"/>
      <c r="H58" s="20">
        <v>153.80000000000001</v>
      </c>
      <c r="I58" s="20">
        <v>165.3</v>
      </c>
      <c r="J58" s="20"/>
      <c r="K58" s="20"/>
      <c r="L58" s="12" t="s">
        <v>308</v>
      </c>
      <c r="M58" s="20"/>
      <c r="N58" s="20"/>
      <c r="O58" s="20"/>
      <c r="P58" s="20"/>
      <c r="Q58" s="20"/>
      <c r="R58" s="198">
        <v>21.6</v>
      </c>
    </row>
    <row r="59" spans="1:18" ht="15.75" customHeight="1">
      <c r="A59" s="182">
        <v>13</v>
      </c>
      <c r="B59" s="179">
        <v>5</v>
      </c>
      <c r="C59" s="41" t="s">
        <v>318</v>
      </c>
      <c r="D59" s="20"/>
      <c r="E59" s="20">
        <v>71.5</v>
      </c>
      <c r="F59" s="20"/>
      <c r="G59" s="20"/>
      <c r="H59" s="20"/>
      <c r="I59" s="20">
        <v>162.6</v>
      </c>
      <c r="J59" s="20"/>
      <c r="K59" s="20"/>
      <c r="L59" s="12" t="s">
        <v>308</v>
      </c>
      <c r="M59" s="20"/>
      <c r="N59" s="20"/>
      <c r="O59" s="20"/>
      <c r="P59" s="20"/>
      <c r="Q59" s="20"/>
      <c r="R59" s="198">
        <v>23.8</v>
      </c>
    </row>
    <row r="60" spans="1:18" ht="15.75" customHeight="1">
      <c r="A60" s="182">
        <v>13</v>
      </c>
      <c r="B60" s="179">
        <v>6</v>
      </c>
      <c r="C60" s="39" t="s">
        <v>319</v>
      </c>
      <c r="D60" s="20"/>
      <c r="E60" s="20">
        <v>56.5</v>
      </c>
      <c r="F60" s="20"/>
      <c r="G60" s="20"/>
      <c r="H60" s="20"/>
      <c r="I60" s="20">
        <v>155.6</v>
      </c>
      <c r="J60" s="20"/>
      <c r="K60" s="20"/>
      <c r="L60" s="12" t="s">
        <v>308</v>
      </c>
      <c r="M60" s="20"/>
      <c r="N60" s="20"/>
      <c r="O60" s="20"/>
      <c r="P60" s="20"/>
      <c r="Q60" s="20"/>
      <c r="R60" s="198">
        <v>16.600000000000001</v>
      </c>
    </row>
    <row r="61" spans="1:18" ht="15.75" customHeight="1">
      <c r="A61" s="182">
        <v>13</v>
      </c>
      <c r="B61" s="179">
        <v>7</v>
      </c>
      <c r="C61" s="41" t="s">
        <v>320</v>
      </c>
      <c r="D61" s="20"/>
      <c r="E61" s="20">
        <v>64.2</v>
      </c>
      <c r="F61" s="20"/>
      <c r="G61" s="20"/>
      <c r="H61" s="20">
        <v>128.6</v>
      </c>
      <c r="I61" s="20">
        <v>152.1</v>
      </c>
      <c r="J61" s="20"/>
      <c r="K61" s="20"/>
      <c r="L61" s="12" t="s">
        <v>308</v>
      </c>
      <c r="M61" s="20"/>
      <c r="N61" s="20"/>
      <c r="O61" s="20"/>
      <c r="P61" s="20"/>
      <c r="Q61" s="20"/>
      <c r="R61" s="198">
        <v>23.3</v>
      </c>
    </row>
    <row r="62" spans="1:18" ht="15.75" customHeight="1">
      <c r="A62" s="182">
        <v>13</v>
      </c>
      <c r="B62" s="179">
        <v>8</v>
      </c>
      <c r="C62" s="283" t="s">
        <v>321</v>
      </c>
      <c r="D62" s="26"/>
      <c r="E62" s="26">
        <v>66.400000000000006</v>
      </c>
      <c r="F62" s="26"/>
      <c r="G62" s="26"/>
      <c r="H62" s="26">
        <v>130.9</v>
      </c>
      <c r="I62" s="26">
        <v>153.1</v>
      </c>
      <c r="J62" s="26"/>
      <c r="K62" s="26"/>
      <c r="L62" s="24" t="s">
        <v>308</v>
      </c>
      <c r="M62" s="26"/>
      <c r="N62" s="26"/>
      <c r="O62" s="26"/>
      <c r="P62" s="26"/>
      <c r="Q62" s="26"/>
      <c r="R62" s="204">
        <v>24.3</v>
      </c>
    </row>
    <row r="63" spans="1:18" ht="15.75" customHeight="1">
      <c r="A63" s="181">
        <v>14</v>
      </c>
      <c r="B63" s="178">
        <v>1</v>
      </c>
      <c r="C63" s="216"/>
    </row>
    <row r="64" spans="1:18" ht="15.75" customHeight="1">
      <c r="A64" s="182">
        <v>14</v>
      </c>
      <c r="B64" s="179">
        <v>2</v>
      </c>
      <c r="C64" s="39"/>
    </row>
    <row r="65" spans="1:3" ht="15.75" customHeight="1">
      <c r="A65" s="182">
        <v>14</v>
      </c>
      <c r="B65" s="179">
        <v>3</v>
      </c>
      <c r="C65" s="41"/>
    </row>
    <row r="66" spans="1:3" ht="15.75" customHeight="1">
      <c r="A66" s="182">
        <v>14</v>
      </c>
      <c r="B66" s="179">
        <v>4</v>
      </c>
      <c r="C66" s="39"/>
    </row>
    <row r="67" spans="1:3" ht="15.75" customHeight="1">
      <c r="A67" s="182">
        <v>14</v>
      </c>
      <c r="B67" s="179">
        <v>5</v>
      </c>
      <c r="C67" s="41"/>
    </row>
    <row r="68" spans="1:3" ht="15.75" customHeight="1">
      <c r="A68" s="182">
        <v>14</v>
      </c>
      <c r="B68" s="179">
        <v>6</v>
      </c>
      <c r="C68" s="39"/>
    </row>
    <row r="69" spans="1:3" ht="15.75" customHeight="1">
      <c r="A69" s="182">
        <v>14</v>
      </c>
      <c r="B69" s="179">
        <v>7</v>
      </c>
      <c r="C69" s="41"/>
    </row>
    <row r="70" spans="1:3" ht="15.75" customHeight="1">
      <c r="A70" s="182">
        <v>14</v>
      </c>
      <c r="B70" s="179">
        <v>8</v>
      </c>
      <c r="C70" s="39"/>
    </row>
    <row r="71" spans="1:3" ht="15.75" customHeight="1">
      <c r="A71" s="182">
        <v>14</v>
      </c>
      <c r="B71" s="179">
        <v>9</v>
      </c>
      <c r="C71" s="41"/>
    </row>
    <row r="72" spans="1:3" ht="15.75" customHeight="1">
      <c r="A72" s="182">
        <v>14</v>
      </c>
      <c r="B72" s="179">
        <v>10</v>
      </c>
      <c r="C72" s="39"/>
    </row>
    <row r="73" spans="1:3" ht="15.75" customHeight="1">
      <c r="A73" s="181">
        <v>15</v>
      </c>
      <c r="B73" s="178">
        <v>1</v>
      </c>
      <c r="C73" s="413"/>
    </row>
    <row r="74" spans="1:3" ht="15.75" customHeight="1">
      <c r="A74" s="182">
        <v>15</v>
      </c>
      <c r="B74" s="179">
        <v>2</v>
      </c>
      <c r="C74" s="414"/>
    </row>
    <row r="75" spans="1:3" ht="15.75" customHeight="1">
      <c r="A75" s="182">
        <v>15</v>
      </c>
      <c r="B75" s="179">
        <v>3</v>
      </c>
      <c r="C75" s="413"/>
    </row>
    <row r="76" spans="1:3" ht="15.75" customHeight="1">
      <c r="A76" s="182">
        <v>15</v>
      </c>
      <c r="B76" s="179">
        <v>4</v>
      </c>
      <c r="C76" s="414"/>
    </row>
    <row r="77" spans="1:3" ht="15.75" customHeight="1">
      <c r="A77" s="182">
        <v>15</v>
      </c>
      <c r="B77" s="179">
        <v>5</v>
      </c>
      <c r="C77" s="413"/>
    </row>
    <row r="78" spans="1:3" ht="15.75" customHeight="1">
      <c r="A78" s="182">
        <v>15</v>
      </c>
      <c r="B78" s="179">
        <v>6</v>
      </c>
      <c r="C78" s="414"/>
    </row>
    <row r="79" spans="1:3" ht="15.75" customHeight="1">
      <c r="A79" s="177">
        <v>16</v>
      </c>
      <c r="B79" s="58">
        <v>1</v>
      </c>
      <c r="C79" s="413"/>
    </row>
    <row r="80" spans="1:3" ht="15.75" customHeight="1">
      <c r="A80" s="174">
        <v>16</v>
      </c>
      <c r="B80" s="59">
        <v>2</v>
      </c>
      <c r="C80" s="414"/>
    </row>
    <row r="81" spans="1:19" ht="15.75" customHeight="1">
      <c r="A81" s="200">
        <v>16</v>
      </c>
      <c r="B81" s="59">
        <v>3</v>
      </c>
      <c r="C81" s="413"/>
    </row>
    <row r="82" spans="1:19" ht="15.75" customHeight="1">
      <c r="A82" s="201">
        <v>17</v>
      </c>
      <c r="B82" s="58">
        <v>1</v>
      </c>
      <c r="C82" s="414"/>
    </row>
    <row r="83" spans="1:19" ht="15.75" customHeight="1">
      <c r="A83" s="200">
        <v>17</v>
      </c>
      <c r="B83" s="59">
        <v>2</v>
      </c>
      <c r="C83" s="413"/>
    </row>
    <row r="84" spans="1:19" ht="15.75" customHeight="1">
      <c r="A84" s="200">
        <v>17</v>
      </c>
      <c r="B84" s="59">
        <v>3</v>
      </c>
      <c r="C84" s="414"/>
    </row>
    <row r="85" spans="1:19" ht="15.75" customHeight="1">
      <c r="A85" s="200">
        <v>17</v>
      </c>
      <c r="B85" s="59">
        <v>4</v>
      </c>
      <c r="C85" s="41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9" ht="15.75" customHeight="1">
      <c r="A86" s="201">
        <v>18</v>
      </c>
      <c r="B86" s="58">
        <v>1</v>
      </c>
      <c r="C86" s="331"/>
      <c r="D86" s="206"/>
      <c r="E86" s="194">
        <v>103</v>
      </c>
      <c r="F86" s="194"/>
      <c r="G86" s="194"/>
      <c r="H86" s="194">
        <v>152</v>
      </c>
      <c r="I86" s="194">
        <v>162</v>
      </c>
      <c r="J86" s="206"/>
      <c r="K86" s="206"/>
      <c r="L86" s="199" t="s">
        <v>308</v>
      </c>
      <c r="M86" s="206"/>
      <c r="N86" s="206"/>
      <c r="O86" s="206"/>
      <c r="P86" s="206"/>
      <c r="Q86" s="206"/>
      <c r="R86" s="207"/>
      <c r="S86" s="2"/>
    </row>
    <row r="87" spans="1:19" ht="15.75" customHeight="1">
      <c r="A87" s="200">
        <v>18</v>
      </c>
      <c r="B87" s="59">
        <v>2</v>
      </c>
      <c r="C87" s="228"/>
      <c r="D87" s="30"/>
      <c r="E87" s="26">
        <v>94</v>
      </c>
      <c r="F87" s="26"/>
      <c r="G87" s="26"/>
      <c r="H87" s="26">
        <v>144</v>
      </c>
      <c r="I87" s="26">
        <v>153</v>
      </c>
      <c r="J87" s="30"/>
      <c r="K87" s="30"/>
      <c r="L87" s="24" t="s">
        <v>308</v>
      </c>
      <c r="M87" s="30"/>
      <c r="N87" s="30"/>
      <c r="O87" s="30"/>
      <c r="P87" s="30"/>
      <c r="Q87" s="30"/>
      <c r="R87" s="209"/>
      <c r="S87" s="2"/>
    </row>
    <row r="88" spans="1:19" ht="15.75" customHeight="1">
      <c r="A88" s="201">
        <v>19</v>
      </c>
      <c r="B88" s="58">
        <v>1</v>
      </c>
      <c r="C88" s="33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9" ht="15.75" customHeight="1">
      <c r="A89" s="200">
        <v>19</v>
      </c>
      <c r="B89" s="59">
        <v>2</v>
      </c>
      <c r="C89" s="413"/>
    </row>
    <row r="90" spans="1:19" ht="15.75" customHeight="1">
      <c r="A90" s="200">
        <v>19</v>
      </c>
      <c r="B90" s="59">
        <v>3</v>
      </c>
      <c r="C90" s="414"/>
    </row>
    <row r="91" spans="1:19" ht="15.75" customHeight="1">
      <c r="A91" s="200">
        <v>19</v>
      </c>
      <c r="B91" s="59">
        <v>4</v>
      </c>
      <c r="C91" s="413"/>
    </row>
    <row r="92" spans="1:19" ht="15.75" customHeight="1">
      <c r="A92" s="200">
        <v>19</v>
      </c>
      <c r="B92" s="59">
        <v>5</v>
      </c>
      <c r="C92" s="41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9" ht="15.75" customHeight="1">
      <c r="A93" s="181">
        <v>20</v>
      </c>
      <c r="B93" s="178" t="s">
        <v>220</v>
      </c>
      <c r="C93" s="199">
        <v>-0.05</v>
      </c>
      <c r="D93" s="199"/>
      <c r="E93" s="199">
        <v>66.099999999999994</v>
      </c>
      <c r="F93" s="199"/>
      <c r="G93" s="199"/>
      <c r="H93" s="199">
        <v>130</v>
      </c>
      <c r="I93" s="199">
        <v>163</v>
      </c>
      <c r="J93" s="199">
        <v>244</v>
      </c>
      <c r="K93" s="199">
        <v>298</v>
      </c>
      <c r="L93" s="199" t="s">
        <v>308</v>
      </c>
      <c r="M93" s="199"/>
      <c r="N93" s="199"/>
      <c r="O93" s="199"/>
      <c r="P93" s="199"/>
      <c r="Q93" s="199"/>
      <c r="R93" s="189">
        <v>5.71</v>
      </c>
      <c r="S93" s="2"/>
    </row>
    <row r="94" spans="1:19" ht="15.75" customHeight="1">
      <c r="A94" s="182">
        <v>20</v>
      </c>
      <c r="B94" s="179" t="s">
        <v>221</v>
      </c>
      <c r="C94" s="12">
        <v>-0.48</v>
      </c>
      <c r="D94" s="12"/>
      <c r="E94" s="12"/>
      <c r="F94" s="12"/>
      <c r="G94" s="12"/>
      <c r="H94" s="12"/>
      <c r="I94" s="12">
        <v>165</v>
      </c>
      <c r="J94" s="12">
        <v>255</v>
      </c>
      <c r="K94" s="12">
        <v>300</v>
      </c>
      <c r="L94" s="12" t="s">
        <v>308</v>
      </c>
      <c r="M94" s="12"/>
      <c r="N94" s="12"/>
      <c r="O94" s="12"/>
      <c r="P94" s="12"/>
      <c r="Q94" s="12"/>
      <c r="R94" s="192">
        <v>50.2</v>
      </c>
      <c r="S94" s="2"/>
    </row>
    <row r="95" spans="1:19" ht="15.75" customHeight="1">
      <c r="A95" s="182">
        <v>20</v>
      </c>
      <c r="B95" s="179" t="s">
        <v>222</v>
      </c>
      <c r="C95" s="12">
        <v>-2.76</v>
      </c>
      <c r="D95" s="12"/>
      <c r="E95" s="12"/>
      <c r="F95" s="12"/>
      <c r="G95" s="12"/>
      <c r="H95" s="12">
        <v>149</v>
      </c>
      <c r="I95" s="12">
        <v>158</v>
      </c>
      <c r="J95" s="12">
        <v>264</v>
      </c>
      <c r="K95" s="12">
        <v>309</v>
      </c>
      <c r="L95" s="12" t="s">
        <v>308</v>
      </c>
      <c r="M95" s="12"/>
      <c r="N95" s="12"/>
      <c r="O95" s="12"/>
      <c r="P95" s="12"/>
      <c r="Q95" s="12"/>
      <c r="R95" s="192">
        <v>5.33</v>
      </c>
      <c r="S95" s="2"/>
    </row>
    <row r="96" spans="1:19" ht="15.75" customHeight="1">
      <c r="A96" s="182">
        <v>20</v>
      </c>
      <c r="B96" s="179" t="s">
        <v>223</v>
      </c>
      <c r="C96" s="12">
        <v>2.08</v>
      </c>
      <c r="D96" s="12"/>
      <c r="E96" s="12"/>
      <c r="F96" s="12"/>
      <c r="G96" s="12"/>
      <c r="H96" s="12">
        <v>144</v>
      </c>
      <c r="I96" s="12">
        <v>159</v>
      </c>
      <c r="J96" s="12">
        <v>241</v>
      </c>
      <c r="K96" s="12">
        <v>291</v>
      </c>
      <c r="L96" s="12" t="s">
        <v>308</v>
      </c>
      <c r="M96" s="12"/>
      <c r="N96" s="12"/>
      <c r="O96" s="12"/>
      <c r="P96" s="12"/>
      <c r="Q96" s="12"/>
      <c r="R96" s="192">
        <v>32.299999999999997</v>
      </c>
      <c r="S96" s="2"/>
    </row>
    <row r="97" spans="1:19" ht="15.75" customHeight="1">
      <c r="A97" s="182">
        <v>20</v>
      </c>
      <c r="B97" s="179" t="s">
        <v>224</v>
      </c>
      <c r="C97" s="12">
        <v>-0.05</v>
      </c>
      <c r="D97" s="12"/>
      <c r="E97" s="12">
        <v>66.099999999999994</v>
      </c>
      <c r="F97" s="12"/>
      <c r="G97" s="12"/>
      <c r="H97" s="12">
        <v>130</v>
      </c>
      <c r="I97" s="12">
        <v>163</v>
      </c>
      <c r="J97" s="12">
        <v>244</v>
      </c>
      <c r="K97" s="12">
        <v>298</v>
      </c>
      <c r="L97" s="12" t="s">
        <v>308</v>
      </c>
      <c r="M97" s="12"/>
      <c r="N97" s="12"/>
      <c r="O97" s="12"/>
      <c r="P97" s="12"/>
      <c r="Q97" s="12"/>
      <c r="R97" s="192">
        <v>5.71</v>
      </c>
      <c r="S97" s="2"/>
    </row>
    <row r="98" spans="1:19" ht="15.75" customHeight="1">
      <c r="A98" s="182">
        <v>20</v>
      </c>
      <c r="B98" s="179" t="s">
        <v>225</v>
      </c>
      <c r="C98" s="12">
        <v>-0.48</v>
      </c>
      <c r="D98" s="12"/>
      <c r="E98" s="12"/>
      <c r="F98" s="12"/>
      <c r="G98" s="12"/>
      <c r="H98" s="12"/>
      <c r="I98" s="12">
        <v>165</v>
      </c>
      <c r="J98" s="12">
        <v>255</v>
      </c>
      <c r="K98" s="12">
        <v>300</v>
      </c>
      <c r="L98" s="12" t="s">
        <v>308</v>
      </c>
      <c r="M98" s="12"/>
      <c r="N98" s="12"/>
      <c r="O98" s="12"/>
      <c r="P98" s="12"/>
      <c r="Q98" s="12"/>
      <c r="R98" s="192">
        <v>50.2</v>
      </c>
      <c r="S98" s="2"/>
    </row>
    <row r="99" spans="1:19" ht="15.75" customHeight="1">
      <c r="A99" s="182">
        <v>20</v>
      </c>
      <c r="B99" s="179" t="s">
        <v>226</v>
      </c>
      <c r="C99" s="12">
        <v>-2.76</v>
      </c>
      <c r="D99" s="12"/>
      <c r="E99" s="12"/>
      <c r="F99" s="12"/>
      <c r="G99" s="12"/>
      <c r="H99" s="12">
        <v>149</v>
      </c>
      <c r="I99" s="12">
        <v>158</v>
      </c>
      <c r="J99" s="12">
        <v>264</v>
      </c>
      <c r="K99" s="12">
        <v>309</v>
      </c>
      <c r="L99" s="12" t="s">
        <v>308</v>
      </c>
      <c r="M99" s="12"/>
      <c r="N99" s="12"/>
      <c r="O99" s="12"/>
      <c r="P99" s="12"/>
      <c r="Q99" s="12"/>
      <c r="R99" s="192">
        <v>5.33</v>
      </c>
      <c r="S99" s="2"/>
    </row>
    <row r="100" spans="1:19" ht="15.75" customHeight="1">
      <c r="A100" s="182">
        <v>20</v>
      </c>
      <c r="B100" s="179" t="s">
        <v>227</v>
      </c>
      <c r="C100" s="12">
        <v>2.08</v>
      </c>
      <c r="D100" s="12"/>
      <c r="E100" s="12"/>
      <c r="F100" s="12"/>
      <c r="G100" s="12"/>
      <c r="H100" s="12">
        <v>144</v>
      </c>
      <c r="I100" s="12">
        <v>159</v>
      </c>
      <c r="J100" s="12">
        <v>241</v>
      </c>
      <c r="K100" s="12">
        <v>291</v>
      </c>
      <c r="L100" s="12" t="s">
        <v>308</v>
      </c>
      <c r="M100" s="12"/>
      <c r="N100" s="12"/>
      <c r="O100" s="12"/>
      <c r="P100" s="12"/>
      <c r="Q100" s="12"/>
      <c r="R100" s="192">
        <v>32.299999999999997</v>
      </c>
      <c r="S100" s="2"/>
    </row>
    <row r="101" spans="1:19" ht="15.75" customHeight="1">
      <c r="A101" s="182">
        <v>20</v>
      </c>
      <c r="B101" s="179" t="s">
        <v>230</v>
      </c>
      <c r="C101" s="12">
        <v>-0.05</v>
      </c>
      <c r="D101" s="12"/>
      <c r="E101" s="12">
        <v>66.099999999999994</v>
      </c>
      <c r="F101" s="12"/>
      <c r="G101" s="12"/>
      <c r="H101" s="12">
        <v>130</v>
      </c>
      <c r="I101" s="12">
        <v>163</v>
      </c>
      <c r="J101" s="12">
        <v>244</v>
      </c>
      <c r="K101" s="12">
        <v>298</v>
      </c>
      <c r="L101" s="12" t="s">
        <v>308</v>
      </c>
      <c r="M101" s="12"/>
      <c r="N101" s="12"/>
      <c r="O101" s="12"/>
      <c r="P101" s="12"/>
      <c r="Q101" s="12"/>
      <c r="R101" s="192">
        <v>5.71</v>
      </c>
      <c r="S101" s="2"/>
    </row>
    <row r="102" spans="1:19" ht="15.75" customHeight="1">
      <c r="A102" s="182">
        <v>20</v>
      </c>
      <c r="B102" s="179" t="s">
        <v>231</v>
      </c>
      <c r="C102" s="12">
        <v>-0.48</v>
      </c>
      <c r="D102" s="12"/>
      <c r="E102" s="12"/>
      <c r="F102" s="12"/>
      <c r="G102" s="12"/>
      <c r="H102" s="12"/>
      <c r="I102" s="12">
        <v>165</v>
      </c>
      <c r="J102" s="12">
        <v>255</v>
      </c>
      <c r="K102" s="12">
        <v>300</v>
      </c>
      <c r="L102" s="12" t="s">
        <v>308</v>
      </c>
      <c r="M102" s="12"/>
      <c r="N102" s="12"/>
      <c r="O102" s="12"/>
      <c r="P102" s="12"/>
      <c r="Q102" s="12"/>
      <c r="R102" s="192">
        <v>50.2</v>
      </c>
      <c r="S102" s="2"/>
    </row>
    <row r="103" spans="1:19" ht="15.75" customHeight="1">
      <c r="A103" s="182">
        <v>20</v>
      </c>
      <c r="B103" s="179" t="s">
        <v>232</v>
      </c>
      <c r="C103" s="12">
        <v>-2.76</v>
      </c>
      <c r="D103" s="12"/>
      <c r="E103" s="12"/>
      <c r="F103" s="12"/>
      <c r="G103" s="12"/>
      <c r="H103" s="12">
        <v>149</v>
      </c>
      <c r="I103" s="12">
        <v>158</v>
      </c>
      <c r="J103" s="12">
        <v>264</v>
      </c>
      <c r="K103" s="12">
        <v>309</v>
      </c>
      <c r="L103" s="12" t="s">
        <v>308</v>
      </c>
      <c r="M103" s="12"/>
      <c r="N103" s="12"/>
      <c r="O103" s="12"/>
      <c r="P103" s="12"/>
      <c r="Q103" s="12"/>
      <c r="R103" s="192">
        <v>5.33</v>
      </c>
      <c r="S103" s="2"/>
    </row>
    <row r="104" spans="1:19" ht="15.75" customHeight="1">
      <c r="A104" s="182">
        <v>20</v>
      </c>
      <c r="B104" s="179" t="s">
        <v>233</v>
      </c>
      <c r="C104" s="12">
        <v>2.08</v>
      </c>
      <c r="D104" s="12"/>
      <c r="E104" s="12"/>
      <c r="F104" s="12"/>
      <c r="G104" s="12"/>
      <c r="H104" s="12">
        <v>144</v>
      </c>
      <c r="I104" s="12">
        <v>159</v>
      </c>
      <c r="J104" s="12">
        <v>241</v>
      </c>
      <c r="K104" s="12">
        <v>291</v>
      </c>
      <c r="L104" s="12" t="s">
        <v>308</v>
      </c>
      <c r="M104" s="12"/>
      <c r="N104" s="12"/>
      <c r="O104" s="12"/>
      <c r="P104" s="12"/>
      <c r="Q104" s="12"/>
      <c r="R104" s="192">
        <v>32.299999999999997</v>
      </c>
      <c r="S104" s="2"/>
    </row>
    <row r="105" spans="1:19" ht="15.75" customHeight="1">
      <c r="A105" s="182">
        <v>20</v>
      </c>
      <c r="B105" s="179" t="s">
        <v>234</v>
      </c>
      <c r="C105" s="12">
        <v>-0.05</v>
      </c>
      <c r="D105" s="12"/>
      <c r="E105" s="12">
        <v>66.099999999999994</v>
      </c>
      <c r="F105" s="12"/>
      <c r="G105" s="12"/>
      <c r="H105" s="12">
        <v>130</v>
      </c>
      <c r="I105" s="12">
        <v>163</v>
      </c>
      <c r="J105" s="12">
        <v>244</v>
      </c>
      <c r="K105" s="12">
        <v>298</v>
      </c>
      <c r="L105" s="12" t="s">
        <v>308</v>
      </c>
      <c r="M105" s="12"/>
      <c r="N105" s="12"/>
      <c r="O105" s="12"/>
      <c r="P105" s="12"/>
      <c r="Q105" s="12"/>
      <c r="R105" s="192">
        <v>5.71</v>
      </c>
      <c r="S105" s="2"/>
    </row>
    <row r="106" spans="1:19" ht="15.75" customHeight="1">
      <c r="A106" s="182">
        <v>20</v>
      </c>
      <c r="B106" s="179" t="s">
        <v>235</v>
      </c>
      <c r="C106" s="12">
        <v>-0.48</v>
      </c>
      <c r="D106" s="12"/>
      <c r="E106" s="12"/>
      <c r="F106" s="12"/>
      <c r="G106" s="12"/>
      <c r="H106" s="12"/>
      <c r="I106" s="12">
        <v>165</v>
      </c>
      <c r="J106" s="12">
        <v>255</v>
      </c>
      <c r="K106" s="12">
        <v>300</v>
      </c>
      <c r="L106" s="12" t="s">
        <v>308</v>
      </c>
      <c r="M106" s="12"/>
      <c r="N106" s="12"/>
      <c r="O106" s="12"/>
      <c r="P106" s="12"/>
      <c r="Q106" s="12"/>
      <c r="R106" s="192">
        <v>50.2</v>
      </c>
      <c r="S106" s="2"/>
    </row>
    <row r="107" spans="1:19" ht="15.75" customHeight="1">
      <c r="A107" s="182">
        <v>20</v>
      </c>
      <c r="B107" s="179" t="s">
        <v>236</v>
      </c>
      <c r="C107" s="12">
        <v>-2.76</v>
      </c>
      <c r="D107" s="12"/>
      <c r="E107" s="12"/>
      <c r="F107" s="12"/>
      <c r="G107" s="12"/>
      <c r="H107" s="12">
        <v>149</v>
      </c>
      <c r="I107" s="12">
        <v>158</v>
      </c>
      <c r="J107" s="12">
        <v>264</v>
      </c>
      <c r="K107" s="12">
        <v>309</v>
      </c>
      <c r="L107" s="12" t="s">
        <v>308</v>
      </c>
      <c r="M107" s="12"/>
      <c r="N107" s="12"/>
      <c r="O107" s="12"/>
      <c r="P107" s="12"/>
      <c r="Q107" s="12"/>
      <c r="R107" s="192">
        <v>5.33</v>
      </c>
      <c r="S107" s="2"/>
    </row>
    <row r="108" spans="1:19" ht="15.75" customHeight="1">
      <c r="A108" s="182">
        <v>20</v>
      </c>
      <c r="B108" s="179" t="s">
        <v>237</v>
      </c>
      <c r="C108" s="12">
        <v>2.08</v>
      </c>
      <c r="D108" s="12"/>
      <c r="E108" s="12"/>
      <c r="F108" s="12"/>
      <c r="G108" s="12"/>
      <c r="H108" s="12">
        <v>144</v>
      </c>
      <c r="I108" s="12">
        <v>159</v>
      </c>
      <c r="J108" s="12">
        <v>241</v>
      </c>
      <c r="K108" s="12">
        <v>291</v>
      </c>
      <c r="L108" s="12" t="s">
        <v>308</v>
      </c>
      <c r="M108" s="12"/>
      <c r="N108" s="12"/>
      <c r="O108" s="12"/>
      <c r="P108" s="12"/>
      <c r="Q108" s="12"/>
      <c r="R108" s="192">
        <v>32.299999999999997</v>
      </c>
      <c r="S108" s="2"/>
    </row>
    <row r="109" spans="1:19" ht="15.75" customHeight="1">
      <c r="A109" s="205">
        <v>20</v>
      </c>
      <c r="B109" s="59" t="s">
        <v>238</v>
      </c>
      <c r="C109" s="12">
        <v>-0.05</v>
      </c>
      <c r="D109" s="12"/>
      <c r="E109" s="12">
        <v>66.099999999999994</v>
      </c>
      <c r="F109" s="12"/>
      <c r="G109" s="12"/>
      <c r="H109" s="12">
        <v>130</v>
      </c>
      <c r="I109" s="12">
        <v>163</v>
      </c>
      <c r="J109" s="12">
        <v>244</v>
      </c>
      <c r="K109" s="12">
        <v>298</v>
      </c>
      <c r="L109" s="12" t="s">
        <v>308</v>
      </c>
      <c r="M109" s="12"/>
      <c r="N109" s="12"/>
      <c r="O109" s="12"/>
      <c r="P109" s="12"/>
      <c r="Q109" s="12"/>
      <c r="R109" s="192">
        <v>5.71</v>
      </c>
      <c r="S109" s="2"/>
    </row>
    <row r="110" spans="1:19" ht="15.75" customHeight="1">
      <c r="A110" s="200">
        <v>20</v>
      </c>
      <c r="B110" s="59" t="s">
        <v>239</v>
      </c>
      <c r="C110" s="12">
        <v>-0.48</v>
      </c>
      <c r="D110" s="12"/>
      <c r="E110" s="12"/>
      <c r="F110" s="12"/>
      <c r="G110" s="12"/>
      <c r="H110" s="12"/>
      <c r="I110" s="12">
        <v>165</v>
      </c>
      <c r="J110" s="12">
        <v>255</v>
      </c>
      <c r="K110" s="12">
        <v>300</v>
      </c>
      <c r="L110" s="12" t="s">
        <v>308</v>
      </c>
      <c r="M110" s="12"/>
      <c r="N110" s="12"/>
      <c r="O110" s="12"/>
      <c r="P110" s="12"/>
      <c r="Q110" s="12"/>
      <c r="R110" s="192">
        <v>50.2</v>
      </c>
      <c r="S110" s="2"/>
    </row>
    <row r="111" spans="1:19" ht="15.75" customHeight="1">
      <c r="A111" s="200">
        <v>20</v>
      </c>
      <c r="B111" s="59" t="s">
        <v>240</v>
      </c>
      <c r="C111" s="12">
        <v>-2.76</v>
      </c>
      <c r="D111" s="12"/>
      <c r="E111" s="12"/>
      <c r="F111" s="12"/>
      <c r="G111" s="12"/>
      <c r="H111" s="12">
        <v>149</v>
      </c>
      <c r="I111" s="12">
        <v>158</v>
      </c>
      <c r="J111" s="12">
        <v>264</v>
      </c>
      <c r="K111" s="12">
        <v>309</v>
      </c>
      <c r="L111" s="12" t="s">
        <v>308</v>
      </c>
      <c r="M111" s="12"/>
      <c r="N111" s="12"/>
      <c r="O111" s="12"/>
      <c r="P111" s="12"/>
      <c r="Q111" s="12"/>
      <c r="R111" s="192">
        <v>5.33</v>
      </c>
      <c r="S111" s="2"/>
    </row>
    <row r="112" spans="1:19" ht="15.75" customHeight="1">
      <c r="A112" s="200">
        <v>20</v>
      </c>
      <c r="B112" s="59" t="s">
        <v>241</v>
      </c>
      <c r="C112" s="12">
        <v>2.08</v>
      </c>
      <c r="D112" s="12"/>
      <c r="E112" s="12"/>
      <c r="F112" s="12"/>
      <c r="G112" s="12"/>
      <c r="H112" s="12">
        <v>144</v>
      </c>
      <c r="I112" s="12">
        <v>159</v>
      </c>
      <c r="J112" s="12">
        <v>241</v>
      </c>
      <c r="K112" s="12">
        <v>291</v>
      </c>
      <c r="L112" s="12" t="s">
        <v>308</v>
      </c>
      <c r="M112" s="12"/>
      <c r="N112" s="12"/>
      <c r="O112" s="12"/>
      <c r="P112" s="12"/>
      <c r="Q112" s="12"/>
      <c r="R112" s="192">
        <v>32.299999999999997</v>
      </c>
      <c r="S112" s="2"/>
    </row>
    <row r="113" spans="1:19" ht="15.75" customHeight="1">
      <c r="A113" s="201">
        <v>21</v>
      </c>
      <c r="B113" s="58" t="s">
        <v>220</v>
      </c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7"/>
      <c r="S113" s="2"/>
    </row>
    <row r="114" spans="1:19" ht="15.75" customHeight="1">
      <c r="A114" s="200">
        <v>21</v>
      </c>
      <c r="B114" s="59" t="s">
        <v>221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08"/>
      <c r="S114" s="2"/>
    </row>
    <row r="115" spans="1:19" ht="15.75" customHeight="1">
      <c r="A115" s="200">
        <v>21</v>
      </c>
      <c r="B115" s="59" t="s">
        <v>222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08"/>
      <c r="S115" s="2"/>
    </row>
    <row r="116" spans="1:19" ht="15.75" customHeight="1">
      <c r="A116" s="200">
        <v>21</v>
      </c>
      <c r="B116" s="59" t="s">
        <v>223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08"/>
      <c r="S116" s="2"/>
    </row>
    <row r="117" spans="1:19" ht="15.75" customHeight="1">
      <c r="A117" s="200">
        <v>21</v>
      </c>
      <c r="B117" s="59" t="s">
        <v>228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08"/>
      <c r="S117" s="2"/>
    </row>
    <row r="118" spans="1:19" ht="15.75" customHeight="1">
      <c r="A118" s="200">
        <v>21</v>
      </c>
      <c r="B118" s="59" t="s">
        <v>242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08"/>
      <c r="S118" s="2"/>
    </row>
    <row r="119" spans="1:19" ht="15.75" customHeight="1">
      <c r="A119" s="200">
        <v>21</v>
      </c>
      <c r="B119" s="59" t="s">
        <v>243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08"/>
      <c r="S119" s="2"/>
    </row>
    <row r="120" spans="1:19" ht="15.75" customHeight="1">
      <c r="A120" s="200">
        <v>21</v>
      </c>
      <c r="B120" s="59" t="s">
        <v>244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08"/>
      <c r="S120" s="2"/>
    </row>
    <row r="121" spans="1:19" ht="15.75" customHeight="1">
      <c r="A121" s="201">
        <v>21</v>
      </c>
      <c r="B121" s="58" t="s">
        <v>224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08"/>
      <c r="S121" s="2"/>
    </row>
    <row r="122" spans="1:19" ht="15.75" customHeight="1">
      <c r="A122" s="200">
        <v>21</v>
      </c>
      <c r="B122" s="59" t="s">
        <v>225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08"/>
      <c r="S122" s="2"/>
    </row>
    <row r="123" spans="1:19" ht="15.75" customHeight="1">
      <c r="A123" s="200">
        <v>21</v>
      </c>
      <c r="B123" s="59" t="s">
        <v>226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08"/>
      <c r="S123" s="2"/>
    </row>
    <row r="124" spans="1:19" ht="15.75" customHeight="1">
      <c r="A124" s="200">
        <v>21</v>
      </c>
      <c r="B124" s="59" t="s">
        <v>227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08"/>
      <c r="S124" s="2"/>
    </row>
    <row r="125" spans="1:19" ht="15.75" customHeight="1">
      <c r="A125" s="200">
        <v>21</v>
      </c>
      <c r="B125" s="59" t="s">
        <v>229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08"/>
      <c r="S125" s="2"/>
    </row>
    <row r="126" spans="1:19" ht="15.75" customHeight="1">
      <c r="A126" s="200">
        <v>21</v>
      </c>
      <c r="B126" s="59" t="s">
        <v>245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08"/>
      <c r="S126" s="2"/>
    </row>
    <row r="127" spans="1:19" ht="15.75" customHeight="1">
      <c r="A127" s="200">
        <v>21</v>
      </c>
      <c r="B127" s="59" t="s">
        <v>246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08"/>
      <c r="S127" s="2"/>
    </row>
    <row r="128" spans="1:19" ht="15.75" customHeight="1">
      <c r="A128" s="202">
        <v>21</v>
      </c>
      <c r="B128" s="203" t="s">
        <v>247</v>
      </c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209"/>
      <c r="S128" s="2"/>
    </row>
    <row r="129" spans="1:19" ht="15.75" customHeight="1">
      <c r="A129" s="200">
        <v>22</v>
      </c>
      <c r="B129" s="59">
        <v>1</v>
      </c>
      <c r="C129" s="2"/>
      <c r="D129" s="2"/>
      <c r="E129" s="2" t="s">
        <v>322</v>
      </c>
      <c r="F129" s="2"/>
      <c r="G129" s="2"/>
      <c r="H129" s="2" t="s">
        <v>323</v>
      </c>
      <c r="I129" s="2"/>
      <c r="J129" s="2"/>
      <c r="K129" s="2"/>
      <c r="L129" s="248" t="s">
        <v>308</v>
      </c>
      <c r="M129" s="2"/>
      <c r="N129" s="2"/>
      <c r="O129" s="2"/>
      <c r="P129" s="2"/>
      <c r="Q129" s="2"/>
      <c r="R129" s="208" t="s">
        <v>324</v>
      </c>
      <c r="S129" s="2"/>
    </row>
    <row r="130" spans="1:19" ht="15.75" customHeight="1">
      <c r="A130" s="200">
        <v>22</v>
      </c>
      <c r="B130" s="59">
        <v>2</v>
      </c>
      <c r="C130" s="2"/>
      <c r="D130" s="2"/>
      <c r="E130" s="2" t="s">
        <v>325</v>
      </c>
      <c r="F130" s="2"/>
      <c r="G130" s="2"/>
      <c r="H130" s="2" t="s">
        <v>326</v>
      </c>
      <c r="I130" s="2"/>
      <c r="J130" s="2"/>
      <c r="K130" s="2"/>
      <c r="L130" s="67" t="s">
        <v>308</v>
      </c>
      <c r="M130" s="2"/>
      <c r="N130" s="2"/>
      <c r="O130" s="2"/>
      <c r="P130" s="2"/>
      <c r="Q130" s="2"/>
      <c r="R130" s="208" t="s">
        <v>327</v>
      </c>
      <c r="S130" s="2"/>
    </row>
    <row r="131" spans="1:19" ht="15.75" customHeight="1">
      <c r="A131" s="200">
        <v>22</v>
      </c>
      <c r="B131" s="59">
        <v>3</v>
      </c>
      <c r="C131" s="2"/>
      <c r="D131" s="2"/>
      <c r="E131" s="2" t="s">
        <v>328</v>
      </c>
      <c r="F131" s="2"/>
      <c r="G131" s="2"/>
      <c r="H131" s="2" t="s">
        <v>329</v>
      </c>
      <c r="I131" s="2"/>
      <c r="J131" s="2"/>
      <c r="K131" s="2"/>
      <c r="L131" s="67" t="s">
        <v>308</v>
      </c>
      <c r="M131" s="2"/>
      <c r="N131" s="2"/>
      <c r="O131" s="2"/>
      <c r="P131" s="2"/>
      <c r="Q131" s="2"/>
      <c r="R131" s="208" t="s">
        <v>330</v>
      </c>
      <c r="S131" s="2"/>
    </row>
    <row r="132" spans="1:19" ht="15.75" customHeight="1">
      <c r="A132" s="200">
        <v>22</v>
      </c>
      <c r="B132" s="59">
        <v>4</v>
      </c>
      <c r="C132" s="2"/>
      <c r="D132" s="2"/>
      <c r="E132" s="2" t="s">
        <v>331</v>
      </c>
      <c r="F132" s="2"/>
      <c r="G132" s="2"/>
      <c r="H132" s="2" t="s">
        <v>332</v>
      </c>
      <c r="I132" s="2"/>
      <c r="J132" s="2"/>
      <c r="K132" s="2"/>
      <c r="L132" s="67" t="s">
        <v>308</v>
      </c>
      <c r="M132" s="2"/>
      <c r="N132" s="2"/>
      <c r="O132" s="2"/>
      <c r="P132" s="2"/>
      <c r="Q132" s="2"/>
      <c r="R132" s="208" t="s">
        <v>333</v>
      </c>
      <c r="S132" s="2"/>
    </row>
    <row r="133" spans="1:19" ht="15.75" customHeight="1">
      <c r="A133" s="200">
        <v>22</v>
      </c>
      <c r="B133" s="59">
        <v>5</v>
      </c>
      <c r="C133" s="2"/>
      <c r="D133" s="2"/>
      <c r="E133" s="2" t="s">
        <v>334</v>
      </c>
      <c r="F133" s="2"/>
      <c r="G133" s="2"/>
      <c r="H133" s="2" t="s">
        <v>335</v>
      </c>
      <c r="I133" s="2"/>
      <c r="J133" s="2"/>
      <c r="K133" s="2"/>
      <c r="L133" s="67" t="s">
        <v>308</v>
      </c>
      <c r="M133" s="2"/>
      <c r="N133" s="2"/>
      <c r="O133" s="2"/>
      <c r="P133" s="2"/>
      <c r="Q133" s="2"/>
      <c r="R133" s="208" t="s">
        <v>336</v>
      </c>
      <c r="S133" s="2"/>
    </row>
    <row r="134" spans="1:19" ht="15.75" customHeight="1">
      <c r="A134" s="200">
        <v>22</v>
      </c>
      <c r="B134" s="59">
        <v>6</v>
      </c>
      <c r="C134" s="2"/>
      <c r="D134" s="2"/>
      <c r="E134" s="2" t="s">
        <v>337</v>
      </c>
      <c r="F134" s="2"/>
      <c r="G134" s="2"/>
      <c r="H134" s="2" t="s">
        <v>338</v>
      </c>
      <c r="I134" s="2"/>
      <c r="J134" s="2"/>
      <c r="K134" s="2"/>
      <c r="L134" s="67" t="s">
        <v>308</v>
      </c>
      <c r="M134" s="2"/>
      <c r="N134" s="2"/>
      <c r="O134" s="2"/>
      <c r="P134" s="2"/>
      <c r="Q134" s="2"/>
      <c r="R134" s="208" t="s">
        <v>339</v>
      </c>
      <c r="S134" s="2"/>
    </row>
    <row r="135" spans="1:19" ht="15.75" customHeight="1">
      <c r="A135" s="200">
        <v>22</v>
      </c>
      <c r="B135" s="59">
        <v>7</v>
      </c>
      <c r="C135" s="2"/>
      <c r="D135" s="2"/>
      <c r="E135" s="2" t="s">
        <v>328</v>
      </c>
      <c r="F135" s="2"/>
      <c r="G135" s="2"/>
      <c r="H135" s="2" t="s">
        <v>340</v>
      </c>
      <c r="I135" s="2"/>
      <c r="J135" s="2"/>
      <c r="K135" s="2"/>
      <c r="L135" s="67" t="s">
        <v>308</v>
      </c>
      <c r="M135" s="2"/>
      <c r="N135" s="2"/>
      <c r="O135" s="2"/>
      <c r="P135" s="2"/>
      <c r="Q135" s="2"/>
      <c r="R135" s="208" t="s">
        <v>341</v>
      </c>
      <c r="S135" s="2"/>
    </row>
    <row r="136" spans="1:19" ht="15.75" customHeight="1">
      <c r="A136" s="202">
        <v>22</v>
      </c>
      <c r="B136" s="203">
        <v>8</v>
      </c>
      <c r="C136" s="30"/>
      <c r="D136" s="30"/>
      <c r="E136" s="30" t="s">
        <v>342</v>
      </c>
      <c r="F136" s="30"/>
      <c r="G136" s="30"/>
      <c r="H136" s="30" t="s">
        <v>343</v>
      </c>
      <c r="I136" s="30"/>
      <c r="J136" s="30"/>
      <c r="K136" s="30"/>
      <c r="L136" s="68" t="s">
        <v>308</v>
      </c>
      <c r="M136" s="30"/>
      <c r="N136" s="30"/>
      <c r="O136" s="30"/>
      <c r="P136" s="30"/>
      <c r="Q136" s="30"/>
      <c r="R136" s="209" t="s">
        <v>344</v>
      </c>
      <c r="S136" s="2"/>
    </row>
    <row r="137" spans="1:19" ht="15.75" customHeight="1">
      <c r="A137" s="201">
        <v>23</v>
      </c>
      <c r="B137" s="58">
        <v>1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9" ht="15.75" customHeight="1">
      <c r="A138" s="200">
        <v>23</v>
      </c>
      <c r="B138" s="59">
        <v>2</v>
      </c>
    </row>
    <row r="139" spans="1:19" ht="15.75" customHeight="1">
      <c r="A139" s="200">
        <v>23</v>
      </c>
      <c r="B139" s="59">
        <v>3</v>
      </c>
    </row>
    <row r="140" spans="1:19" ht="15.75" customHeight="1">
      <c r="A140" s="200">
        <v>23</v>
      </c>
      <c r="B140" s="59">
        <v>4</v>
      </c>
    </row>
    <row r="141" spans="1:19" ht="15.75" customHeight="1">
      <c r="A141" s="202">
        <v>23</v>
      </c>
      <c r="B141" s="203">
        <v>5</v>
      </c>
    </row>
    <row r="142" spans="1:19" ht="15.75" customHeight="1">
      <c r="A142" s="210">
        <v>24</v>
      </c>
      <c r="B142" s="211">
        <v>1</v>
      </c>
    </row>
    <row r="143" spans="1:19" ht="15.75" customHeight="1">
      <c r="A143" s="210">
        <v>24</v>
      </c>
      <c r="B143" s="211">
        <v>2</v>
      </c>
    </row>
    <row r="144" spans="1:19" ht="15.75" customHeight="1">
      <c r="A144" s="210">
        <v>24</v>
      </c>
      <c r="B144" s="211">
        <v>3</v>
      </c>
    </row>
    <row r="145" spans="1:19" ht="15.75" customHeight="1">
      <c r="A145" s="210">
        <v>24</v>
      </c>
      <c r="B145" s="211">
        <v>4</v>
      </c>
    </row>
    <row r="146" spans="1:19" ht="15.75" customHeight="1">
      <c r="A146" s="210">
        <v>24</v>
      </c>
      <c r="B146" s="211">
        <v>5</v>
      </c>
    </row>
    <row r="147" spans="1:19" ht="15.75" customHeight="1">
      <c r="A147" s="210">
        <v>24</v>
      </c>
      <c r="B147" s="211">
        <v>6</v>
      </c>
    </row>
    <row r="148" spans="1:19" ht="15.75" customHeight="1">
      <c r="A148" s="210">
        <v>24</v>
      </c>
      <c r="B148" s="211">
        <v>7</v>
      </c>
    </row>
    <row r="149" spans="1:19" ht="15.75" customHeight="1">
      <c r="A149" s="201">
        <v>25</v>
      </c>
      <c r="B149" s="58">
        <v>1</v>
      </c>
    </row>
    <row r="150" spans="1:19" ht="15.75" customHeight="1">
      <c r="A150" s="200">
        <v>25</v>
      </c>
      <c r="B150" s="59">
        <v>2</v>
      </c>
    </row>
    <row r="151" spans="1:19" ht="15.75" customHeight="1">
      <c r="A151" s="200">
        <v>25</v>
      </c>
      <c r="B151" s="59">
        <v>3</v>
      </c>
    </row>
    <row r="152" spans="1:19" ht="15.75" customHeight="1">
      <c r="A152" s="202">
        <v>25</v>
      </c>
      <c r="B152" s="203">
        <v>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9" ht="15.75" customHeight="1">
      <c r="A153" s="200">
        <v>26</v>
      </c>
      <c r="B153" s="178" t="s">
        <v>220</v>
      </c>
      <c r="C153" s="206"/>
      <c r="D153" s="206"/>
      <c r="E153" s="199">
        <v>74.400000000000006</v>
      </c>
      <c r="F153" s="206"/>
      <c r="G153" s="206"/>
      <c r="H153" s="199">
        <v>166.6</v>
      </c>
      <c r="I153" s="199">
        <v>173.8</v>
      </c>
      <c r="J153" s="199">
        <v>242.6</v>
      </c>
      <c r="K153" s="206"/>
      <c r="L153" s="248" t="s">
        <v>308</v>
      </c>
      <c r="M153" s="206"/>
      <c r="N153" s="206"/>
      <c r="O153" s="206"/>
      <c r="P153" s="206"/>
      <c r="Q153" s="206"/>
      <c r="R153" s="207"/>
    </row>
    <row r="154" spans="1:19" ht="15.75" customHeight="1">
      <c r="A154" s="200">
        <v>26</v>
      </c>
      <c r="B154" s="179" t="s">
        <v>221</v>
      </c>
      <c r="E154" s="12">
        <v>84.7</v>
      </c>
      <c r="H154" s="12">
        <v>166.6</v>
      </c>
      <c r="I154" s="12">
        <v>172.8</v>
      </c>
      <c r="J154" s="12">
        <v>269</v>
      </c>
      <c r="L154" s="67" t="s">
        <v>308</v>
      </c>
      <c r="R154" s="208"/>
    </row>
    <row r="155" spans="1:19" ht="15.75" customHeight="1">
      <c r="A155" s="200">
        <v>26</v>
      </c>
      <c r="B155" s="179" t="s">
        <v>222</v>
      </c>
      <c r="E155" s="12">
        <v>85.05</v>
      </c>
      <c r="H155" s="12">
        <v>167.5</v>
      </c>
      <c r="I155" s="12">
        <v>173.2</v>
      </c>
      <c r="J155" s="12">
        <v>269</v>
      </c>
      <c r="L155" s="67" t="s">
        <v>308</v>
      </c>
      <c r="R155" s="208"/>
    </row>
    <row r="156" spans="1:19" ht="15.75" customHeight="1">
      <c r="A156" s="200">
        <v>26</v>
      </c>
      <c r="B156" s="179" t="s">
        <v>223</v>
      </c>
      <c r="C156" s="2"/>
      <c r="D156" s="2"/>
      <c r="E156" s="12">
        <v>88</v>
      </c>
      <c r="F156" s="2"/>
      <c r="G156" s="2"/>
      <c r="H156" s="12">
        <v>167.9</v>
      </c>
      <c r="I156" s="12">
        <v>174.8</v>
      </c>
      <c r="J156" s="12">
        <v>269</v>
      </c>
      <c r="K156" s="2"/>
      <c r="L156" s="67" t="s">
        <v>308</v>
      </c>
      <c r="M156" s="2"/>
      <c r="N156" s="2"/>
      <c r="O156" s="2"/>
      <c r="P156" s="2"/>
      <c r="Q156" s="2"/>
      <c r="R156" s="208"/>
    </row>
    <row r="157" spans="1:19" ht="15.75" customHeight="1">
      <c r="A157" s="200">
        <v>26</v>
      </c>
      <c r="B157" s="179" t="s">
        <v>228</v>
      </c>
      <c r="C157" s="2"/>
      <c r="D157" s="2"/>
      <c r="E157" s="12">
        <v>89.4</v>
      </c>
      <c r="F157" s="2"/>
      <c r="G157" s="2"/>
      <c r="H157" s="12">
        <v>167.5</v>
      </c>
      <c r="I157" s="12">
        <v>173.5</v>
      </c>
      <c r="J157" s="12">
        <v>269</v>
      </c>
      <c r="K157" s="2"/>
      <c r="L157" s="67" t="s">
        <v>308</v>
      </c>
      <c r="M157" s="2"/>
      <c r="N157" s="2"/>
      <c r="O157" s="2"/>
      <c r="P157" s="2"/>
      <c r="Q157" s="2"/>
      <c r="R157" s="208"/>
      <c r="S157" s="2"/>
    </row>
    <row r="158" spans="1:19" ht="15.75" customHeight="1">
      <c r="A158" s="200">
        <v>26</v>
      </c>
      <c r="B158" s="179" t="s">
        <v>224</v>
      </c>
      <c r="C158" s="2"/>
      <c r="D158" s="2"/>
      <c r="E158" s="12">
        <v>74.400000000000006</v>
      </c>
      <c r="F158" s="2"/>
      <c r="G158" s="2"/>
      <c r="H158" s="12">
        <v>166.6</v>
      </c>
      <c r="I158" s="12">
        <v>173.8</v>
      </c>
      <c r="J158" s="12">
        <v>242.6</v>
      </c>
      <c r="K158" s="2"/>
      <c r="L158" s="67" t="s">
        <v>308</v>
      </c>
      <c r="M158" s="2"/>
      <c r="N158" s="2"/>
      <c r="O158" s="2"/>
      <c r="P158" s="2"/>
      <c r="Q158" s="2"/>
      <c r="R158" s="208"/>
    </row>
    <row r="159" spans="1:19" ht="15.75" customHeight="1">
      <c r="A159" s="200">
        <v>26</v>
      </c>
      <c r="B159" s="179" t="s">
        <v>225</v>
      </c>
      <c r="E159" s="12">
        <v>84.7</v>
      </c>
      <c r="H159" s="12">
        <v>166.6</v>
      </c>
      <c r="I159" s="12">
        <v>172.8</v>
      </c>
      <c r="J159" s="12">
        <v>269</v>
      </c>
      <c r="L159" s="67" t="s">
        <v>308</v>
      </c>
      <c r="R159" s="208"/>
    </row>
    <row r="160" spans="1:19" ht="15.75" customHeight="1">
      <c r="A160" s="200">
        <v>26</v>
      </c>
      <c r="B160" s="179" t="s">
        <v>226</v>
      </c>
      <c r="E160" s="12">
        <v>85.05</v>
      </c>
      <c r="H160" s="12">
        <v>167.5</v>
      </c>
      <c r="I160" s="12">
        <v>173.2</v>
      </c>
      <c r="J160" s="12">
        <v>269</v>
      </c>
      <c r="L160" s="67" t="s">
        <v>308</v>
      </c>
      <c r="R160" s="208"/>
    </row>
    <row r="161" spans="1:18" ht="15.75" customHeight="1">
      <c r="A161" s="200">
        <v>26</v>
      </c>
      <c r="B161" s="179" t="s">
        <v>227</v>
      </c>
      <c r="E161" s="12">
        <v>88</v>
      </c>
      <c r="H161" s="12">
        <v>167.9</v>
      </c>
      <c r="I161" s="12">
        <v>174.8</v>
      </c>
      <c r="J161" s="12">
        <v>269</v>
      </c>
      <c r="L161" s="67" t="s">
        <v>308</v>
      </c>
      <c r="R161" s="208"/>
    </row>
    <row r="162" spans="1:18" ht="15.75" customHeight="1">
      <c r="A162" s="202">
        <v>26</v>
      </c>
      <c r="B162" s="203" t="s">
        <v>229</v>
      </c>
      <c r="C162" s="30"/>
      <c r="D162" s="30"/>
      <c r="E162" s="24">
        <v>89.4</v>
      </c>
      <c r="F162" s="30"/>
      <c r="G162" s="30"/>
      <c r="H162" s="24">
        <v>167.5</v>
      </c>
      <c r="I162" s="24">
        <v>173.5</v>
      </c>
      <c r="J162" s="24">
        <v>269</v>
      </c>
      <c r="K162" s="30"/>
      <c r="L162" s="68" t="s">
        <v>308</v>
      </c>
      <c r="M162" s="30"/>
      <c r="N162" s="30"/>
      <c r="O162" s="30"/>
      <c r="P162" s="30"/>
      <c r="Q162" s="30"/>
      <c r="R162" s="209"/>
    </row>
    <row r="163" spans="1:18" ht="15.75" customHeight="1">
      <c r="A163" s="200">
        <v>27</v>
      </c>
      <c r="B163" s="178">
        <v>1</v>
      </c>
      <c r="C163" s="206"/>
      <c r="D163" s="206"/>
      <c r="E163" s="199">
        <v>116.9</v>
      </c>
      <c r="F163" s="199"/>
      <c r="G163" s="199"/>
      <c r="H163" s="199">
        <v>164.2</v>
      </c>
      <c r="I163" s="199"/>
      <c r="J163" s="199">
        <v>195.6</v>
      </c>
      <c r="K163" s="199">
        <v>272.3</v>
      </c>
      <c r="L163" s="248" t="s">
        <v>308</v>
      </c>
      <c r="M163" s="199">
        <v>81.099999999999994</v>
      </c>
      <c r="N163" s="199"/>
      <c r="O163" s="199">
        <v>76.599999999999994</v>
      </c>
      <c r="P163" s="199"/>
      <c r="Q163" s="248" t="s">
        <v>309</v>
      </c>
      <c r="R163" s="189">
        <v>55.5</v>
      </c>
    </row>
    <row r="164" spans="1:18" ht="15.75" customHeight="1">
      <c r="A164" s="200">
        <v>27</v>
      </c>
      <c r="B164" s="179">
        <v>2</v>
      </c>
      <c r="E164" s="12">
        <v>115.5</v>
      </c>
      <c r="F164" s="12"/>
      <c r="G164" s="12"/>
      <c r="H164" s="12">
        <v>163</v>
      </c>
      <c r="I164" s="12"/>
      <c r="J164" s="12">
        <v>195.7</v>
      </c>
      <c r="K164" s="12">
        <v>270.60000000000002</v>
      </c>
      <c r="L164" s="67" t="s">
        <v>308</v>
      </c>
      <c r="M164" s="12">
        <v>78.400000000000006</v>
      </c>
      <c r="N164" s="12"/>
      <c r="O164" s="12">
        <v>74</v>
      </c>
      <c r="P164" s="12"/>
      <c r="Q164" s="67" t="s">
        <v>309</v>
      </c>
      <c r="R164" s="192">
        <v>54.8</v>
      </c>
    </row>
    <row r="165" spans="1:18" ht="15.75" customHeight="1">
      <c r="A165" s="200">
        <v>27</v>
      </c>
      <c r="B165" s="179">
        <v>3</v>
      </c>
      <c r="E165" s="12">
        <v>118.2</v>
      </c>
      <c r="F165" s="12"/>
      <c r="G165" s="12"/>
      <c r="H165" s="12">
        <v>163.30000000000001</v>
      </c>
      <c r="I165" s="12"/>
      <c r="J165" s="12">
        <v>200.9</v>
      </c>
      <c r="K165" s="12">
        <v>262.10000000000002</v>
      </c>
      <c r="L165" s="67" t="s">
        <v>308</v>
      </c>
      <c r="M165" s="12">
        <v>81.5</v>
      </c>
      <c r="N165" s="12"/>
      <c r="O165" s="12">
        <v>77.099999999999994</v>
      </c>
      <c r="P165" s="12"/>
      <c r="Q165" s="67" t="s">
        <v>309</v>
      </c>
      <c r="R165" s="192">
        <v>57</v>
      </c>
    </row>
    <row r="166" spans="1:18" ht="15.75" customHeight="1">
      <c r="A166" s="174">
        <v>27</v>
      </c>
      <c r="B166" s="179">
        <v>4</v>
      </c>
      <c r="C166" s="30"/>
      <c r="D166" s="30"/>
      <c r="E166" s="24">
        <v>118.2</v>
      </c>
      <c r="F166" s="24"/>
      <c r="G166" s="24"/>
      <c r="H166" s="24">
        <v>163.6</v>
      </c>
      <c r="I166" s="24"/>
      <c r="J166" s="24">
        <v>206.8</v>
      </c>
      <c r="K166" s="24">
        <v>274.3</v>
      </c>
      <c r="L166" s="68" t="s">
        <v>308</v>
      </c>
      <c r="M166" s="24">
        <v>81.5</v>
      </c>
      <c r="N166" s="24"/>
      <c r="O166" s="24">
        <v>76.900000000000006</v>
      </c>
      <c r="P166" s="24"/>
      <c r="Q166" s="68" t="s">
        <v>309</v>
      </c>
      <c r="R166" s="193">
        <v>57</v>
      </c>
    </row>
    <row r="167" spans="1:18" ht="15.75" customHeight="1">
      <c r="A167" s="201">
        <v>28</v>
      </c>
      <c r="B167" s="58">
        <v>1</v>
      </c>
    </row>
    <row r="168" spans="1:18" ht="15.75" customHeight="1">
      <c r="A168" s="200">
        <v>28</v>
      </c>
      <c r="B168" s="59">
        <v>2</v>
      </c>
    </row>
    <row r="169" spans="1:18" ht="15.75" customHeight="1">
      <c r="A169" s="200">
        <v>28</v>
      </c>
      <c r="B169" s="59">
        <v>3</v>
      </c>
    </row>
    <row r="170" spans="1:18" ht="15.75" customHeight="1">
      <c r="A170" s="200">
        <v>28</v>
      </c>
      <c r="B170" s="59">
        <v>4</v>
      </c>
    </row>
    <row r="171" spans="1:18" ht="15.75" customHeight="1">
      <c r="A171" s="200">
        <v>28</v>
      </c>
      <c r="B171" s="59">
        <v>5</v>
      </c>
    </row>
    <row r="172" spans="1:18" ht="15.75" customHeight="1">
      <c r="A172" s="200">
        <v>28</v>
      </c>
      <c r="B172" s="59">
        <v>6</v>
      </c>
    </row>
    <row r="173" spans="1:18" ht="15.75" customHeight="1">
      <c r="A173" s="201">
        <v>29</v>
      </c>
      <c r="B173" s="58">
        <v>1</v>
      </c>
    </row>
    <row r="174" spans="1:18" ht="15.75" customHeight="1">
      <c r="A174" s="200">
        <v>29</v>
      </c>
      <c r="B174" s="59">
        <v>2</v>
      </c>
    </row>
    <row r="175" spans="1:18" ht="15.75" customHeight="1">
      <c r="A175" s="200">
        <v>29</v>
      </c>
      <c r="B175" s="59">
        <v>3</v>
      </c>
    </row>
    <row r="176" spans="1:18" ht="15.75" customHeight="1">
      <c r="A176" s="200">
        <v>29</v>
      </c>
      <c r="B176" s="59">
        <v>4</v>
      </c>
    </row>
    <row r="177" spans="1:18" ht="15.75" customHeight="1">
      <c r="A177" s="200">
        <v>29</v>
      </c>
      <c r="B177" s="59">
        <v>5</v>
      </c>
    </row>
    <row r="178" spans="1:18" ht="15.75" customHeight="1">
      <c r="A178" s="201">
        <v>30</v>
      </c>
      <c r="B178" s="58">
        <v>1</v>
      </c>
    </row>
    <row r="179" spans="1:18" ht="15.75" customHeight="1">
      <c r="A179" s="200">
        <v>30</v>
      </c>
      <c r="B179" s="59">
        <v>2</v>
      </c>
    </row>
    <row r="180" spans="1:18" ht="15.75" customHeight="1">
      <c r="A180" s="200">
        <v>30</v>
      </c>
      <c r="B180" s="59">
        <v>3</v>
      </c>
    </row>
    <row r="181" spans="1:18" ht="15.75" customHeight="1">
      <c r="A181" s="201">
        <v>31</v>
      </c>
      <c r="B181" s="58">
        <v>1</v>
      </c>
    </row>
    <row r="182" spans="1:18" ht="15.75" customHeight="1">
      <c r="A182" s="200">
        <v>31</v>
      </c>
      <c r="B182" s="59">
        <v>2</v>
      </c>
    </row>
    <row r="183" spans="1:18" ht="15.75" customHeight="1">
      <c r="A183" s="200">
        <v>31</v>
      </c>
      <c r="B183" s="59">
        <v>3</v>
      </c>
    </row>
    <row r="184" spans="1:18" ht="15.75" customHeight="1">
      <c r="A184" s="200">
        <v>31</v>
      </c>
      <c r="B184" s="59">
        <v>4</v>
      </c>
    </row>
    <row r="185" spans="1:18" ht="15.75" customHeight="1">
      <c r="A185" s="202">
        <v>31</v>
      </c>
      <c r="B185" s="203">
        <v>5</v>
      </c>
    </row>
    <row r="186" spans="1:18" ht="15.75" customHeight="1">
      <c r="A186" s="177">
        <v>32</v>
      </c>
      <c r="B186" s="178">
        <v>1</v>
      </c>
      <c r="C186" s="199"/>
      <c r="D186" s="199"/>
      <c r="E186" s="199">
        <v>54.5</v>
      </c>
      <c r="F186" s="199"/>
      <c r="G186" s="199"/>
      <c r="H186" s="199">
        <v>168.7</v>
      </c>
      <c r="I186" s="199"/>
      <c r="J186" s="199"/>
      <c r="K186" s="199">
        <v>268</v>
      </c>
      <c r="L186" s="248" t="s">
        <v>308</v>
      </c>
      <c r="M186" s="199">
        <v>80</v>
      </c>
      <c r="N186" s="199"/>
      <c r="O186" s="199"/>
      <c r="P186" s="199"/>
      <c r="Q186" s="248" t="s">
        <v>309</v>
      </c>
      <c r="R186" s="189">
        <v>54.8</v>
      </c>
    </row>
    <row r="187" spans="1:18" ht="15.75" customHeight="1">
      <c r="A187" s="175">
        <v>32</v>
      </c>
      <c r="B187" s="180">
        <v>2</v>
      </c>
      <c r="C187" s="24"/>
      <c r="D187" s="24"/>
      <c r="E187" s="24">
        <v>76</v>
      </c>
      <c r="F187" s="24"/>
      <c r="G187" s="24"/>
      <c r="H187" s="24">
        <v>168.7</v>
      </c>
      <c r="I187" s="24"/>
      <c r="J187" s="24"/>
      <c r="K187" s="24">
        <v>293</v>
      </c>
      <c r="L187" s="68" t="s">
        <v>308</v>
      </c>
      <c r="M187" s="24">
        <v>74.3</v>
      </c>
      <c r="N187" s="24"/>
      <c r="O187" s="24"/>
      <c r="P187" s="24"/>
      <c r="Q187" s="68" t="s">
        <v>309</v>
      </c>
      <c r="R187" s="193">
        <v>53.6</v>
      </c>
    </row>
    <row r="188" spans="1:18" ht="15.75" customHeight="1">
      <c r="A188" s="201">
        <v>33</v>
      </c>
      <c r="B188" s="178">
        <v>1</v>
      </c>
      <c r="C188" s="199"/>
      <c r="D188" s="199"/>
      <c r="E188" s="199">
        <v>92.6</v>
      </c>
      <c r="F188" s="199"/>
      <c r="G188" s="199"/>
      <c r="H188" s="199">
        <v>167.1</v>
      </c>
      <c r="I188" s="199">
        <v>175.7</v>
      </c>
      <c r="J188" s="199"/>
      <c r="K188" s="199"/>
      <c r="L188" s="248" t="s">
        <v>308</v>
      </c>
      <c r="M188" s="199">
        <v>97.5</v>
      </c>
      <c r="N188" s="199"/>
      <c r="O188" s="199">
        <v>87.3</v>
      </c>
      <c r="P188" s="199"/>
      <c r="Q188" s="248" t="s">
        <v>309</v>
      </c>
      <c r="R188" s="189">
        <v>66.8</v>
      </c>
    </row>
    <row r="189" spans="1:18" ht="15.75" customHeight="1">
      <c r="A189" s="200">
        <v>33</v>
      </c>
      <c r="B189" s="179">
        <v>2</v>
      </c>
      <c r="C189" s="12"/>
      <c r="D189" s="12"/>
      <c r="E189" s="12">
        <v>80.7</v>
      </c>
      <c r="F189" s="12"/>
      <c r="G189" s="12"/>
      <c r="H189" s="12">
        <v>167.8</v>
      </c>
      <c r="I189" s="12">
        <v>175.9</v>
      </c>
      <c r="J189" s="12"/>
      <c r="K189" s="12"/>
      <c r="L189" s="67" t="s">
        <v>308</v>
      </c>
      <c r="M189" s="12">
        <v>84.5</v>
      </c>
      <c r="N189" s="12"/>
      <c r="O189" s="12">
        <v>69.2</v>
      </c>
      <c r="P189" s="12"/>
      <c r="Q189" s="67" t="s">
        <v>309</v>
      </c>
      <c r="R189" s="192">
        <v>58.5</v>
      </c>
    </row>
    <row r="190" spans="1:18" ht="15.75" customHeight="1">
      <c r="A190" s="200">
        <v>33</v>
      </c>
      <c r="B190" s="179">
        <v>3</v>
      </c>
      <c r="C190" s="12"/>
      <c r="D190" s="12"/>
      <c r="E190" s="12">
        <v>71.099999999999994</v>
      </c>
      <c r="F190" s="12"/>
      <c r="G190" s="12"/>
      <c r="H190" s="12">
        <v>163.6</v>
      </c>
      <c r="I190" s="12">
        <v>173.1</v>
      </c>
      <c r="J190" s="12"/>
      <c r="K190" s="12"/>
      <c r="L190" s="67" t="s">
        <v>308</v>
      </c>
      <c r="M190" s="12">
        <v>87.5</v>
      </c>
      <c r="N190" s="12"/>
      <c r="O190" s="12">
        <v>51.1</v>
      </c>
      <c r="P190" s="12"/>
      <c r="Q190" s="67" t="s">
        <v>309</v>
      </c>
      <c r="R190" s="192">
        <v>63.1</v>
      </c>
    </row>
    <row r="191" spans="1:18" ht="15.75" customHeight="1">
      <c r="A191" s="202">
        <v>33</v>
      </c>
      <c r="B191" s="180">
        <v>4</v>
      </c>
      <c r="C191" s="24"/>
      <c r="D191" s="24"/>
      <c r="E191" s="24">
        <v>69.5</v>
      </c>
      <c r="F191" s="24"/>
      <c r="G191" s="24"/>
      <c r="H191" s="24">
        <v>167.5</v>
      </c>
      <c r="I191" s="24">
        <v>175.4</v>
      </c>
      <c r="J191" s="24"/>
      <c r="K191" s="24"/>
      <c r="L191" s="68" t="s">
        <v>308</v>
      </c>
      <c r="M191" s="24">
        <v>72.099999999999994</v>
      </c>
      <c r="N191" s="24"/>
      <c r="O191" s="24">
        <v>53.2</v>
      </c>
      <c r="P191" s="24"/>
      <c r="Q191" s="68" t="s">
        <v>309</v>
      </c>
      <c r="R191" s="193">
        <v>61.7</v>
      </c>
    </row>
    <row r="192" spans="1:18" ht="15.75" customHeight="1">
      <c r="A192" s="181">
        <v>34</v>
      </c>
      <c r="B192" s="178">
        <v>1</v>
      </c>
      <c r="C192" s="199"/>
      <c r="D192" s="199"/>
      <c r="E192" s="199">
        <v>90.3</v>
      </c>
      <c r="F192" s="199"/>
      <c r="G192" s="199"/>
      <c r="H192" s="199">
        <v>169.6</v>
      </c>
      <c r="I192" s="199">
        <v>175.6</v>
      </c>
      <c r="J192" s="199">
        <v>287</v>
      </c>
      <c r="K192" s="199"/>
      <c r="L192" s="248" t="s">
        <v>308</v>
      </c>
      <c r="M192" s="199">
        <v>96.09</v>
      </c>
      <c r="N192" s="199"/>
      <c r="O192" s="199">
        <v>82.86</v>
      </c>
      <c r="P192" s="199"/>
      <c r="Q192" s="248" t="s">
        <v>309</v>
      </c>
      <c r="R192" s="189"/>
    </row>
    <row r="193" spans="1:18" ht="15.75" customHeight="1">
      <c r="A193" s="182">
        <v>34</v>
      </c>
      <c r="B193" s="179">
        <v>2</v>
      </c>
      <c r="C193" s="12"/>
      <c r="D193" s="12"/>
      <c r="E193" s="12">
        <v>92.5</v>
      </c>
      <c r="F193" s="12"/>
      <c r="G193" s="12"/>
      <c r="H193" s="12">
        <v>170</v>
      </c>
      <c r="I193" s="12">
        <v>175.7</v>
      </c>
      <c r="J193" s="12">
        <v>290</v>
      </c>
      <c r="K193" s="12"/>
      <c r="L193" s="67" t="s">
        <v>308</v>
      </c>
      <c r="M193" s="12">
        <v>82.42</v>
      </c>
      <c r="N193" s="12"/>
      <c r="O193" s="12">
        <v>76.52</v>
      </c>
      <c r="P193" s="12"/>
      <c r="Q193" s="67" t="s">
        <v>309</v>
      </c>
      <c r="R193" s="192"/>
    </row>
    <row r="194" spans="1:18" ht="15.75" customHeight="1">
      <c r="A194" s="182">
        <v>34</v>
      </c>
      <c r="B194" s="179">
        <v>3</v>
      </c>
      <c r="C194" s="12"/>
      <c r="D194" s="12"/>
      <c r="E194" s="12">
        <v>72.900000000000006</v>
      </c>
      <c r="F194" s="12"/>
      <c r="G194" s="12"/>
      <c r="H194" s="12">
        <v>168.2</v>
      </c>
      <c r="I194" s="12">
        <v>176</v>
      </c>
      <c r="J194" s="12">
        <v>282</v>
      </c>
      <c r="K194" s="12"/>
      <c r="L194" s="67" t="s">
        <v>308</v>
      </c>
      <c r="M194" s="12">
        <v>88.28</v>
      </c>
      <c r="N194" s="12"/>
      <c r="O194" s="12">
        <v>61.19</v>
      </c>
      <c r="P194" s="12"/>
      <c r="Q194" s="67" t="s">
        <v>309</v>
      </c>
      <c r="R194" s="192"/>
    </row>
    <row r="195" spans="1:18" ht="15.75" customHeight="1">
      <c r="A195" s="183">
        <v>34</v>
      </c>
      <c r="B195" s="180">
        <v>4</v>
      </c>
      <c r="C195" s="24"/>
      <c r="D195" s="24"/>
      <c r="E195" s="24">
        <v>80.5</v>
      </c>
      <c r="F195" s="24"/>
      <c r="G195" s="24"/>
      <c r="H195" s="24">
        <v>168</v>
      </c>
      <c r="I195" s="24">
        <v>168</v>
      </c>
      <c r="J195" s="24">
        <v>282</v>
      </c>
      <c r="K195" s="24"/>
      <c r="L195" s="68" t="s">
        <v>308</v>
      </c>
      <c r="M195" s="24">
        <v>92.73</v>
      </c>
      <c r="N195" s="24"/>
      <c r="O195" s="24">
        <v>75.73</v>
      </c>
      <c r="P195" s="24"/>
      <c r="Q195" s="68" t="s">
        <v>309</v>
      </c>
      <c r="R195" s="193"/>
    </row>
    <row r="196" spans="1:18" ht="15.75" customHeight="1">
      <c r="A196" s="201">
        <v>35</v>
      </c>
      <c r="B196" s="58">
        <v>1</v>
      </c>
    </row>
    <row r="197" spans="1:18" ht="15.75" customHeight="1">
      <c r="A197" s="200">
        <v>35</v>
      </c>
      <c r="B197" s="59">
        <v>2</v>
      </c>
    </row>
    <row r="198" spans="1:18" ht="15.75" customHeight="1">
      <c r="A198" s="200">
        <v>35</v>
      </c>
      <c r="B198" s="59">
        <v>3</v>
      </c>
    </row>
    <row r="199" spans="1:18" ht="15.75" customHeight="1">
      <c r="A199" s="202">
        <v>35</v>
      </c>
      <c r="B199" s="203">
        <v>4</v>
      </c>
    </row>
    <row r="200" spans="1:18" ht="15.75" customHeight="1">
      <c r="A200" s="205">
        <v>36</v>
      </c>
      <c r="B200" s="59">
        <v>1</v>
      </c>
    </row>
    <row r="201" spans="1:18" ht="15.75" customHeight="1">
      <c r="A201" s="205">
        <v>36</v>
      </c>
      <c r="B201" s="59">
        <v>2</v>
      </c>
    </row>
    <row r="202" spans="1:18" ht="15.75" customHeight="1">
      <c r="A202" s="205">
        <v>36</v>
      </c>
      <c r="B202" s="59">
        <v>3</v>
      </c>
    </row>
    <row r="203" spans="1:18" ht="15.75" customHeight="1">
      <c r="A203" s="213">
        <v>36</v>
      </c>
      <c r="B203" s="59">
        <v>4</v>
      </c>
    </row>
    <row r="204" spans="1:18" ht="15.75" customHeight="1">
      <c r="A204" s="205">
        <v>37</v>
      </c>
      <c r="B204" s="178">
        <v>1</v>
      </c>
      <c r="C204" s="199"/>
      <c r="D204" s="199"/>
      <c r="E204" s="199">
        <v>112.2</v>
      </c>
      <c r="F204" s="199"/>
      <c r="G204" s="199"/>
      <c r="H204" s="199">
        <v>163.80000000000001</v>
      </c>
      <c r="I204" s="199">
        <v>170.5</v>
      </c>
      <c r="J204" s="199">
        <v>191.9</v>
      </c>
      <c r="K204" s="199">
        <v>266.3</v>
      </c>
      <c r="L204" s="248" t="s">
        <v>308</v>
      </c>
      <c r="M204" s="199">
        <v>57.7</v>
      </c>
      <c r="N204" s="199">
        <v>18.399999999999999</v>
      </c>
      <c r="O204" s="199">
        <v>73.599999999999994</v>
      </c>
      <c r="P204" s="199"/>
      <c r="Q204" s="248" t="s">
        <v>309</v>
      </c>
      <c r="R204" s="189">
        <v>57.9</v>
      </c>
    </row>
    <row r="205" spans="1:18" ht="15.75" customHeight="1">
      <c r="A205" s="205">
        <v>37</v>
      </c>
      <c r="B205" s="179">
        <v>2</v>
      </c>
      <c r="C205" s="12"/>
      <c r="D205" s="12"/>
      <c r="E205" s="12">
        <v>111.8</v>
      </c>
      <c r="F205" s="12"/>
      <c r="G205" s="12"/>
      <c r="H205" s="12">
        <v>163</v>
      </c>
      <c r="I205" s="12">
        <v>170.7</v>
      </c>
      <c r="J205" s="12">
        <v>202.4</v>
      </c>
      <c r="K205" s="12">
        <v>270.7</v>
      </c>
      <c r="L205" s="67" t="s">
        <v>308</v>
      </c>
      <c r="M205" s="12">
        <v>53.2</v>
      </c>
      <c r="N205" s="12">
        <v>22.3</v>
      </c>
      <c r="O205" s="12">
        <v>73.8</v>
      </c>
      <c r="P205" s="12"/>
      <c r="Q205" s="67" t="s">
        <v>309</v>
      </c>
      <c r="R205" s="192">
        <v>57.5</v>
      </c>
    </row>
    <row r="206" spans="1:18" ht="15.75" customHeight="1">
      <c r="A206" s="205">
        <v>37</v>
      </c>
      <c r="B206" s="179">
        <v>3</v>
      </c>
      <c r="C206" s="12"/>
      <c r="D206" s="12"/>
      <c r="E206" s="12">
        <v>114.6</v>
      </c>
      <c r="F206" s="12"/>
      <c r="G206" s="12"/>
      <c r="H206" s="12">
        <v>163.6</v>
      </c>
      <c r="I206" s="12">
        <v>170.5</v>
      </c>
      <c r="J206" s="12">
        <v>192.4</v>
      </c>
      <c r="K206" s="12">
        <v>267.89999999999998</v>
      </c>
      <c r="L206" s="67" t="s">
        <v>308</v>
      </c>
      <c r="M206" s="12">
        <v>56.5</v>
      </c>
      <c r="N206" s="12">
        <v>18.2</v>
      </c>
      <c r="O206" s="12">
        <v>73.5</v>
      </c>
      <c r="P206" s="12"/>
      <c r="Q206" s="67" t="s">
        <v>309</v>
      </c>
      <c r="R206" s="192">
        <v>58</v>
      </c>
    </row>
    <row r="207" spans="1:18" ht="15.75" customHeight="1">
      <c r="A207" s="205">
        <v>37</v>
      </c>
      <c r="B207" s="179">
        <v>4</v>
      </c>
      <c r="C207" s="12"/>
      <c r="D207" s="12"/>
      <c r="E207" s="12">
        <v>115.1</v>
      </c>
      <c r="F207" s="12"/>
      <c r="G207" s="12"/>
      <c r="H207" s="12">
        <v>162.80000000000001</v>
      </c>
      <c r="I207" s="12">
        <v>170.6</v>
      </c>
      <c r="J207" s="12">
        <v>203</v>
      </c>
      <c r="K207" s="12">
        <v>270.5</v>
      </c>
      <c r="L207" s="67" t="s">
        <v>308</v>
      </c>
      <c r="M207" s="12">
        <v>50.7</v>
      </c>
      <c r="N207" s="12">
        <v>21.7</v>
      </c>
      <c r="O207" s="12">
        <v>72.099999999999994</v>
      </c>
      <c r="P207" s="12"/>
      <c r="Q207" s="67" t="s">
        <v>309</v>
      </c>
      <c r="R207" s="192">
        <v>56.2</v>
      </c>
    </row>
    <row r="208" spans="1:18" ht="15.75" customHeight="1">
      <c r="A208" s="205">
        <v>37</v>
      </c>
      <c r="B208" s="179">
        <v>5</v>
      </c>
      <c r="C208" s="12"/>
      <c r="D208" s="12"/>
      <c r="E208" s="12">
        <v>114.1</v>
      </c>
      <c r="F208" s="12"/>
      <c r="G208" s="12"/>
      <c r="H208" s="12">
        <v>164.4</v>
      </c>
      <c r="I208" s="12">
        <v>169</v>
      </c>
      <c r="J208" s="12">
        <v>192.8</v>
      </c>
      <c r="K208" s="12">
        <v>266.7</v>
      </c>
      <c r="L208" s="67" t="s">
        <v>308</v>
      </c>
      <c r="M208" s="12">
        <v>60.3</v>
      </c>
      <c r="N208" s="12">
        <v>10.9</v>
      </c>
      <c r="O208" s="12">
        <v>69.8</v>
      </c>
      <c r="P208" s="12"/>
      <c r="Q208" s="67" t="s">
        <v>309</v>
      </c>
      <c r="R208" s="192">
        <v>57</v>
      </c>
    </row>
    <row r="209" spans="1:18" ht="15.75" customHeight="1">
      <c r="A209" s="205">
        <v>37</v>
      </c>
      <c r="B209" s="179">
        <v>6</v>
      </c>
      <c r="C209" s="12"/>
      <c r="D209" s="12"/>
      <c r="E209" s="12">
        <v>114</v>
      </c>
      <c r="F209" s="12"/>
      <c r="G209" s="12"/>
      <c r="H209" s="12">
        <v>163</v>
      </c>
      <c r="I209" s="12">
        <v>170.8</v>
      </c>
      <c r="J209" s="12">
        <v>194.4</v>
      </c>
      <c r="K209" s="12">
        <v>261.5</v>
      </c>
      <c r="L209" s="67" t="s">
        <v>308</v>
      </c>
      <c r="M209" s="12">
        <v>49.7</v>
      </c>
      <c r="N209" s="12">
        <v>21.8</v>
      </c>
      <c r="O209" s="12">
        <v>71</v>
      </c>
      <c r="P209" s="12"/>
      <c r="Q209" s="67" t="s">
        <v>309</v>
      </c>
      <c r="R209" s="192">
        <v>57.3</v>
      </c>
    </row>
    <row r="210" spans="1:18" ht="15.75" customHeight="1">
      <c r="A210" s="213">
        <v>37</v>
      </c>
      <c r="B210" s="180">
        <v>7</v>
      </c>
      <c r="C210" s="24"/>
      <c r="D210" s="24"/>
      <c r="E210" s="24">
        <v>113.7</v>
      </c>
      <c r="F210" s="24"/>
      <c r="G210" s="24"/>
      <c r="H210" s="24">
        <v>162.69999999999999</v>
      </c>
      <c r="I210" s="24">
        <v>170.6</v>
      </c>
      <c r="J210" s="24">
        <v>183.5</v>
      </c>
      <c r="K210" s="24">
        <v>265</v>
      </c>
      <c r="L210" s="68" t="s">
        <v>308</v>
      </c>
      <c r="M210" s="24">
        <v>51.7</v>
      </c>
      <c r="N210" s="24">
        <v>24.8</v>
      </c>
      <c r="O210" s="24">
        <v>77.5</v>
      </c>
      <c r="P210" s="24"/>
      <c r="Q210" s="68" t="s">
        <v>309</v>
      </c>
      <c r="R210" s="193">
        <v>59.4</v>
      </c>
    </row>
    <row r="211" spans="1:18" ht="15.75" customHeight="1">
      <c r="A211" s="201">
        <v>38</v>
      </c>
      <c r="B211" s="58">
        <v>1</v>
      </c>
    </row>
    <row r="212" spans="1:18" ht="15.75" customHeight="1">
      <c r="A212" s="200">
        <v>38</v>
      </c>
      <c r="B212" s="59">
        <v>2</v>
      </c>
    </row>
    <row r="213" spans="1:18" ht="15.75" customHeight="1">
      <c r="A213" s="200">
        <v>38</v>
      </c>
      <c r="B213" s="59">
        <v>3</v>
      </c>
    </row>
    <row r="214" spans="1:18" ht="15.75" customHeight="1">
      <c r="A214" s="200">
        <v>38</v>
      </c>
      <c r="B214" s="59">
        <v>4</v>
      </c>
    </row>
    <row r="215" spans="1:18" ht="15.75" customHeight="1">
      <c r="A215" s="200">
        <v>38</v>
      </c>
      <c r="B215" s="59">
        <v>5</v>
      </c>
    </row>
    <row r="216" spans="1:18" ht="15.75" customHeight="1">
      <c r="A216" s="200">
        <v>38</v>
      </c>
      <c r="B216" s="59">
        <v>6</v>
      </c>
    </row>
    <row r="217" spans="1:18" ht="15.75" customHeight="1">
      <c r="A217" s="201">
        <v>39</v>
      </c>
      <c r="B217" s="58">
        <v>1</v>
      </c>
    </row>
    <row r="218" spans="1:18" ht="15.75" customHeight="1">
      <c r="A218" s="200">
        <v>39</v>
      </c>
      <c r="B218" s="59">
        <v>2</v>
      </c>
    </row>
    <row r="219" spans="1:18" ht="15.75" customHeight="1">
      <c r="A219" s="200">
        <v>39</v>
      </c>
      <c r="B219" s="59">
        <v>3</v>
      </c>
    </row>
    <row r="220" spans="1:18" ht="15.75" customHeight="1">
      <c r="A220" s="200">
        <v>39</v>
      </c>
      <c r="B220" s="59">
        <v>4</v>
      </c>
    </row>
    <row r="221" spans="1:18" ht="15.75" customHeight="1">
      <c r="A221" s="200">
        <v>39</v>
      </c>
      <c r="B221" s="59">
        <v>5</v>
      </c>
    </row>
    <row r="222" spans="1:18" ht="15.75" customHeight="1">
      <c r="A222" s="200">
        <v>39</v>
      </c>
      <c r="B222" s="59">
        <v>6</v>
      </c>
    </row>
    <row r="223" spans="1:18" ht="15.75" customHeight="1">
      <c r="A223" s="200">
        <v>39</v>
      </c>
      <c r="B223" s="59">
        <v>7</v>
      </c>
    </row>
    <row r="224" spans="1:18" ht="15.75" customHeight="1">
      <c r="A224" s="200">
        <v>39</v>
      </c>
      <c r="B224" s="59">
        <v>8</v>
      </c>
    </row>
    <row r="225" spans="1:19" ht="15.75" customHeight="1">
      <c r="A225" s="177">
        <v>41</v>
      </c>
      <c r="B225" s="178">
        <v>1</v>
      </c>
    </row>
    <row r="226" spans="1:19" ht="15.75" customHeight="1">
      <c r="A226" s="174">
        <v>41</v>
      </c>
      <c r="B226" s="179">
        <v>2</v>
      </c>
    </row>
    <row r="227" spans="1:19" ht="15.75" customHeight="1">
      <c r="A227" s="174">
        <v>41</v>
      </c>
      <c r="B227" s="179">
        <v>3</v>
      </c>
    </row>
    <row r="228" spans="1:19" ht="15.75" customHeight="1">
      <c r="A228" s="174">
        <v>41</v>
      </c>
      <c r="B228" s="179">
        <v>4</v>
      </c>
    </row>
    <row r="229" spans="1:19" ht="15.75" customHeight="1">
      <c r="A229" s="174">
        <v>41</v>
      </c>
      <c r="B229" s="179">
        <v>5</v>
      </c>
    </row>
    <row r="230" spans="1:19" ht="15.75" customHeight="1">
      <c r="A230" s="175">
        <v>41</v>
      </c>
      <c r="B230" s="180">
        <v>6</v>
      </c>
    </row>
    <row r="231" spans="1:19" ht="15.75" customHeight="1">
      <c r="A231" s="177">
        <v>42</v>
      </c>
      <c r="B231" s="178" t="s">
        <v>220</v>
      </c>
      <c r="C231" s="199">
        <v>28</v>
      </c>
      <c r="D231" s="199"/>
      <c r="E231" s="199"/>
      <c r="F231" s="199"/>
      <c r="G231" s="199"/>
      <c r="H231" s="199">
        <v>173.1</v>
      </c>
      <c r="I231" s="199"/>
      <c r="J231" s="199">
        <v>278.7</v>
      </c>
      <c r="K231" s="199">
        <v>298.2</v>
      </c>
      <c r="L231" s="248" t="s">
        <v>308</v>
      </c>
      <c r="M231" s="199">
        <v>97.4</v>
      </c>
      <c r="N231" s="199"/>
      <c r="O231" s="199">
        <v>91</v>
      </c>
      <c r="P231" s="199"/>
      <c r="Q231" s="248" t="s">
        <v>309</v>
      </c>
      <c r="R231" s="189">
        <v>66.7</v>
      </c>
    </row>
    <row r="232" spans="1:19" ht="15.75" customHeight="1">
      <c r="A232" s="174">
        <v>42</v>
      </c>
      <c r="B232" s="179" t="s">
        <v>221</v>
      </c>
      <c r="C232" s="12">
        <v>-14</v>
      </c>
      <c r="D232" s="12">
        <v>28</v>
      </c>
      <c r="E232" s="12"/>
      <c r="F232" s="12"/>
      <c r="G232" s="12"/>
      <c r="H232" s="12">
        <v>171.4</v>
      </c>
      <c r="I232" s="12"/>
      <c r="J232" s="12">
        <v>279.5</v>
      </c>
      <c r="K232" s="12">
        <v>297</v>
      </c>
      <c r="L232" s="67" t="s">
        <v>308</v>
      </c>
      <c r="M232" s="12">
        <v>72.2</v>
      </c>
      <c r="N232" s="12"/>
      <c r="O232" s="12">
        <v>65.599999999999994</v>
      </c>
      <c r="P232" s="12"/>
      <c r="Q232" s="67" t="s">
        <v>309</v>
      </c>
      <c r="R232" s="192">
        <v>64.3</v>
      </c>
    </row>
    <row r="233" spans="1:19" ht="15.75" customHeight="1">
      <c r="A233" s="174">
        <v>42</v>
      </c>
      <c r="B233" s="179" t="s">
        <v>222</v>
      </c>
      <c r="C233" s="12">
        <v>-14</v>
      </c>
      <c r="D233" s="12">
        <v>28</v>
      </c>
      <c r="E233" s="12"/>
      <c r="F233" s="12"/>
      <c r="G233" s="12"/>
      <c r="H233" s="12">
        <v>171.5</v>
      </c>
      <c r="I233" s="12"/>
      <c r="J233" s="12">
        <v>279.2</v>
      </c>
      <c r="K233" s="12">
        <v>296.3</v>
      </c>
      <c r="L233" s="67" t="s">
        <v>308</v>
      </c>
      <c r="M233" s="12">
        <v>70.7</v>
      </c>
      <c r="N233" s="12"/>
      <c r="O233" s="12">
        <v>68.7</v>
      </c>
      <c r="P233" s="12"/>
      <c r="Q233" s="67" t="s">
        <v>309</v>
      </c>
      <c r="R233" s="192">
        <v>63.4</v>
      </c>
      <c r="S233" s="2"/>
    </row>
    <row r="234" spans="1:19" ht="15.75" customHeight="1">
      <c r="A234" s="174">
        <v>42</v>
      </c>
      <c r="B234" s="179" t="s">
        <v>224</v>
      </c>
      <c r="C234" s="12">
        <v>28</v>
      </c>
      <c r="D234" s="12"/>
      <c r="E234" s="12"/>
      <c r="F234" s="12"/>
      <c r="G234" s="12"/>
      <c r="H234" s="12">
        <v>173.1</v>
      </c>
      <c r="I234" s="12"/>
      <c r="J234" s="12">
        <v>278.7</v>
      </c>
      <c r="K234" s="12">
        <v>298.2</v>
      </c>
      <c r="L234" s="67" t="s">
        <v>308</v>
      </c>
      <c r="M234" s="12">
        <v>97.4</v>
      </c>
      <c r="N234" s="12"/>
      <c r="O234" s="12">
        <v>91</v>
      </c>
      <c r="P234" s="12"/>
      <c r="Q234" s="67" t="s">
        <v>309</v>
      </c>
      <c r="R234" s="192">
        <v>66.7</v>
      </c>
    </row>
    <row r="235" spans="1:19" ht="15.75" customHeight="1">
      <c r="A235" s="174">
        <v>42</v>
      </c>
      <c r="B235" s="179" t="s">
        <v>225</v>
      </c>
      <c r="C235" s="12">
        <v>-14</v>
      </c>
      <c r="D235" s="12">
        <v>28</v>
      </c>
      <c r="E235" s="12"/>
      <c r="F235" s="12"/>
      <c r="G235" s="12"/>
      <c r="H235" s="12">
        <v>171.4</v>
      </c>
      <c r="I235" s="12"/>
      <c r="J235" s="12">
        <v>279.5</v>
      </c>
      <c r="K235" s="12">
        <v>297</v>
      </c>
      <c r="L235" s="67" t="s">
        <v>308</v>
      </c>
      <c r="M235" s="12">
        <v>72.2</v>
      </c>
      <c r="N235" s="12"/>
      <c r="O235" s="12">
        <v>65.599999999999994</v>
      </c>
      <c r="P235" s="12"/>
      <c r="Q235" s="67" t="s">
        <v>309</v>
      </c>
      <c r="R235" s="192">
        <v>64.3</v>
      </c>
    </row>
    <row r="236" spans="1:19" ht="15.75" customHeight="1">
      <c r="A236" s="175">
        <v>42</v>
      </c>
      <c r="B236" s="180" t="s">
        <v>226</v>
      </c>
      <c r="C236" s="24">
        <v>-14</v>
      </c>
      <c r="D236" s="24">
        <v>28</v>
      </c>
      <c r="E236" s="24"/>
      <c r="F236" s="24"/>
      <c r="G236" s="24"/>
      <c r="H236" s="24">
        <v>171.5</v>
      </c>
      <c r="I236" s="24"/>
      <c r="J236" s="24">
        <v>279.2</v>
      </c>
      <c r="K236" s="24">
        <v>296.3</v>
      </c>
      <c r="L236" s="68" t="s">
        <v>308</v>
      </c>
      <c r="M236" s="24">
        <v>70.7</v>
      </c>
      <c r="N236" s="24"/>
      <c r="O236" s="24">
        <v>68.7</v>
      </c>
      <c r="P236" s="24"/>
      <c r="Q236" s="68" t="s">
        <v>309</v>
      </c>
      <c r="R236" s="193">
        <v>63.4</v>
      </c>
    </row>
    <row r="237" spans="1:19" ht="15.75" customHeight="1">
      <c r="A237" s="201">
        <v>43</v>
      </c>
      <c r="B237" s="58">
        <v>1</v>
      </c>
    </row>
    <row r="238" spans="1:19" ht="15.75" customHeight="1">
      <c r="A238" s="200">
        <v>43</v>
      </c>
      <c r="B238" s="59">
        <v>2</v>
      </c>
    </row>
    <row r="239" spans="1:19" ht="15.75" customHeight="1">
      <c r="A239" s="200">
        <v>43</v>
      </c>
      <c r="B239" s="59">
        <v>3</v>
      </c>
    </row>
    <row r="240" spans="1:19" ht="15.75" customHeight="1">
      <c r="A240" s="201">
        <v>44</v>
      </c>
      <c r="B240" s="58" t="s">
        <v>220</v>
      </c>
    </row>
    <row r="241" spans="1:19" ht="15.75" customHeight="1">
      <c r="A241" s="200">
        <v>44</v>
      </c>
      <c r="B241" s="59" t="s">
        <v>221</v>
      </c>
    </row>
    <row r="242" spans="1:19" ht="15.75" customHeight="1">
      <c r="A242" s="200">
        <v>44</v>
      </c>
      <c r="B242" s="59" t="s">
        <v>222</v>
      </c>
    </row>
    <row r="243" spans="1:19" ht="15.75" customHeight="1">
      <c r="A243" s="200">
        <v>44</v>
      </c>
      <c r="B243" s="59" t="s">
        <v>223</v>
      </c>
    </row>
    <row r="244" spans="1:19" ht="15.75" customHeight="1">
      <c r="A244" s="200">
        <v>44</v>
      </c>
      <c r="B244" s="59" t="s">
        <v>228</v>
      </c>
    </row>
    <row r="245" spans="1:19" ht="15.75" customHeight="1">
      <c r="A245" s="200">
        <v>44</v>
      </c>
      <c r="B245" s="59" t="s">
        <v>224</v>
      </c>
    </row>
    <row r="246" spans="1:19" ht="15.75" customHeight="1">
      <c r="A246" s="200">
        <v>44</v>
      </c>
      <c r="B246" s="59" t="s">
        <v>225</v>
      </c>
    </row>
    <row r="247" spans="1:19" ht="15.75" customHeight="1">
      <c r="A247" s="200">
        <v>44</v>
      </c>
      <c r="B247" s="59" t="s">
        <v>226</v>
      </c>
    </row>
    <row r="248" spans="1:19" ht="15.75" customHeight="1">
      <c r="A248" s="200">
        <v>44</v>
      </c>
      <c r="B248" s="59" t="s">
        <v>227</v>
      </c>
    </row>
    <row r="249" spans="1:19" ht="15.75" customHeight="1">
      <c r="A249" s="202">
        <v>44</v>
      </c>
      <c r="B249" s="203" t="s">
        <v>229</v>
      </c>
    </row>
    <row r="250" spans="1:19" ht="15.75" customHeight="1">
      <c r="A250" s="177">
        <v>45</v>
      </c>
      <c r="B250" s="178" t="s">
        <v>220</v>
      </c>
      <c r="C250" s="199">
        <v>-20.399999999999999</v>
      </c>
      <c r="D250" s="199">
        <v>5.5</v>
      </c>
      <c r="E250" s="199">
        <v>93.9</v>
      </c>
      <c r="F250" s="199"/>
      <c r="G250" s="199"/>
      <c r="H250" s="199">
        <v>174</v>
      </c>
      <c r="I250" s="199"/>
      <c r="J250" s="199"/>
      <c r="K250" s="199">
        <v>295</v>
      </c>
      <c r="L250" s="248" t="s">
        <v>308</v>
      </c>
      <c r="M250" s="199">
        <v>59.48</v>
      </c>
      <c r="N250" s="199"/>
      <c r="O250" s="199"/>
      <c r="P250" s="199"/>
      <c r="Q250" s="248" t="s">
        <v>309</v>
      </c>
      <c r="R250" s="189">
        <v>40.49</v>
      </c>
    </row>
    <row r="251" spans="1:19" ht="15.75" customHeight="1">
      <c r="A251" s="174">
        <v>45</v>
      </c>
      <c r="B251" s="179" t="s">
        <v>221</v>
      </c>
      <c r="C251" s="12">
        <v>-22</v>
      </c>
      <c r="D251" s="12">
        <v>4.4000000000000004</v>
      </c>
      <c r="E251" s="12">
        <v>89</v>
      </c>
      <c r="F251" s="12"/>
      <c r="G251" s="12"/>
      <c r="H251" s="12">
        <v>170</v>
      </c>
      <c r="I251" s="12"/>
      <c r="J251" s="12"/>
      <c r="K251" s="12">
        <v>300</v>
      </c>
      <c r="L251" s="67" t="s">
        <v>308</v>
      </c>
      <c r="M251" s="12">
        <v>21.75</v>
      </c>
      <c r="N251" s="12"/>
      <c r="O251" s="12"/>
      <c r="P251" s="12"/>
      <c r="Q251" s="67" t="s">
        <v>309</v>
      </c>
      <c r="R251" s="192">
        <v>14.55</v>
      </c>
    </row>
    <row r="252" spans="1:19" ht="15.75" customHeight="1">
      <c r="A252" s="174">
        <v>45</v>
      </c>
      <c r="B252" s="179" t="s">
        <v>222</v>
      </c>
      <c r="C252" s="12">
        <v>-24.1</v>
      </c>
      <c r="D252" s="12">
        <v>2.2000000000000002</v>
      </c>
      <c r="E252" s="12">
        <v>88.9</v>
      </c>
      <c r="F252" s="12"/>
      <c r="G252" s="12"/>
      <c r="H252" s="12">
        <v>158.1</v>
      </c>
      <c r="I252" s="12"/>
      <c r="J252" s="12"/>
      <c r="K252" s="12">
        <v>311</v>
      </c>
      <c r="L252" s="67" t="s">
        <v>308</v>
      </c>
      <c r="M252" s="12">
        <v>8.91</v>
      </c>
      <c r="N252" s="12"/>
      <c r="O252" s="12"/>
      <c r="P252" s="12"/>
      <c r="Q252" s="67" t="s">
        <v>309</v>
      </c>
      <c r="R252" s="192">
        <v>3.23</v>
      </c>
    </row>
    <row r="253" spans="1:19" ht="15.75" customHeight="1">
      <c r="A253" s="182">
        <v>45</v>
      </c>
      <c r="B253" s="179" t="s">
        <v>223</v>
      </c>
      <c r="C253" s="12">
        <v>-29.3</v>
      </c>
      <c r="D253" s="12">
        <v>0.5</v>
      </c>
      <c r="E253" s="12">
        <v>86.9</v>
      </c>
      <c r="F253" s="12"/>
      <c r="G253" s="12"/>
      <c r="H253" s="12">
        <v>151</v>
      </c>
      <c r="I253" s="12"/>
      <c r="J253" s="12"/>
      <c r="K253" s="12">
        <v>313</v>
      </c>
      <c r="L253" s="67" t="s">
        <v>308</v>
      </c>
      <c r="M253" s="12">
        <v>7.94</v>
      </c>
      <c r="N253" s="12"/>
      <c r="O253" s="12"/>
      <c r="P253" s="12"/>
      <c r="Q253" s="67" t="s">
        <v>309</v>
      </c>
      <c r="R253" s="192">
        <v>2.5</v>
      </c>
      <c r="S253" s="2"/>
    </row>
    <row r="254" spans="1:19" ht="15.75" customHeight="1">
      <c r="A254" s="174">
        <v>45</v>
      </c>
      <c r="B254" s="179" t="s">
        <v>224</v>
      </c>
      <c r="C254" s="12">
        <v>-20.399999999999999</v>
      </c>
      <c r="D254" s="12">
        <v>5.5</v>
      </c>
      <c r="E254" s="12">
        <v>93.9</v>
      </c>
      <c r="F254" s="12"/>
      <c r="G254" s="12"/>
      <c r="H254" s="12">
        <v>174</v>
      </c>
      <c r="I254" s="12"/>
      <c r="J254" s="12"/>
      <c r="K254" s="12">
        <v>295</v>
      </c>
      <c r="L254" s="67" t="s">
        <v>308</v>
      </c>
      <c r="M254" s="12">
        <v>59.48</v>
      </c>
      <c r="N254" s="12"/>
      <c r="O254" s="12"/>
      <c r="P254" s="12"/>
      <c r="Q254" s="67" t="s">
        <v>309</v>
      </c>
      <c r="R254" s="192">
        <v>40.49</v>
      </c>
      <c r="S254" s="2"/>
    </row>
    <row r="255" spans="1:19" ht="15.75" customHeight="1">
      <c r="A255" s="174">
        <v>45</v>
      </c>
      <c r="B255" s="179" t="s">
        <v>225</v>
      </c>
      <c r="C255" s="12">
        <v>-22</v>
      </c>
      <c r="D255" s="12">
        <v>4.4000000000000004</v>
      </c>
      <c r="E255" s="12">
        <v>89</v>
      </c>
      <c r="F255" s="12"/>
      <c r="G255" s="12"/>
      <c r="H255" s="12">
        <v>170</v>
      </c>
      <c r="I255" s="12"/>
      <c r="J255" s="12"/>
      <c r="K255" s="12">
        <v>300</v>
      </c>
      <c r="L255" s="67" t="s">
        <v>308</v>
      </c>
      <c r="M255" s="12">
        <v>21.75</v>
      </c>
      <c r="N255" s="12"/>
      <c r="O255" s="12"/>
      <c r="P255" s="12"/>
      <c r="Q255" s="67" t="s">
        <v>309</v>
      </c>
      <c r="R255" s="192">
        <v>14.55</v>
      </c>
    </row>
    <row r="256" spans="1:19" ht="15.75" customHeight="1">
      <c r="A256" s="174">
        <v>45</v>
      </c>
      <c r="B256" s="179" t="s">
        <v>226</v>
      </c>
      <c r="C256" s="12">
        <v>-24.1</v>
      </c>
      <c r="D256" s="12">
        <v>2.2000000000000002</v>
      </c>
      <c r="E256" s="12">
        <v>88.9</v>
      </c>
      <c r="F256" s="12"/>
      <c r="G256" s="12"/>
      <c r="H256" s="12">
        <v>158.1</v>
      </c>
      <c r="I256" s="12"/>
      <c r="J256" s="12"/>
      <c r="K256" s="12">
        <v>311</v>
      </c>
      <c r="L256" s="67" t="s">
        <v>308</v>
      </c>
      <c r="M256" s="12">
        <v>8.91</v>
      </c>
      <c r="N256" s="12"/>
      <c r="O256" s="12"/>
      <c r="P256" s="12"/>
      <c r="Q256" s="67" t="s">
        <v>309</v>
      </c>
      <c r="R256" s="192">
        <v>3.23</v>
      </c>
    </row>
    <row r="257" spans="1:19" ht="15.75" customHeight="1">
      <c r="A257" s="183">
        <v>45</v>
      </c>
      <c r="B257" s="180" t="s">
        <v>227</v>
      </c>
      <c r="C257" s="24">
        <v>-29.3</v>
      </c>
      <c r="D257" s="24">
        <v>0.5</v>
      </c>
      <c r="E257" s="24">
        <v>86.9</v>
      </c>
      <c r="F257" s="24"/>
      <c r="G257" s="24"/>
      <c r="H257" s="24">
        <v>151</v>
      </c>
      <c r="I257" s="24"/>
      <c r="J257" s="24"/>
      <c r="K257" s="24">
        <v>313</v>
      </c>
      <c r="L257" s="68" t="s">
        <v>308</v>
      </c>
      <c r="M257" s="24">
        <v>7.94</v>
      </c>
      <c r="N257" s="24"/>
      <c r="O257" s="24"/>
      <c r="P257" s="24"/>
      <c r="Q257" s="68" t="s">
        <v>309</v>
      </c>
      <c r="R257" s="193">
        <v>2.5</v>
      </c>
    </row>
    <row r="258" spans="1:19" ht="15.75" customHeight="1">
      <c r="A258" s="177">
        <v>46</v>
      </c>
      <c r="B258" s="178">
        <v>1</v>
      </c>
      <c r="C258" s="199"/>
      <c r="D258" s="199"/>
      <c r="E258" s="199">
        <v>115.4</v>
      </c>
      <c r="F258" s="199"/>
      <c r="G258" s="199"/>
      <c r="H258" s="199">
        <v>172.4</v>
      </c>
      <c r="I258" s="199"/>
      <c r="J258" s="199"/>
      <c r="K258" s="199"/>
      <c r="L258" s="248" t="s">
        <v>308</v>
      </c>
      <c r="M258" s="199">
        <v>80.900000000000006</v>
      </c>
      <c r="N258" s="199"/>
      <c r="O258" s="199">
        <v>81.8</v>
      </c>
      <c r="P258" s="199"/>
      <c r="Q258" s="248" t="s">
        <v>309</v>
      </c>
      <c r="R258" s="189">
        <v>55.9</v>
      </c>
    </row>
    <row r="259" spans="1:19" ht="15.75" customHeight="1">
      <c r="A259" s="174">
        <v>46</v>
      </c>
      <c r="B259" s="179">
        <v>2</v>
      </c>
      <c r="C259" s="12"/>
      <c r="D259" s="12"/>
      <c r="E259" s="12">
        <v>120.4</v>
      </c>
      <c r="F259" s="12"/>
      <c r="G259" s="12"/>
      <c r="H259" s="12">
        <v>172.1</v>
      </c>
      <c r="I259" s="12"/>
      <c r="J259" s="12"/>
      <c r="K259" s="12"/>
      <c r="L259" s="67" t="s">
        <v>308</v>
      </c>
      <c r="M259" s="12">
        <v>86.4</v>
      </c>
      <c r="N259" s="12"/>
      <c r="O259" s="12">
        <v>81.7</v>
      </c>
      <c r="P259" s="12"/>
      <c r="Q259" s="67" t="s">
        <v>309</v>
      </c>
      <c r="R259" s="192">
        <v>60.7</v>
      </c>
    </row>
    <row r="260" spans="1:19" ht="15.75" customHeight="1">
      <c r="A260" s="174">
        <v>46</v>
      </c>
      <c r="B260" s="179">
        <v>3</v>
      </c>
      <c r="C260" s="12"/>
      <c r="D260" s="12"/>
      <c r="E260" s="12">
        <v>121.3</v>
      </c>
      <c r="F260" s="12"/>
      <c r="G260" s="12"/>
      <c r="H260" s="12">
        <v>173</v>
      </c>
      <c r="I260" s="12"/>
      <c r="J260" s="12"/>
      <c r="K260" s="12"/>
      <c r="L260" s="67" t="s">
        <v>308</v>
      </c>
      <c r="M260" s="12">
        <v>87.8</v>
      </c>
      <c r="N260" s="12"/>
      <c r="O260" s="12">
        <v>82.2</v>
      </c>
      <c r="P260" s="12"/>
      <c r="Q260" s="67" t="s">
        <v>309</v>
      </c>
      <c r="R260" s="192">
        <v>61.7</v>
      </c>
    </row>
    <row r="261" spans="1:19" ht="15.75" customHeight="1">
      <c r="A261" s="174">
        <v>46</v>
      </c>
      <c r="B261" s="179">
        <v>4</v>
      </c>
      <c r="C261" s="12"/>
      <c r="D261" s="12"/>
      <c r="E261" s="12">
        <v>122</v>
      </c>
      <c r="F261" s="12"/>
      <c r="G261" s="12"/>
      <c r="H261" s="12">
        <v>173.1</v>
      </c>
      <c r="I261" s="12"/>
      <c r="J261" s="12"/>
      <c r="K261" s="12"/>
      <c r="L261" s="67" t="s">
        <v>308</v>
      </c>
      <c r="M261" s="12">
        <v>88.2</v>
      </c>
      <c r="N261" s="12"/>
      <c r="O261" s="12">
        <v>83.9</v>
      </c>
      <c r="P261" s="12"/>
      <c r="Q261" s="67" t="s">
        <v>309</v>
      </c>
      <c r="R261" s="192">
        <v>62</v>
      </c>
    </row>
    <row r="262" spans="1:19" ht="15.75" customHeight="1">
      <c r="A262" s="174">
        <v>46</v>
      </c>
      <c r="B262" s="179">
        <v>5</v>
      </c>
      <c r="C262" s="12"/>
      <c r="D262" s="12"/>
      <c r="E262" s="12">
        <v>121.7</v>
      </c>
      <c r="F262" s="12"/>
      <c r="G262" s="12"/>
      <c r="H262" s="12">
        <v>172.6</v>
      </c>
      <c r="I262" s="12"/>
      <c r="J262" s="12"/>
      <c r="K262" s="12"/>
      <c r="L262" s="67" t="s">
        <v>308</v>
      </c>
      <c r="M262" s="12">
        <v>84.9</v>
      </c>
      <c r="N262" s="12"/>
      <c r="O262" s="12">
        <v>77.8</v>
      </c>
      <c r="P262" s="12"/>
      <c r="Q262" s="67" t="s">
        <v>309</v>
      </c>
      <c r="R262" s="192">
        <v>59.7</v>
      </c>
    </row>
    <row r="263" spans="1:19" ht="15.75" customHeight="1">
      <c r="A263" s="174">
        <v>46</v>
      </c>
      <c r="B263" s="179">
        <v>6</v>
      </c>
      <c r="C263" s="12"/>
      <c r="D263" s="12"/>
      <c r="E263" s="12">
        <v>119</v>
      </c>
      <c r="F263" s="12"/>
      <c r="G263" s="12"/>
      <c r="H263" s="12">
        <v>172.6</v>
      </c>
      <c r="I263" s="12"/>
      <c r="J263" s="12"/>
      <c r="K263" s="12"/>
      <c r="L263" s="67" t="s">
        <v>308</v>
      </c>
      <c r="M263" s="12">
        <v>83.5</v>
      </c>
      <c r="N263" s="12"/>
      <c r="O263" s="12">
        <v>76.2</v>
      </c>
      <c r="P263" s="12"/>
      <c r="Q263" s="67" t="s">
        <v>309</v>
      </c>
      <c r="R263" s="192">
        <v>58.6</v>
      </c>
    </row>
    <row r="264" spans="1:19" ht="15.75" customHeight="1">
      <c r="A264" s="177">
        <v>47</v>
      </c>
      <c r="B264" s="178" t="s">
        <v>220</v>
      </c>
      <c r="C264" s="199"/>
      <c r="D264" s="199"/>
      <c r="E264" s="199"/>
      <c r="F264" s="199"/>
      <c r="G264" s="199"/>
      <c r="H264" s="199">
        <v>162</v>
      </c>
      <c r="I264" s="199">
        <v>170</v>
      </c>
      <c r="J264" s="199"/>
      <c r="K264" s="199"/>
      <c r="L264" s="248" t="s">
        <v>308</v>
      </c>
      <c r="M264" s="199"/>
      <c r="N264" s="199"/>
      <c r="O264" s="199"/>
      <c r="P264" s="199"/>
      <c r="Q264" s="199"/>
      <c r="R264" s="189"/>
      <c r="S264" s="2"/>
    </row>
    <row r="265" spans="1:19" ht="15.75" customHeight="1">
      <c r="A265" s="174">
        <v>47</v>
      </c>
      <c r="B265" s="179">
        <v>2</v>
      </c>
      <c r="C265" s="12"/>
      <c r="D265" s="12"/>
      <c r="E265" s="12"/>
      <c r="F265" s="12"/>
      <c r="G265" s="12"/>
      <c r="H265" s="12">
        <v>165</v>
      </c>
      <c r="I265" s="12">
        <v>171</v>
      </c>
      <c r="J265" s="12"/>
      <c r="K265" s="12"/>
      <c r="L265" s="67" t="s">
        <v>308</v>
      </c>
      <c r="M265" s="12"/>
      <c r="N265" s="12"/>
      <c r="O265" s="12"/>
      <c r="P265" s="12"/>
      <c r="Q265" s="12"/>
      <c r="R265" s="192"/>
      <c r="S265" s="2"/>
    </row>
    <row r="266" spans="1:19" ht="15.75" customHeight="1">
      <c r="A266" s="174">
        <v>47</v>
      </c>
      <c r="B266" s="179">
        <v>3</v>
      </c>
      <c r="C266" s="12"/>
      <c r="D266" s="12"/>
      <c r="E266" s="12"/>
      <c r="F266" s="12"/>
      <c r="G266" s="12"/>
      <c r="H266" s="12">
        <v>169</v>
      </c>
      <c r="I266" s="12">
        <v>172</v>
      </c>
      <c r="J266" s="12"/>
      <c r="K266" s="12"/>
      <c r="L266" s="67" t="s">
        <v>308</v>
      </c>
      <c r="M266" s="12"/>
      <c r="N266" s="12"/>
      <c r="O266" s="12"/>
      <c r="P266" s="12"/>
      <c r="Q266" s="12"/>
      <c r="R266" s="192"/>
      <c r="S266" s="2"/>
    </row>
    <row r="267" spans="1:19" ht="15.75" customHeight="1">
      <c r="A267" s="174">
        <v>47</v>
      </c>
      <c r="B267" s="179" t="s">
        <v>223</v>
      </c>
      <c r="C267" s="12"/>
      <c r="D267" s="12"/>
      <c r="E267" s="12"/>
      <c r="F267" s="12"/>
      <c r="G267" s="12"/>
      <c r="H267" s="12">
        <v>172</v>
      </c>
      <c r="I267" s="12"/>
      <c r="J267" s="12"/>
      <c r="K267" s="12"/>
      <c r="L267" s="67" t="s">
        <v>308</v>
      </c>
      <c r="M267" s="12"/>
      <c r="N267" s="12"/>
      <c r="O267" s="12"/>
      <c r="P267" s="12"/>
      <c r="Q267" s="12"/>
      <c r="R267" s="192"/>
      <c r="S267" s="2"/>
    </row>
    <row r="268" spans="1:19" ht="15.75" customHeight="1">
      <c r="A268" s="174">
        <v>47</v>
      </c>
      <c r="B268" s="179">
        <v>5</v>
      </c>
      <c r="C268" s="12"/>
      <c r="D268" s="12"/>
      <c r="E268" s="12"/>
      <c r="F268" s="12"/>
      <c r="G268" s="12"/>
      <c r="H268" s="12">
        <v>172</v>
      </c>
      <c r="I268" s="12"/>
      <c r="J268" s="12"/>
      <c r="K268" s="12"/>
      <c r="L268" s="67" t="s">
        <v>308</v>
      </c>
      <c r="M268" s="12"/>
      <c r="N268" s="12"/>
      <c r="O268" s="12"/>
      <c r="P268" s="12"/>
      <c r="Q268" s="12"/>
      <c r="R268" s="192"/>
      <c r="S268" s="2"/>
    </row>
    <row r="269" spans="1:19" ht="15.75" customHeight="1">
      <c r="A269" s="174">
        <v>47</v>
      </c>
      <c r="B269" s="179" t="s">
        <v>224</v>
      </c>
      <c r="C269" s="12"/>
      <c r="D269" s="12"/>
      <c r="E269" s="12"/>
      <c r="F269" s="12"/>
      <c r="G269" s="12"/>
      <c r="H269" s="12">
        <v>162</v>
      </c>
      <c r="I269" s="12">
        <v>170</v>
      </c>
      <c r="J269" s="12"/>
      <c r="K269" s="12"/>
      <c r="L269" s="67" t="s">
        <v>308</v>
      </c>
      <c r="M269" s="12"/>
      <c r="N269" s="12"/>
      <c r="O269" s="12"/>
      <c r="P269" s="12"/>
      <c r="Q269" s="12"/>
      <c r="R269" s="192"/>
      <c r="S269" s="2"/>
    </row>
    <row r="270" spans="1:19" ht="15.75" customHeight="1">
      <c r="A270" s="174">
        <v>47</v>
      </c>
      <c r="B270" s="179" t="s">
        <v>227</v>
      </c>
      <c r="C270" s="2"/>
      <c r="D270" s="2"/>
      <c r="E270" s="2"/>
      <c r="F270" s="2"/>
      <c r="G270" s="2"/>
      <c r="H270" s="12">
        <v>172</v>
      </c>
      <c r="I270" s="12"/>
      <c r="J270" s="12"/>
      <c r="K270" s="12"/>
      <c r="L270" s="67" t="s">
        <v>308</v>
      </c>
      <c r="M270" s="12"/>
      <c r="N270" s="2"/>
      <c r="O270" s="2"/>
      <c r="P270" s="2"/>
      <c r="Q270" s="2"/>
      <c r="R270" s="208"/>
      <c r="S270" s="2"/>
    </row>
    <row r="271" spans="1:19" ht="15.75" customHeight="1">
      <c r="A271" s="177">
        <v>48</v>
      </c>
      <c r="B271" s="178">
        <v>1</v>
      </c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7"/>
      <c r="S271" s="2"/>
    </row>
    <row r="272" spans="1:19" ht="15.75" customHeight="1">
      <c r="A272" s="174">
        <v>48</v>
      </c>
      <c r="B272" s="179">
        <v>2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08"/>
      <c r="S272" s="2"/>
    </row>
    <row r="273" spans="1:19" ht="15.75" customHeight="1">
      <c r="A273" s="174">
        <v>48</v>
      </c>
      <c r="B273" s="179">
        <v>3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08"/>
      <c r="S273" s="2"/>
    </row>
    <row r="274" spans="1:19" ht="15.75" customHeight="1">
      <c r="A274" s="174">
        <v>48</v>
      </c>
      <c r="B274" s="179">
        <v>4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08"/>
      <c r="S274" s="2"/>
    </row>
    <row r="275" spans="1:19" ht="15.75" customHeight="1">
      <c r="A275" s="174">
        <v>48</v>
      </c>
      <c r="B275" s="179">
        <v>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08"/>
      <c r="S275" s="2"/>
    </row>
    <row r="276" spans="1:19" ht="15.75" customHeight="1">
      <c r="A276" s="174">
        <v>48</v>
      </c>
      <c r="B276" s="179">
        <v>6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08"/>
      <c r="S276" s="2"/>
    </row>
    <row r="277" spans="1:19" ht="15.75" customHeight="1">
      <c r="A277" s="174">
        <v>48</v>
      </c>
      <c r="B277" s="179">
        <v>7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08"/>
      <c r="S277" s="2"/>
    </row>
    <row r="278" spans="1:19" ht="15.75" customHeight="1">
      <c r="A278" s="174">
        <v>48</v>
      </c>
      <c r="B278" s="179">
        <v>8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08"/>
      <c r="S278" s="2"/>
    </row>
    <row r="279" spans="1:19" ht="15.75" customHeight="1">
      <c r="A279" s="174">
        <v>48</v>
      </c>
      <c r="B279" s="179">
        <v>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08"/>
      <c r="S279" s="2"/>
    </row>
    <row r="280" spans="1:19" ht="15.75" customHeight="1">
      <c r="A280" s="174">
        <v>48</v>
      </c>
      <c r="B280" s="179">
        <v>10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08"/>
      <c r="S280" s="2"/>
    </row>
    <row r="281" spans="1:19" ht="15.75" customHeight="1">
      <c r="A281" s="174">
        <v>48</v>
      </c>
      <c r="B281" s="179">
        <v>11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08"/>
      <c r="S281" s="2"/>
    </row>
    <row r="282" spans="1:19" ht="15.75" customHeight="1">
      <c r="A282" s="174">
        <v>48</v>
      </c>
      <c r="B282" s="179">
        <v>12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08"/>
      <c r="S282" s="2"/>
    </row>
    <row r="283" spans="1:19" ht="15.75" customHeight="1">
      <c r="A283" s="201">
        <v>49</v>
      </c>
      <c r="B283" s="58">
        <v>1</v>
      </c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7"/>
      <c r="S283" s="2"/>
    </row>
    <row r="284" spans="1:19" ht="15.75" customHeight="1">
      <c r="A284" s="200">
        <v>49</v>
      </c>
      <c r="B284" s="59">
        <v>2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08"/>
      <c r="S284" s="2"/>
    </row>
    <row r="285" spans="1:19" ht="15.75" customHeight="1">
      <c r="A285" s="200">
        <v>49</v>
      </c>
      <c r="B285" s="59">
        <v>3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08"/>
      <c r="S285" s="2"/>
    </row>
    <row r="286" spans="1:19" ht="15.75" customHeight="1">
      <c r="A286" s="201">
        <v>50</v>
      </c>
      <c r="B286" s="58">
        <v>1</v>
      </c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7"/>
      <c r="S286" s="2"/>
    </row>
    <row r="287" spans="1:19" ht="15.75" customHeight="1">
      <c r="A287" s="200">
        <v>50</v>
      </c>
      <c r="B287" s="59">
        <v>2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08"/>
      <c r="S287" s="2"/>
    </row>
    <row r="288" spans="1:19" ht="15.75" customHeight="1">
      <c r="A288" s="200">
        <v>50</v>
      </c>
      <c r="B288" s="59">
        <v>3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08"/>
      <c r="S288" s="2"/>
    </row>
    <row r="289" spans="1:19" ht="15.75" customHeight="1">
      <c r="A289" s="200">
        <v>50</v>
      </c>
      <c r="B289" s="59">
        <v>4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08"/>
      <c r="S289" s="2"/>
    </row>
    <row r="290" spans="1:19" ht="15.75" customHeight="1">
      <c r="A290" s="201">
        <v>51</v>
      </c>
      <c r="B290" s="58">
        <v>1</v>
      </c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7"/>
      <c r="S290" s="2"/>
    </row>
    <row r="291" spans="1:19" ht="15.75" customHeight="1">
      <c r="A291" s="200">
        <v>51</v>
      </c>
      <c r="B291" s="59">
        <v>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08"/>
      <c r="S291" s="2"/>
    </row>
    <row r="292" spans="1:19" ht="15.75" customHeight="1">
      <c r="A292" s="200">
        <v>51</v>
      </c>
      <c r="B292" s="59">
        <v>3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08"/>
      <c r="S292" s="2"/>
    </row>
    <row r="293" spans="1:19" ht="15.75" customHeight="1">
      <c r="A293" s="200">
        <v>51</v>
      </c>
      <c r="B293" s="59">
        <v>4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08"/>
      <c r="S293" s="2"/>
    </row>
    <row r="294" spans="1:19" ht="15.75" customHeight="1">
      <c r="A294" s="200">
        <v>51</v>
      </c>
      <c r="B294" s="59">
        <v>5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08"/>
      <c r="S294" s="2"/>
    </row>
    <row r="295" spans="1:19" ht="15.75" customHeight="1">
      <c r="A295" s="200">
        <v>51</v>
      </c>
      <c r="B295" s="59">
        <v>6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08"/>
      <c r="S295" s="2"/>
    </row>
    <row r="296" spans="1:19" ht="15.75" customHeight="1">
      <c r="A296" s="200">
        <v>51</v>
      </c>
      <c r="B296" s="59">
        <v>7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08"/>
      <c r="S296" s="2"/>
    </row>
    <row r="297" spans="1:19" ht="15.75" customHeight="1">
      <c r="A297" s="201">
        <v>52</v>
      </c>
      <c r="B297" s="178">
        <v>1</v>
      </c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7"/>
      <c r="S297" s="2"/>
    </row>
    <row r="298" spans="1:19" ht="15.75" customHeight="1">
      <c r="A298" s="200">
        <v>52</v>
      </c>
      <c r="B298" s="179">
        <v>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08"/>
      <c r="S298" s="2"/>
    </row>
    <row r="299" spans="1:19" ht="15.75" customHeight="1">
      <c r="A299" s="200">
        <v>52</v>
      </c>
      <c r="B299" s="179">
        <v>3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08"/>
      <c r="S299" s="2"/>
    </row>
    <row r="300" spans="1:19" ht="15.75" customHeight="1">
      <c r="A300" s="202">
        <v>52</v>
      </c>
      <c r="B300" s="180">
        <v>4</v>
      </c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209"/>
      <c r="S300" s="2"/>
    </row>
    <row r="301" spans="1:19" ht="15.75" customHeight="1">
      <c r="A301" s="205">
        <v>53</v>
      </c>
      <c r="B301" s="179">
        <v>1</v>
      </c>
      <c r="C301" s="12">
        <v>0.39</v>
      </c>
      <c r="D301" s="12"/>
      <c r="E301" s="199">
        <v>69</v>
      </c>
      <c r="F301" s="12"/>
      <c r="G301" s="12"/>
      <c r="H301" s="12">
        <v>162.4</v>
      </c>
      <c r="I301" s="12"/>
      <c r="J301" s="12"/>
      <c r="K301" s="12"/>
      <c r="L301" s="67" t="s">
        <v>308</v>
      </c>
      <c r="M301" s="12">
        <v>46.9</v>
      </c>
      <c r="N301" s="12"/>
      <c r="O301" s="12"/>
      <c r="P301" s="12"/>
      <c r="Q301" s="67" t="s">
        <v>309</v>
      </c>
      <c r="R301" s="192">
        <v>32.1</v>
      </c>
    </row>
    <row r="302" spans="1:19" ht="15.75" customHeight="1">
      <c r="A302" s="205">
        <v>53</v>
      </c>
      <c r="B302" s="179">
        <v>2</v>
      </c>
      <c r="C302" s="12">
        <v>-7.5</v>
      </c>
      <c r="D302" s="12"/>
      <c r="E302" s="12">
        <v>62.1</v>
      </c>
      <c r="F302" s="12"/>
      <c r="G302" s="12"/>
      <c r="H302" s="12">
        <v>161.30000000000001</v>
      </c>
      <c r="I302" s="12"/>
      <c r="J302" s="12"/>
      <c r="K302" s="12"/>
      <c r="L302" s="67" t="s">
        <v>308</v>
      </c>
      <c r="M302" s="12">
        <v>62.2</v>
      </c>
      <c r="N302" s="12"/>
      <c r="O302" s="12"/>
      <c r="P302" s="12"/>
      <c r="Q302" s="67" t="s">
        <v>309</v>
      </c>
      <c r="R302" s="192">
        <v>42.6</v>
      </c>
    </row>
    <row r="303" spans="1:19" ht="15.75" customHeight="1">
      <c r="A303" s="205">
        <v>53</v>
      </c>
      <c r="B303" s="179">
        <v>3</v>
      </c>
      <c r="C303" s="12">
        <v>-9.3000000000000007</v>
      </c>
      <c r="D303" s="12"/>
      <c r="E303" s="12">
        <v>58</v>
      </c>
      <c r="F303" s="12"/>
      <c r="G303" s="12"/>
      <c r="H303" s="12">
        <v>160.30000000000001</v>
      </c>
      <c r="I303" s="12"/>
      <c r="J303" s="12"/>
      <c r="K303" s="12"/>
      <c r="L303" s="67" t="s">
        <v>308</v>
      </c>
      <c r="M303" s="12">
        <v>60.9</v>
      </c>
      <c r="N303" s="12"/>
      <c r="O303" s="12"/>
      <c r="P303" s="12"/>
      <c r="Q303" s="67" t="s">
        <v>309</v>
      </c>
      <c r="R303" s="192">
        <v>41.7</v>
      </c>
    </row>
    <row r="304" spans="1:19" ht="15.75" customHeight="1">
      <c r="A304" s="205">
        <v>53</v>
      </c>
      <c r="B304" s="179">
        <v>4</v>
      </c>
      <c r="C304" s="12">
        <v>-5.2</v>
      </c>
      <c r="D304" s="12"/>
      <c r="E304" s="12">
        <v>59.2</v>
      </c>
      <c r="F304" s="12"/>
      <c r="G304" s="12"/>
      <c r="H304" s="12">
        <v>160.6</v>
      </c>
      <c r="I304" s="12"/>
      <c r="J304" s="12"/>
      <c r="K304" s="12"/>
      <c r="L304" s="67" t="s">
        <v>308</v>
      </c>
      <c r="M304" s="12">
        <v>54.2</v>
      </c>
      <c r="N304" s="12"/>
      <c r="O304" s="12"/>
      <c r="P304" s="12"/>
      <c r="Q304" s="67" t="s">
        <v>309</v>
      </c>
      <c r="R304" s="192">
        <v>37.1</v>
      </c>
    </row>
    <row r="305" spans="1:19" ht="15.75" customHeight="1">
      <c r="A305" s="205">
        <v>53</v>
      </c>
      <c r="B305" s="179">
        <v>5</v>
      </c>
      <c r="C305" s="12">
        <v>-10</v>
      </c>
      <c r="D305" s="12"/>
      <c r="E305" s="12">
        <v>55.2</v>
      </c>
      <c r="F305" s="12"/>
      <c r="G305" s="12"/>
      <c r="H305" s="12">
        <v>159.19999999999999</v>
      </c>
      <c r="I305" s="12"/>
      <c r="J305" s="12"/>
      <c r="K305" s="12"/>
      <c r="L305" s="67" t="s">
        <v>308</v>
      </c>
      <c r="M305" s="12">
        <v>49.6</v>
      </c>
      <c r="N305" s="12"/>
      <c r="O305" s="12"/>
      <c r="P305" s="12"/>
      <c r="Q305" s="67" t="s">
        <v>309</v>
      </c>
      <c r="R305" s="192">
        <v>34</v>
      </c>
    </row>
    <row r="306" spans="1:19" ht="15.75" customHeight="1">
      <c r="A306" s="201">
        <v>54</v>
      </c>
      <c r="B306" s="178">
        <v>1</v>
      </c>
      <c r="C306" s="199"/>
      <c r="D306" s="199"/>
      <c r="E306" s="199"/>
      <c r="F306" s="199"/>
      <c r="G306" s="199"/>
      <c r="H306" s="199"/>
      <c r="I306" s="199"/>
      <c r="J306" s="199"/>
      <c r="K306" s="199"/>
      <c r="L306" s="248"/>
      <c r="M306" s="199"/>
      <c r="N306" s="199"/>
      <c r="O306" s="199"/>
      <c r="P306" s="199"/>
      <c r="Q306" s="248"/>
      <c r="R306" s="189"/>
      <c r="S306" s="2"/>
    </row>
    <row r="307" spans="1:19" ht="15.75" customHeight="1">
      <c r="A307" s="200">
        <v>54</v>
      </c>
      <c r="B307" s="179">
        <v>2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67"/>
      <c r="M307" s="12"/>
      <c r="N307" s="12"/>
      <c r="O307" s="12"/>
      <c r="P307" s="12"/>
      <c r="Q307" s="67"/>
      <c r="R307" s="192"/>
      <c r="S307" s="2"/>
    </row>
    <row r="308" spans="1:19" ht="15.75" customHeight="1">
      <c r="A308" s="200">
        <v>54</v>
      </c>
      <c r="B308" s="179">
        <v>3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67"/>
      <c r="M308" s="12"/>
      <c r="N308" s="12"/>
      <c r="O308" s="12"/>
      <c r="P308" s="12"/>
      <c r="Q308" s="67"/>
      <c r="R308" s="192"/>
      <c r="S308" s="2"/>
    </row>
    <row r="309" spans="1:19" ht="15.75" customHeight="1">
      <c r="A309" s="202">
        <v>54</v>
      </c>
      <c r="B309" s="180">
        <v>4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68"/>
      <c r="M309" s="24"/>
      <c r="N309" s="24"/>
      <c r="O309" s="24"/>
      <c r="P309" s="24"/>
      <c r="Q309" s="68"/>
      <c r="R309" s="193"/>
      <c r="S309" s="2"/>
    </row>
    <row r="310" spans="1:19" ht="15.75" customHeight="1">
      <c r="A310" s="200">
        <v>55</v>
      </c>
      <c r="B310" s="179" t="s">
        <v>220</v>
      </c>
      <c r="C310" s="12"/>
      <c r="D310" s="12"/>
      <c r="E310" s="12"/>
      <c r="F310" s="12"/>
      <c r="G310" s="12"/>
      <c r="H310" s="12">
        <v>169.7</v>
      </c>
      <c r="I310" s="12"/>
      <c r="J310" s="12"/>
      <c r="K310" s="12"/>
      <c r="L310" s="67" t="s">
        <v>308</v>
      </c>
      <c r="M310" s="12">
        <v>80.099999999999994</v>
      </c>
      <c r="N310" s="12"/>
      <c r="O310" s="12">
        <v>12.3</v>
      </c>
      <c r="P310" s="12"/>
      <c r="Q310" s="67" t="s">
        <v>309</v>
      </c>
      <c r="R310" s="192"/>
      <c r="S310" s="2"/>
    </row>
    <row r="311" spans="1:19" ht="15.75" customHeight="1">
      <c r="A311" s="200">
        <v>55</v>
      </c>
      <c r="B311" s="179" t="s">
        <v>221</v>
      </c>
      <c r="C311" s="12"/>
      <c r="D311" s="12"/>
      <c r="E311" s="12"/>
      <c r="F311" s="12"/>
      <c r="G311" s="12"/>
      <c r="H311" s="12">
        <v>169.2</v>
      </c>
      <c r="I311" s="12"/>
      <c r="J311" s="12"/>
      <c r="K311" s="12"/>
      <c r="L311" s="67" t="s">
        <v>308</v>
      </c>
      <c r="M311" s="12">
        <v>76.8</v>
      </c>
      <c r="N311" s="12"/>
      <c r="O311" s="12">
        <v>23.9</v>
      </c>
      <c r="P311" s="12"/>
      <c r="Q311" s="67" t="s">
        <v>309</v>
      </c>
      <c r="R311" s="192"/>
      <c r="S311" s="2"/>
    </row>
    <row r="312" spans="1:19" ht="15.75" customHeight="1">
      <c r="A312" s="200">
        <v>55</v>
      </c>
      <c r="B312" s="179" t="s">
        <v>222</v>
      </c>
      <c r="C312" s="12"/>
      <c r="D312" s="12"/>
      <c r="E312" s="12"/>
      <c r="F312" s="12"/>
      <c r="G312" s="12"/>
      <c r="H312" s="12">
        <v>169.2</v>
      </c>
      <c r="I312" s="12"/>
      <c r="J312" s="12"/>
      <c r="K312" s="12"/>
      <c r="L312" s="67" t="s">
        <v>308</v>
      </c>
      <c r="M312" s="12">
        <v>80.5</v>
      </c>
      <c r="N312" s="12"/>
      <c r="O312" s="12">
        <v>60</v>
      </c>
      <c r="P312" s="12"/>
      <c r="Q312" s="67" t="s">
        <v>309</v>
      </c>
      <c r="R312" s="192"/>
      <c r="S312" s="2"/>
    </row>
    <row r="313" spans="1:19" ht="15.75" customHeight="1">
      <c r="A313" s="200">
        <v>55</v>
      </c>
      <c r="B313" s="179" t="s">
        <v>224</v>
      </c>
      <c r="C313" s="12"/>
      <c r="D313" s="12"/>
      <c r="E313" s="12"/>
      <c r="F313" s="12"/>
      <c r="G313" s="12"/>
      <c r="H313" s="12">
        <v>169.7</v>
      </c>
      <c r="I313" s="12"/>
      <c r="J313" s="12"/>
      <c r="K313" s="12"/>
      <c r="L313" s="67" t="s">
        <v>308</v>
      </c>
      <c r="M313" s="12">
        <v>80.099999999999994</v>
      </c>
      <c r="N313" s="12"/>
      <c r="O313" s="12">
        <v>12.3</v>
      </c>
      <c r="P313" s="12"/>
      <c r="Q313" s="67" t="s">
        <v>309</v>
      </c>
      <c r="R313" s="192"/>
      <c r="S313" s="2"/>
    </row>
    <row r="314" spans="1:19" ht="15.75" customHeight="1">
      <c r="A314" s="200">
        <v>55</v>
      </c>
      <c r="B314" s="179" t="s">
        <v>225</v>
      </c>
      <c r="C314" s="12"/>
      <c r="D314" s="12"/>
      <c r="E314" s="12"/>
      <c r="F314" s="12"/>
      <c r="G314" s="12"/>
      <c r="H314" s="12">
        <v>169.2</v>
      </c>
      <c r="I314" s="12"/>
      <c r="J314" s="12"/>
      <c r="K314" s="12"/>
      <c r="L314" s="67" t="s">
        <v>308</v>
      </c>
      <c r="M314" s="12">
        <v>76.8</v>
      </c>
      <c r="N314" s="12"/>
      <c r="O314" s="12">
        <v>23.9</v>
      </c>
      <c r="P314" s="12"/>
      <c r="Q314" s="67" t="s">
        <v>309</v>
      </c>
      <c r="R314" s="192"/>
      <c r="S314" s="2"/>
    </row>
    <row r="315" spans="1:19" ht="15.75" customHeight="1">
      <c r="A315" s="200">
        <v>55</v>
      </c>
      <c r="B315" s="179" t="s">
        <v>226</v>
      </c>
      <c r="C315" s="12"/>
      <c r="D315" s="12"/>
      <c r="E315" s="12"/>
      <c r="F315" s="12"/>
      <c r="G315" s="12"/>
      <c r="H315" s="12">
        <v>169.2</v>
      </c>
      <c r="I315" s="12"/>
      <c r="J315" s="12"/>
      <c r="K315" s="12"/>
      <c r="L315" s="67" t="s">
        <v>308</v>
      </c>
      <c r="M315" s="12">
        <v>80.5</v>
      </c>
      <c r="N315" s="12"/>
      <c r="O315" s="12">
        <v>60</v>
      </c>
      <c r="P315" s="12"/>
      <c r="Q315" s="67" t="s">
        <v>309</v>
      </c>
      <c r="R315" s="192"/>
      <c r="S315" s="2"/>
    </row>
    <row r="316" spans="1:19" ht="15.75" customHeight="1">
      <c r="A316" s="200">
        <v>55</v>
      </c>
      <c r="B316" s="179" t="s">
        <v>230</v>
      </c>
      <c r="C316" s="12"/>
      <c r="D316" s="12"/>
      <c r="E316" s="12"/>
      <c r="F316" s="12"/>
      <c r="G316" s="12"/>
      <c r="H316" s="12">
        <v>169.7</v>
      </c>
      <c r="I316" s="12"/>
      <c r="J316" s="12"/>
      <c r="K316" s="12"/>
      <c r="L316" s="67" t="s">
        <v>308</v>
      </c>
      <c r="M316" s="12">
        <v>80.099999999999994</v>
      </c>
      <c r="N316" s="12"/>
      <c r="O316" s="12">
        <v>12.3</v>
      </c>
      <c r="P316" s="12"/>
      <c r="Q316" s="67" t="s">
        <v>309</v>
      </c>
      <c r="R316" s="192"/>
      <c r="S316" s="2"/>
    </row>
    <row r="317" spans="1:19" ht="15.75" customHeight="1">
      <c r="A317" s="200">
        <v>55</v>
      </c>
      <c r="B317" s="179" t="s">
        <v>231</v>
      </c>
      <c r="C317" s="12"/>
      <c r="D317" s="12"/>
      <c r="E317" s="12"/>
      <c r="F317" s="12"/>
      <c r="G317" s="12"/>
      <c r="H317" s="12">
        <v>169.2</v>
      </c>
      <c r="I317" s="12"/>
      <c r="J317" s="12"/>
      <c r="K317" s="12"/>
      <c r="L317" s="67" t="s">
        <v>308</v>
      </c>
      <c r="M317" s="12">
        <v>76.8</v>
      </c>
      <c r="N317" s="12"/>
      <c r="O317" s="12">
        <v>23.9</v>
      </c>
      <c r="P317" s="12"/>
      <c r="Q317" s="67" t="s">
        <v>309</v>
      </c>
      <c r="R317" s="192"/>
      <c r="S317" s="2"/>
    </row>
    <row r="318" spans="1:19" ht="15.75" customHeight="1">
      <c r="A318" s="200">
        <v>55</v>
      </c>
      <c r="B318" s="179" t="s">
        <v>232</v>
      </c>
      <c r="C318" s="12"/>
      <c r="D318" s="12"/>
      <c r="E318" s="12"/>
      <c r="F318" s="12"/>
      <c r="G318" s="12"/>
      <c r="H318" s="12">
        <v>169.2</v>
      </c>
      <c r="I318" s="12"/>
      <c r="J318" s="12"/>
      <c r="K318" s="12"/>
      <c r="L318" s="67" t="s">
        <v>308</v>
      </c>
      <c r="M318" s="12">
        <v>80.5</v>
      </c>
      <c r="N318" s="12"/>
      <c r="O318" s="12">
        <v>60</v>
      </c>
      <c r="P318" s="12"/>
      <c r="Q318" s="67" t="s">
        <v>309</v>
      </c>
      <c r="R318" s="192"/>
      <c r="S318" s="2"/>
    </row>
    <row r="319" spans="1:19" ht="15.75" customHeight="1">
      <c r="A319" s="177">
        <v>56</v>
      </c>
      <c r="B319" s="178" t="s">
        <v>220</v>
      </c>
      <c r="C319" s="199"/>
      <c r="D319" s="199"/>
      <c r="E319" s="199">
        <v>101</v>
      </c>
      <c r="F319" s="199">
        <v>102</v>
      </c>
      <c r="G319" s="199"/>
      <c r="H319" s="199">
        <v>164</v>
      </c>
      <c r="I319" s="199">
        <v>166</v>
      </c>
      <c r="J319" s="199">
        <v>223</v>
      </c>
      <c r="K319" s="199">
        <v>301.10000000000002</v>
      </c>
      <c r="L319" s="248" t="s">
        <v>308</v>
      </c>
      <c r="M319" s="199">
        <v>70.8</v>
      </c>
      <c r="N319" s="199"/>
      <c r="O319" s="199">
        <v>59.8</v>
      </c>
      <c r="P319" s="199"/>
      <c r="Q319" s="248" t="s">
        <v>309</v>
      </c>
      <c r="R319" s="189">
        <v>48.5</v>
      </c>
      <c r="S319" s="2"/>
    </row>
    <row r="320" spans="1:19" ht="15.75" customHeight="1">
      <c r="A320" s="175">
        <v>56</v>
      </c>
      <c r="B320" s="180" t="s">
        <v>224</v>
      </c>
      <c r="C320" s="24"/>
      <c r="D320" s="24"/>
      <c r="E320" s="24">
        <v>101</v>
      </c>
      <c r="F320" s="24">
        <v>102</v>
      </c>
      <c r="G320" s="24"/>
      <c r="H320" s="24">
        <v>164</v>
      </c>
      <c r="I320" s="24">
        <v>166</v>
      </c>
      <c r="J320" s="24">
        <v>223</v>
      </c>
      <c r="K320" s="24">
        <v>301.10000000000002</v>
      </c>
      <c r="L320" s="68" t="s">
        <v>308</v>
      </c>
      <c r="M320" s="24">
        <v>70.8</v>
      </c>
      <c r="N320" s="24"/>
      <c r="O320" s="24">
        <v>59.8</v>
      </c>
      <c r="P320" s="24"/>
      <c r="Q320" s="68" t="s">
        <v>309</v>
      </c>
      <c r="R320" s="193">
        <v>48.5</v>
      </c>
      <c r="S320" s="2"/>
    </row>
    <row r="321" spans="1:19" ht="15.75" customHeight="1">
      <c r="A321" s="177">
        <v>57</v>
      </c>
      <c r="B321" s="178">
        <v>1</v>
      </c>
      <c r="C321" s="199"/>
      <c r="D321" s="199"/>
      <c r="E321" s="199"/>
      <c r="F321" s="199"/>
      <c r="G321" s="199"/>
      <c r="H321" s="199">
        <v>170.74</v>
      </c>
      <c r="I321" s="199"/>
      <c r="J321" s="199">
        <v>257</v>
      </c>
      <c r="K321" s="199"/>
      <c r="L321" s="248" t="s">
        <v>308</v>
      </c>
      <c r="M321" s="199">
        <v>95.52</v>
      </c>
      <c r="N321" s="199"/>
      <c r="O321" s="199"/>
      <c r="P321" s="199"/>
      <c r="Q321" s="248" t="s">
        <v>309</v>
      </c>
      <c r="R321" s="189"/>
    </row>
    <row r="322" spans="1:19" ht="15.75" customHeight="1">
      <c r="A322" s="175">
        <v>57</v>
      </c>
      <c r="B322" s="180">
        <v>2</v>
      </c>
      <c r="C322" s="24"/>
      <c r="D322" s="24"/>
      <c r="E322" s="24"/>
      <c r="F322" s="24"/>
      <c r="G322" s="24"/>
      <c r="H322" s="24">
        <v>165.03</v>
      </c>
      <c r="I322" s="24"/>
      <c r="J322" s="24">
        <v>263</v>
      </c>
      <c r="K322" s="24"/>
      <c r="L322" s="68" t="s">
        <v>308</v>
      </c>
      <c r="M322" s="24">
        <v>84.61</v>
      </c>
      <c r="N322" s="24"/>
      <c r="O322" s="24"/>
      <c r="P322" s="24"/>
      <c r="Q322" s="68" t="s">
        <v>309</v>
      </c>
      <c r="R322" s="193"/>
    </row>
    <row r="323" spans="1:19" ht="15.75" customHeight="1">
      <c r="A323" s="201">
        <v>58</v>
      </c>
      <c r="B323" s="58">
        <v>1</v>
      </c>
      <c r="R323" s="208"/>
      <c r="S323" s="2"/>
    </row>
    <row r="324" spans="1:19" ht="15.75" customHeight="1">
      <c r="A324" s="200">
        <v>58</v>
      </c>
      <c r="B324" s="59">
        <v>2</v>
      </c>
      <c r="R324" s="208"/>
      <c r="S324" s="2"/>
    </row>
    <row r="325" spans="1:19" ht="15.75" customHeight="1">
      <c r="A325" s="200">
        <v>58</v>
      </c>
      <c r="B325" s="59">
        <v>3</v>
      </c>
      <c r="R325" s="208"/>
      <c r="S325" s="2"/>
    </row>
    <row r="326" spans="1:19" ht="15.75" customHeight="1">
      <c r="A326" s="201">
        <v>59</v>
      </c>
      <c r="B326" s="58">
        <v>1</v>
      </c>
      <c r="C326" s="194"/>
      <c r="D326" s="194"/>
      <c r="E326" s="199">
        <v>108.6</v>
      </c>
      <c r="F326" s="194"/>
      <c r="G326" s="199">
        <v>108.6</v>
      </c>
      <c r="H326" s="199">
        <v>154.1</v>
      </c>
      <c r="I326" s="199">
        <v>162.4</v>
      </c>
      <c r="J326" s="199">
        <v>231.6</v>
      </c>
      <c r="K326" s="194"/>
      <c r="L326" s="199" t="s">
        <v>308</v>
      </c>
      <c r="M326" s="194"/>
      <c r="N326" s="194"/>
      <c r="O326" s="194"/>
      <c r="P326" s="194"/>
      <c r="Q326" s="194"/>
      <c r="R326" s="189">
        <v>46.1</v>
      </c>
      <c r="S326" s="2"/>
    </row>
    <row r="327" spans="1:19" ht="15.75" customHeight="1">
      <c r="A327" s="200">
        <v>59</v>
      </c>
      <c r="B327" s="59">
        <v>2</v>
      </c>
      <c r="C327" s="20"/>
      <c r="D327" s="20"/>
      <c r="E327" s="12">
        <v>108.3</v>
      </c>
      <c r="F327" s="20"/>
      <c r="G327" s="12">
        <v>108.3</v>
      </c>
      <c r="H327" s="12">
        <v>152</v>
      </c>
      <c r="I327" s="12">
        <v>162.9</v>
      </c>
      <c r="J327" s="12">
        <v>223</v>
      </c>
      <c r="K327" s="20"/>
      <c r="L327" s="12" t="s">
        <v>308</v>
      </c>
      <c r="M327" s="20"/>
      <c r="N327" s="20"/>
      <c r="O327" s="20"/>
      <c r="P327" s="20"/>
      <c r="Q327" s="20"/>
      <c r="R327" s="192">
        <v>47.7</v>
      </c>
      <c r="S327" s="2"/>
    </row>
    <row r="328" spans="1:19" ht="15.75" customHeight="1">
      <c r="A328" s="200">
        <v>59</v>
      </c>
      <c r="B328" s="59">
        <v>3</v>
      </c>
      <c r="C328" s="12"/>
      <c r="D328" s="12"/>
      <c r="E328" s="12">
        <v>108.3</v>
      </c>
      <c r="F328" s="12"/>
      <c r="G328" s="12">
        <v>108.3</v>
      </c>
      <c r="H328" s="12">
        <v>155.9</v>
      </c>
      <c r="I328" s="12">
        <v>163.4</v>
      </c>
      <c r="J328" s="12">
        <v>224.4</v>
      </c>
      <c r="K328" s="12"/>
      <c r="L328" s="67" t="s">
        <v>308</v>
      </c>
      <c r="M328" s="12"/>
      <c r="N328" s="12"/>
      <c r="O328" s="12"/>
      <c r="P328" s="12"/>
      <c r="Q328" s="12"/>
      <c r="R328" s="192">
        <v>48.7</v>
      </c>
      <c r="S328" s="2"/>
    </row>
    <row r="329" spans="1:19" ht="15.75" customHeight="1">
      <c r="A329" s="200">
        <v>59</v>
      </c>
      <c r="B329" s="59">
        <v>4</v>
      </c>
      <c r="C329" s="20"/>
      <c r="D329" s="20"/>
      <c r="E329" s="12">
        <v>108.4</v>
      </c>
      <c r="F329" s="20"/>
      <c r="G329" s="12">
        <v>108.4</v>
      </c>
      <c r="H329" s="12">
        <v>155.30000000000001</v>
      </c>
      <c r="I329" s="12">
        <v>163.30000000000001</v>
      </c>
      <c r="J329" s="12">
        <v>222.8</v>
      </c>
      <c r="K329" s="20"/>
      <c r="L329" s="12" t="s">
        <v>308</v>
      </c>
      <c r="M329" s="20"/>
      <c r="N329" s="20"/>
      <c r="O329" s="20"/>
      <c r="P329" s="20"/>
      <c r="Q329" s="20"/>
      <c r="R329" s="192">
        <v>47.5</v>
      </c>
      <c r="S329" s="2"/>
    </row>
    <row r="330" spans="1:19" ht="15.75" customHeight="1">
      <c r="A330" s="200">
        <v>59</v>
      </c>
      <c r="B330" s="59">
        <v>5</v>
      </c>
      <c r="C330" s="12"/>
      <c r="D330" s="12"/>
      <c r="E330" s="12">
        <v>107</v>
      </c>
      <c r="F330" s="12"/>
      <c r="G330" s="12">
        <v>107</v>
      </c>
      <c r="H330" s="12">
        <v>152.1</v>
      </c>
      <c r="I330" s="12">
        <v>163.80000000000001</v>
      </c>
      <c r="J330" s="12">
        <v>257.10000000000002</v>
      </c>
      <c r="K330" s="12"/>
      <c r="L330" s="67" t="s">
        <v>308</v>
      </c>
      <c r="M330" s="12"/>
      <c r="N330" s="12"/>
      <c r="O330" s="12"/>
      <c r="P330" s="12"/>
      <c r="Q330" s="12"/>
      <c r="R330" s="192">
        <v>46</v>
      </c>
      <c r="S330" s="2"/>
    </row>
    <row r="331" spans="1:19" ht="15.75" customHeight="1">
      <c r="A331" s="200">
        <v>59</v>
      </c>
      <c r="B331" s="203">
        <v>6</v>
      </c>
      <c r="C331" s="20"/>
      <c r="D331" s="20"/>
      <c r="E331" s="12">
        <v>105.7</v>
      </c>
      <c r="F331" s="20"/>
      <c r="G331" s="12">
        <v>105.7</v>
      </c>
      <c r="H331" s="12">
        <v>154.4</v>
      </c>
      <c r="I331" s="12">
        <v>162.69999999999999</v>
      </c>
      <c r="J331" s="12">
        <v>235</v>
      </c>
      <c r="K331" s="20"/>
      <c r="L331" s="12" t="s">
        <v>308</v>
      </c>
      <c r="M331" s="20"/>
      <c r="N331" s="20"/>
      <c r="O331" s="20"/>
      <c r="P331" s="20"/>
      <c r="Q331" s="20"/>
      <c r="R331" s="192">
        <v>46.3</v>
      </c>
      <c r="S331" s="2"/>
    </row>
    <row r="332" spans="1:19" ht="15.75" customHeight="1">
      <c r="A332" s="201">
        <v>60</v>
      </c>
      <c r="B332" s="58">
        <v>1</v>
      </c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7"/>
      <c r="S332" s="2"/>
    </row>
    <row r="333" spans="1:19" ht="15.75" customHeight="1">
      <c r="A333" s="200">
        <v>60</v>
      </c>
      <c r="B333" s="59">
        <v>2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08"/>
      <c r="S333" s="2"/>
    </row>
    <row r="334" spans="1:19" ht="15.75" customHeight="1">
      <c r="A334" s="200">
        <v>60</v>
      </c>
      <c r="B334" s="59">
        <v>3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08"/>
      <c r="S334" s="2"/>
    </row>
    <row r="335" spans="1:19" ht="15.75" customHeight="1">
      <c r="A335" s="200">
        <v>60</v>
      </c>
      <c r="B335" s="59">
        <v>4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08"/>
      <c r="S335" s="2"/>
    </row>
    <row r="336" spans="1:19" ht="15.75" customHeight="1">
      <c r="A336" s="200">
        <v>60</v>
      </c>
      <c r="B336" s="59">
        <v>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08"/>
      <c r="S336" s="2"/>
    </row>
    <row r="337" spans="1:18" ht="15.75" customHeight="1">
      <c r="A337" s="213">
        <v>61</v>
      </c>
      <c r="B337" s="246">
        <v>1</v>
      </c>
      <c r="C337" s="24">
        <v>-20</v>
      </c>
      <c r="D337" s="24">
        <v>4.4000000000000004</v>
      </c>
      <c r="E337" s="24"/>
      <c r="F337" s="24"/>
      <c r="G337" s="24">
        <v>54.3</v>
      </c>
      <c r="H337" s="24">
        <v>166.5</v>
      </c>
      <c r="I337" s="24"/>
      <c r="J337" s="24"/>
      <c r="K337" s="24"/>
      <c r="L337" s="68" t="s">
        <v>308</v>
      </c>
      <c r="M337" s="30"/>
      <c r="N337" s="30"/>
      <c r="O337" s="30"/>
      <c r="P337" s="30"/>
      <c r="Q337" s="30"/>
      <c r="R337" s="209"/>
    </row>
    <row r="338" spans="1:18" ht="15.75" customHeight="1">
      <c r="A338" s="20"/>
    </row>
    <row r="339" spans="1:18" ht="15.75" customHeight="1">
      <c r="A339" s="20"/>
    </row>
    <row r="340" spans="1:18" ht="15.75" customHeight="1">
      <c r="A340" s="20"/>
    </row>
    <row r="341" spans="1:18" ht="15.75" customHeight="1">
      <c r="A341" s="20"/>
    </row>
    <row r="342" spans="1:18" ht="15.75" customHeight="1">
      <c r="A342" s="20"/>
    </row>
    <row r="343" spans="1:18" ht="15.75" customHeight="1">
      <c r="A343" s="20"/>
    </row>
    <row r="344" spans="1:18" ht="15.75" customHeight="1">
      <c r="A344" s="20"/>
    </row>
    <row r="345" spans="1:18" ht="15.75" customHeight="1">
      <c r="A345" s="20"/>
    </row>
    <row r="346" spans="1:18" ht="15.75" customHeight="1">
      <c r="A346" s="20"/>
    </row>
    <row r="347" spans="1:18" ht="15.75" customHeight="1">
      <c r="A347" s="20"/>
    </row>
    <row r="348" spans="1:18" ht="15.75" customHeight="1">
      <c r="A348" s="20"/>
    </row>
    <row r="349" spans="1:18" ht="15.75" customHeight="1">
      <c r="A349" s="20"/>
    </row>
    <row r="350" spans="1:18" ht="15.75" customHeight="1">
      <c r="A350" s="20"/>
    </row>
    <row r="351" spans="1:18" ht="15.75" customHeight="1">
      <c r="A351" s="20"/>
    </row>
    <row r="352" spans="1:18" ht="15.75" customHeight="1">
      <c r="A352" s="20"/>
    </row>
    <row r="353" spans="1:1" ht="15.75" customHeight="1">
      <c r="A353" s="20"/>
    </row>
    <row r="354" spans="1:1" ht="15.75" customHeight="1">
      <c r="A354" s="20"/>
    </row>
    <row r="355" spans="1:1" ht="15.75" customHeight="1">
      <c r="A355" s="20"/>
    </row>
    <row r="356" spans="1:1" ht="15.75" customHeight="1">
      <c r="A356" s="20"/>
    </row>
    <row r="357" spans="1:1" ht="15.75" customHeight="1">
      <c r="A357" s="20"/>
    </row>
    <row r="358" spans="1:1" ht="15.75" customHeight="1">
      <c r="A358" s="20"/>
    </row>
    <row r="359" spans="1:1" ht="15.75" customHeight="1">
      <c r="A359" s="20"/>
    </row>
    <row r="360" spans="1:1" ht="15.75" customHeight="1">
      <c r="A360" s="20"/>
    </row>
    <row r="361" spans="1:1" ht="15.75" customHeight="1">
      <c r="A361" s="20"/>
    </row>
    <row r="362" spans="1:1" ht="15.75" customHeight="1">
      <c r="A362" s="20"/>
    </row>
    <row r="363" spans="1:1" ht="15.75" customHeight="1">
      <c r="A363" s="20"/>
    </row>
    <row r="364" spans="1:1" ht="15.75" customHeight="1">
      <c r="A364" s="20"/>
    </row>
    <row r="365" spans="1:1" ht="15.75" customHeight="1">
      <c r="A365" s="20"/>
    </row>
    <row r="366" spans="1:1" ht="15.75" customHeight="1">
      <c r="A366" s="20"/>
    </row>
    <row r="367" spans="1:1" ht="15.75" customHeight="1">
      <c r="A367" s="20"/>
    </row>
    <row r="368" spans="1:1" ht="15.75" customHeight="1">
      <c r="A368" s="20"/>
    </row>
    <row r="369" spans="1:1" ht="15.75" customHeight="1">
      <c r="A369" s="20"/>
    </row>
    <row r="370" spans="1:1" ht="15.75" customHeight="1">
      <c r="A370" s="20"/>
    </row>
    <row r="371" spans="1:1" ht="15.75" customHeight="1">
      <c r="A371" s="20"/>
    </row>
    <row r="372" spans="1:1" ht="15.75" customHeight="1">
      <c r="A372" s="20"/>
    </row>
    <row r="373" spans="1:1" ht="15.75" customHeight="1">
      <c r="A373" s="20"/>
    </row>
    <row r="374" spans="1:1" ht="15.75" customHeight="1">
      <c r="A374" s="20"/>
    </row>
    <row r="375" spans="1:1" ht="15.75" customHeight="1">
      <c r="A375" s="20"/>
    </row>
    <row r="376" spans="1:1" ht="15.75" customHeight="1">
      <c r="A376" s="20"/>
    </row>
    <row r="377" spans="1:1" ht="15.75" customHeight="1">
      <c r="A377" s="20"/>
    </row>
    <row r="378" spans="1:1" ht="15.75" customHeight="1">
      <c r="A378" s="20"/>
    </row>
    <row r="379" spans="1:1" ht="15.75" customHeight="1">
      <c r="A379" s="20"/>
    </row>
    <row r="380" spans="1:1" ht="15.75" customHeight="1">
      <c r="A380" s="20"/>
    </row>
    <row r="381" spans="1:1" ht="15.75" customHeight="1">
      <c r="A381" s="20"/>
    </row>
    <row r="382" spans="1:1" ht="15.75" customHeight="1">
      <c r="A382" s="20"/>
    </row>
    <row r="383" spans="1:1" ht="15.75" customHeight="1">
      <c r="A383" s="20"/>
    </row>
    <row r="384" spans="1:1" ht="15.75" customHeight="1">
      <c r="A384" s="20"/>
    </row>
    <row r="385" spans="1:1" ht="15.75" customHeight="1">
      <c r="A385" s="20"/>
    </row>
    <row r="386" spans="1:1" ht="15.75" customHeight="1">
      <c r="A386" s="20"/>
    </row>
    <row r="387" spans="1:1" ht="15.75" customHeight="1">
      <c r="A387" s="20"/>
    </row>
    <row r="388" spans="1:1" ht="15.75" customHeight="1">
      <c r="A388" s="20"/>
    </row>
    <row r="389" spans="1:1" ht="15.75" customHeight="1">
      <c r="A389" s="20"/>
    </row>
    <row r="990" ht="15.75" customHeight="1"/>
    <row r="991" ht="15.75" customHeight="1"/>
    <row r="992" ht="15.75" customHeight="1"/>
    <row r="993" spans="12:12" ht="15.75" customHeight="1"/>
    <row r="994" spans="12:12" ht="15.75" customHeight="1"/>
    <row r="995" spans="12:12" ht="15.75" customHeight="1"/>
    <row r="996" spans="12:12" ht="15.75" customHeight="1"/>
    <row r="997" spans="12:12" ht="15.75" customHeight="1"/>
    <row r="998" spans="12:12" ht="15.75" customHeight="1"/>
    <row r="999" spans="12:12" ht="15.75" customHeight="1">
      <c r="L999" s="1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K768"/>
  <sheetViews>
    <sheetView zoomScale="80" zoomScaleNormal="80" workbookViewId="0">
      <pane ySplit="1" topLeftCell="A308" activePane="bottomLeft" state="frozen"/>
      <selection activeCell="A348" activeCellId="11" sqref="A10:XFD10 A226:XFD226 A230:XFD230 A229:XFD229 A228:XFD228 A227:XFD227 A292:XFD292 A333:XFD333 A334:XFD334 A346:XFD346 A347:XFD347 A348:XFD348"/>
      <selection pane="bottomLeft" activeCell="G342" sqref="G342"/>
    </sheetView>
  </sheetViews>
  <sheetFormatPr defaultColWidth="12.5703125" defaultRowHeight="15" customHeight="1"/>
  <cols>
    <col min="3" max="3" width="19.7109375" customWidth="1"/>
    <col min="4" max="4" width="22.42578125" customWidth="1"/>
    <col min="5" max="11" width="15.7109375" customWidth="1"/>
    <col min="12" max="12" width="23.140625" customWidth="1"/>
    <col min="13" max="13" width="9.85546875" customWidth="1"/>
    <col min="14" max="14" width="13.85546875" customWidth="1"/>
    <col min="15" max="15" width="19.140625" customWidth="1"/>
    <col min="16" max="17" width="19" customWidth="1"/>
    <col min="18" max="18" width="28.85546875" customWidth="1"/>
  </cols>
  <sheetData>
    <row r="1" spans="1:37">
      <c r="A1" s="16" t="s">
        <v>218</v>
      </c>
      <c r="B1" s="15" t="s">
        <v>219</v>
      </c>
      <c r="C1" s="98" t="s">
        <v>345</v>
      </c>
      <c r="D1" s="98" t="s">
        <v>346</v>
      </c>
      <c r="E1" s="98" t="s">
        <v>347</v>
      </c>
      <c r="F1" s="98" t="s">
        <v>348</v>
      </c>
      <c r="G1" s="98" t="s">
        <v>349</v>
      </c>
      <c r="H1" s="98" t="s">
        <v>350</v>
      </c>
      <c r="I1" s="98" t="s">
        <v>351</v>
      </c>
      <c r="J1" s="98" t="s">
        <v>352</v>
      </c>
      <c r="K1" s="98" t="s">
        <v>353</v>
      </c>
      <c r="L1" s="98" t="s">
        <v>354</v>
      </c>
      <c r="M1" s="98" t="s">
        <v>355</v>
      </c>
      <c r="N1" s="98" t="s">
        <v>356</v>
      </c>
      <c r="O1" s="98" t="s">
        <v>357</v>
      </c>
      <c r="P1" s="98" t="s">
        <v>358</v>
      </c>
      <c r="Q1" s="98" t="s">
        <v>359</v>
      </c>
      <c r="R1" s="99" t="s">
        <v>360</v>
      </c>
      <c r="V1" s="215" t="s">
        <v>261</v>
      </c>
    </row>
    <row r="2" spans="1:37">
      <c r="A2" s="170">
        <v>1</v>
      </c>
      <c r="B2" s="171">
        <v>1</v>
      </c>
      <c r="C2" s="194" t="s">
        <v>361</v>
      </c>
      <c r="D2" s="20" t="s">
        <v>362</v>
      </c>
      <c r="E2" s="1" t="s">
        <v>363</v>
      </c>
      <c r="F2" s="194"/>
      <c r="G2" s="20">
        <v>1.8</v>
      </c>
      <c r="H2" s="194"/>
      <c r="I2" s="194"/>
      <c r="J2" s="194"/>
      <c r="K2" s="12" t="s">
        <v>364</v>
      </c>
      <c r="L2" s="194" t="s">
        <v>365</v>
      </c>
      <c r="M2" s="194">
        <v>180</v>
      </c>
      <c r="N2" s="194" t="s">
        <v>308</v>
      </c>
      <c r="O2" s="194" t="s">
        <v>366</v>
      </c>
      <c r="P2" s="206"/>
      <c r="Q2" s="199">
        <v>1</v>
      </c>
      <c r="R2" s="207"/>
      <c r="V2" s="38">
        <v>1</v>
      </c>
    </row>
    <row r="3" spans="1:37">
      <c r="A3" s="172">
        <v>1</v>
      </c>
      <c r="B3" s="173">
        <v>2</v>
      </c>
      <c r="C3" s="20" t="s">
        <v>361</v>
      </c>
      <c r="D3" s="20" t="s">
        <v>362</v>
      </c>
      <c r="E3" s="1" t="s">
        <v>363</v>
      </c>
      <c r="F3" s="20"/>
      <c r="G3" s="20">
        <v>1.8</v>
      </c>
      <c r="H3" s="20"/>
      <c r="I3" s="20"/>
      <c r="J3" s="20"/>
      <c r="K3" s="12" t="s">
        <v>364</v>
      </c>
      <c r="L3" s="20" t="s">
        <v>365</v>
      </c>
      <c r="M3" s="12">
        <v>170</v>
      </c>
      <c r="N3" s="20" t="s">
        <v>308</v>
      </c>
      <c r="O3" s="20" t="s">
        <v>366</v>
      </c>
      <c r="Q3" s="12">
        <v>1</v>
      </c>
      <c r="R3" s="208"/>
      <c r="V3" s="38">
        <v>2</v>
      </c>
    </row>
    <row r="4" spans="1:37">
      <c r="A4" s="174">
        <v>1</v>
      </c>
      <c r="B4" s="173">
        <v>3</v>
      </c>
      <c r="C4" s="20" t="s">
        <v>361</v>
      </c>
      <c r="D4" s="20" t="s">
        <v>362</v>
      </c>
      <c r="E4" s="1" t="s">
        <v>363</v>
      </c>
      <c r="F4" s="20"/>
      <c r="G4" s="20">
        <v>1.8</v>
      </c>
      <c r="H4" s="20"/>
      <c r="I4" s="20"/>
      <c r="J4" s="20"/>
      <c r="K4" s="12" t="s">
        <v>364</v>
      </c>
      <c r="L4" s="20" t="s">
        <v>365</v>
      </c>
      <c r="M4" s="12">
        <v>160</v>
      </c>
      <c r="N4" s="20" t="s">
        <v>308</v>
      </c>
      <c r="O4" s="20" t="s">
        <v>366</v>
      </c>
      <c r="Q4" s="12">
        <v>1</v>
      </c>
      <c r="R4" s="208"/>
      <c r="V4" s="38">
        <v>3</v>
      </c>
    </row>
    <row r="5" spans="1:37">
      <c r="A5" s="174">
        <v>1</v>
      </c>
      <c r="B5" s="173">
        <v>4</v>
      </c>
      <c r="C5" s="20" t="s">
        <v>361</v>
      </c>
      <c r="D5" s="20" t="s">
        <v>362</v>
      </c>
      <c r="E5" s="1" t="s">
        <v>363</v>
      </c>
      <c r="F5" s="20"/>
      <c r="G5" s="20">
        <v>1.8</v>
      </c>
      <c r="H5" s="20"/>
      <c r="I5" s="20"/>
      <c r="J5" s="20"/>
      <c r="K5" s="12" t="s">
        <v>364</v>
      </c>
      <c r="L5" s="20" t="s">
        <v>365</v>
      </c>
      <c r="M5" s="12">
        <v>150</v>
      </c>
      <c r="N5" s="20" t="s">
        <v>308</v>
      </c>
      <c r="O5" s="20" t="s">
        <v>366</v>
      </c>
      <c r="P5" s="20"/>
      <c r="Q5" s="12">
        <v>1</v>
      </c>
      <c r="R5" s="198"/>
      <c r="S5" s="20"/>
      <c r="T5" s="20"/>
      <c r="U5" s="20"/>
      <c r="V5" s="38">
        <v>4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</row>
    <row r="6" spans="1:37">
      <c r="A6" s="175">
        <v>1</v>
      </c>
      <c r="B6" s="176">
        <v>5</v>
      </c>
      <c r="C6" s="20" t="s">
        <v>361</v>
      </c>
      <c r="D6" s="20" t="s">
        <v>362</v>
      </c>
      <c r="E6" s="1" t="s">
        <v>363</v>
      </c>
      <c r="F6" s="20"/>
      <c r="G6" s="20">
        <v>1.8</v>
      </c>
      <c r="H6" s="20"/>
      <c r="I6" s="20"/>
      <c r="J6" s="20"/>
      <c r="K6" s="24" t="s">
        <v>364</v>
      </c>
      <c r="L6" s="26" t="s">
        <v>365</v>
      </c>
      <c r="M6" s="24">
        <v>145</v>
      </c>
      <c r="N6" s="26" t="s">
        <v>308</v>
      </c>
      <c r="O6" s="26" t="s">
        <v>366</v>
      </c>
      <c r="P6" s="30"/>
      <c r="Q6" s="24">
        <v>1</v>
      </c>
      <c r="R6" s="209"/>
      <c r="V6" s="38">
        <v>5</v>
      </c>
    </row>
    <row r="7" spans="1:37">
      <c r="A7" s="177">
        <v>2</v>
      </c>
      <c r="B7" s="178">
        <v>1</v>
      </c>
      <c r="C7" s="221" t="s">
        <v>361</v>
      </c>
      <c r="D7" s="221" t="s">
        <v>362</v>
      </c>
      <c r="E7" s="383" t="s">
        <v>363</v>
      </c>
      <c r="F7" s="222">
        <v>25</v>
      </c>
      <c r="G7" s="222">
        <v>0.75</v>
      </c>
      <c r="H7" s="222" t="s">
        <v>367</v>
      </c>
      <c r="I7" s="222">
        <v>25</v>
      </c>
      <c r="J7" s="222">
        <v>0.5</v>
      </c>
      <c r="K7" s="40" t="s">
        <v>364</v>
      </c>
      <c r="L7" s="221" t="s">
        <v>365</v>
      </c>
      <c r="M7" s="222">
        <v>175</v>
      </c>
      <c r="N7" s="221" t="s">
        <v>308</v>
      </c>
      <c r="O7" s="39" t="s">
        <v>366</v>
      </c>
      <c r="P7" s="40" t="s">
        <v>368</v>
      </c>
      <c r="Q7" s="40"/>
      <c r="R7" s="384"/>
      <c r="V7" s="38">
        <v>6</v>
      </c>
    </row>
    <row r="8" spans="1:37">
      <c r="A8" s="174">
        <v>2</v>
      </c>
      <c r="B8" s="179">
        <v>2</v>
      </c>
      <c r="C8" s="41" t="s">
        <v>361</v>
      </c>
      <c r="D8" s="41" t="s">
        <v>362</v>
      </c>
      <c r="E8" s="385" t="s">
        <v>363</v>
      </c>
      <c r="F8" s="37">
        <v>25</v>
      </c>
      <c r="G8" s="37">
        <v>0.75</v>
      </c>
      <c r="H8" s="37" t="s">
        <v>367</v>
      </c>
      <c r="I8" s="37">
        <v>25</v>
      </c>
      <c r="J8" s="37">
        <v>0.5</v>
      </c>
      <c r="K8" s="37" t="s">
        <v>364</v>
      </c>
      <c r="L8" s="41" t="s">
        <v>365</v>
      </c>
      <c r="M8" s="37">
        <v>175</v>
      </c>
      <c r="N8" s="41" t="s">
        <v>308</v>
      </c>
      <c r="O8" s="41" t="s">
        <v>366</v>
      </c>
      <c r="P8" s="37" t="s">
        <v>368</v>
      </c>
      <c r="Q8" s="37"/>
      <c r="R8" s="386"/>
      <c r="V8" s="38">
        <v>7</v>
      </c>
    </row>
    <row r="9" spans="1:37">
      <c r="A9" s="174">
        <v>2</v>
      </c>
      <c r="B9" s="179">
        <v>3</v>
      </c>
      <c r="C9" s="39" t="s">
        <v>361</v>
      </c>
      <c r="D9" s="39" t="s">
        <v>362</v>
      </c>
      <c r="E9" s="387" t="s">
        <v>363</v>
      </c>
      <c r="F9" s="40">
        <v>25</v>
      </c>
      <c r="G9" s="40">
        <v>0.75</v>
      </c>
      <c r="H9" s="40" t="s">
        <v>367</v>
      </c>
      <c r="I9" s="40">
        <v>25</v>
      </c>
      <c r="J9" s="40">
        <v>0.5</v>
      </c>
      <c r="K9" s="40" t="s">
        <v>364</v>
      </c>
      <c r="L9" s="39" t="s">
        <v>365</v>
      </c>
      <c r="M9" s="40">
        <v>175</v>
      </c>
      <c r="N9" s="39" t="s">
        <v>308</v>
      </c>
      <c r="O9" s="39" t="s">
        <v>366</v>
      </c>
      <c r="P9" s="40" t="s">
        <v>368</v>
      </c>
      <c r="Q9" s="40"/>
      <c r="R9" s="384"/>
      <c r="V9" s="38">
        <v>8</v>
      </c>
    </row>
    <row r="10" spans="1:37">
      <c r="A10" s="181">
        <v>3</v>
      </c>
      <c r="B10" s="178">
        <v>1</v>
      </c>
      <c r="C10" s="221" t="s">
        <v>361</v>
      </c>
      <c r="D10" s="221" t="s">
        <v>362</v>
      </c>
      <c r="E10" s="383" t="s">
        <v>363</v>
      </c>
      <c r="F10" s="222">
        <v>25</v>
      </c>
      <c r="G10" s="221">
        <v>0.8</v>
      </c>
      <c r="H10" s="221"/>
      <c r="I10" s="221"/>
      <c r="J10" s="221"/>
      <c r="K10" s="222" t="s">
        <v>364</v>
      </c>
      <c r="L10" s="221" t="s">
        <v>365</v>
      </c>
      <c r="M10" s="222">
        <v>190</v>
      </c>
      <c r="N10" s="221" t="s">
        <v>308</v>
      </c>
      <c r="O10" s="221" t="s">
        <v>366</v>
      </c>
      <c r="P10" s="222" t="s">
        <v>368</v>
      </c>
      <c r="Q10" s="222"/>
      <c r="R10" s="388"/>
      <c r="V10" s="38">
        <v>10</v>
      </c>
    </row>
    <row r="11" spans="1:37">
      <c r="A11" s="182">
        <v>3</v>
      </c>
      <c r="B11" s="179">
        <v>2</v>
      </c>
      <c r="C11" s="41" t="s">
        <v>361</v>
      </c>
      <c r="D11" s="41" t="s">
        <v>362</v>
      </c>
      <c r="E11" s="385" t="s">
        <v>363</v>
      </c>
      <c r="F11" s="37">
        <v>25</v>
      </c>
      <c r="G11" s="41">
        <v>0.8</v>
      </c>
      <c r="H11" s="41"/>
      <c r="I11" s="41"/>
      <c r="J11" s="41"/>
      <c r="K11" s="37" t="s">
        <v>364</v>
      </c>
      <c r="L11" s="41" t="s">
        <v>365</v>
      </c>
      <c r="M11" s="37">
        <v>190</v>
      </c>
      <c r="N11" s="41" t="s">
        <v>308</v>
      </c>
      <c r="O11" s="41" t="s">
        <v>366</v>
      </c>
      <c r="P11" s="37" t="s">
        <v>368</v>
      </c>
      <c r="Q11" s="37"/>
      <c r="R11" s="386"/>
      <c r="V11" s="38">
        <v>11</v>
      </c>
    </row>
    <row r="12" spans="1:37">
      <c r="A12" s="182">
        <v>3</v>
      </c>
      <c r="B12" s="179">
        <v>3</v>
      </c>
      <c r="C12" s="39" t="s">
        <v>361</v>
      </c>
      <c r="D12" s="39" t="s">
        <v>362</v>
      </c>
      <c r="E12" s="387" t="s">
        <v>363</v>
      </c>
      <c r="F12" s="40">
        <v>25</v>
      </c>
      <c r="G12" s="39">
        <v>0.8</v>
      </c>
      <c r="H12" s="39"/>
      <c r="I12" s="39"/>
      <c r="J12" s="39"/>
      <c r="K12" s="40" t="s">
        <v>364</v>
      </c>
      <c r="L12" s="39" t="s">
        <v>365</v>
      </c>
      <c r="M12" s="40">
        <v>190</v>
      </c>
      <c r="N12" s="39" t="s">
        <v>308</v>
      </c>
      <c r="O12" s="39" t="s">
        <v>366</v>
      </c>
      <c r="P12" s="40" t="s">
        <v>368</v>
      </c>
      <c r="Q12" s="40"/>
      <c r="R12" s="384"/>
      <c r="V12" s="38">
        <v>12</v>
      </c>
    </row>
    <row r="13" spans="1:37">
      <c r="A13" s="182">
        <v>3</v>
      </c>
      <c r="B13" s="179">
        <v>4</v>
      </c>
      <c r="C13" s="239" t="s">
        <v>361</v>
      </c>
      <c r="D13" s="239" t="s">
        <v>362</v>
      </c>
      <c r="E13" s="389" t="s">
        <v>363</v>
      </c>
      <c r="F13" s="232">
        <v>25</v>
      </c>
      <c r="G13" s="239">
        <v>0.8</v>
      </c>
      <c r="H13" s="41"/>
      <c r="I13" s="41"/>
      <c r="J13" s="41"/>
      <c r="K13" s="232" t="s">
        <v>364</v>
      </c>
      <c r="L13" s="41" t="s">
        <v>365</v>
      </c>
      <c r="M13" s="37">
        <v>190</v>
      </c>
      <c r="N13" s="41" t="s">
        <v>308</v>
      </c>
      <c r="O13" s="41" t="s">
        <v>366</v>
      </c>
      <c r="P13" s="232" t="s">
        <v>368</v>
      </c>
      <c r="Q13" s="232"/>
      <c r="R13" s="386"/>
      <c r="V13" s="38">
        <v>13</v>
      </c>
    </row>
    <row r="14" spans="1:37">
      <c r="A14" s="181">
        <v>4</v>
      </c>
      <c r="B14" s="178">
        <v>1</v>
      </c>
      <c r="C14" s="221" t="s">
        <v>361</v>
      </c>
      <c r="D14" s="221" t="s">
        <v>362</v>
      </c>
      <c r="E14" s="383" t="s">
        <v>363</v>
      </c>
      <c r="F14" s="222">
        <v>25</v>
      </c>
      <c r="G14" s="221">
        <v>1.5</v>
      </c>
      <c r="H14" s="222"/>
      <c r="I14" s="222"/>
      <c r="J14" s="222"/>
      <c r="K14" s="222" t="s">
        <v>364</v>
      </c>
      <c r="L14" s="222" t="s">
        <v>369</v>
      </c>
      <c r="M14" s="222">
        <v>180</v>
      </c>
      <c r="N14" s="221" t="s">
        <v>308</v>
      </c>
      <c r="O14" s="221" t="s">
        <v>366</v>
      </c>
      <c r="P14" s="222" t="s">
        <v>368</v>
      </c>
      <c r="Q14" s="222">
        <v>0.1</v>
      </c>
      <c r="R14" s="388"/>
      <c r="V14" s="38">
        <v>14</v>
      </c>
    </row>
    <row r="15" spans="1:37">
      <c r="A15" s="182">
        <v>4</v>
      </c>
      <c r="B15" s="179">
        <v>2</v>
      </c>
      <c r="C15" s="41" t="s">
        <v>361</v>
      </c>
      <c r="D15" s="41" t="s">
        <v>362</v>
      </c>
      <c r="E15" s="385" t="s">
        <v>363</v>
      </c>
      <c r="F15" s="37">
        <v>25</v>
      </c>
      <c r="G15" s="41">
        <v>1.5</v>
      </c>
      <c r="H15" s="37"/>
      <c r="I15" s="37"/>
      <c r="J15" s="37"/>
      <c r="K15" s="37" t="s">
        <v>364</v>
      </c>
      <c r="L15" s="37" t="s">
        <v>369</v>
      </c>
      <c r="M15" s="37">
        <v>180</v>
      </c>
      <c r="N15" s="41" t="s">
        <v>308</v>
      </c>
      <c r="O15" s="41" t="s">
        <v>366</v>
      </c>
      <c r="P15" s="37" t="s">
        <v>368</v>
      </c>
      <c r="Q15" s="37">
        <v>0.1</v>
      </c>
      <c r="R15" s="386"/>
      <c r="V15" s="38">
        <v>15</v>
      </c>
    </row>
    <row r="16" spans="1:37">
      <c r="A16" s="182">
        <v>4</v>
      </c>
      <c r="B16" s="179">
        <v>3</v>
      </c>
      <c r="C16" s="283" t="s">
        <v>361</v>
      </c>
      <c r="D16" s="283" t="s">
        <v>362</v>
      </c>
      <c r="E16" s="390" t="s">
        <v>363</v>
      </c>
      <c r="F16" s="233">
        <v>25</v>
      </c>
      <c r="G16" s="283">
        <v>1.5</v>
      </c>
      <c r="H16" s="40"/>
      <c r="I16" s="40"/>
      <c r="J16" s="40"/>
      <c r="K16" s="40" t="s">
        <v>364</v>
      </c>
      <c r="L16" s="233" t="s">
        <v>369</v>
      </c>
      <c r="M16" s="233">
        <v>180</v>
      </c>
      <c r="N16" s="283" t="s">
        <v>308</v>
      </c>
      <c r="O16" s="283" t="s">
        <v>366</v>
      </c>
      <c r="P16" s="40" t="s">
        <v>368</v>
      </c>
      <c r="Q16" s="40">
        <v>0.1</v>
      </c>
      <c r="R16" s="384"/>
      <c r="V16" s="38">
        <v>16</v>
      </c>
    </row>
    <row r="17" spans="1:22">
      <c r="A17" s="181">
        <v>5</v>
      </c>
      <c r="B17" s="178">
        <v>1</v>
      </c>
      <c r="C17" s="216" t="s">
        <v>361</v>
      </c>
      <c r="D17" s="216" t="s">
        <v>362</v>
      </c>
      <c r="E17" s="391" t="s">
        <v>363</v>
      </c>
      <c r="F17" s="216"/>
      <c r="G17" s="216"/>
      <c r="H17" s="217" t="s">
        <v>367</v>
      </c>
      <c r="I17" s="217">
        <v>25</v>
      </c>
      <c r="J17" s="217">
        <v>2</v>
      </c>
      <c r="K17" s="217" t="s">
        <v>364</v>
      </c>
      <c r="L17" s="216" t="s">
        <v>365</v>
      </c>
      <c r="M17" s="217">
        <v>175</v>
      </c>
      <c r="N17" s="216" t="s">
        <v>308</v>
      </c>
      <c r="O17" s="216"/>
      <c r="P17" s="217" t="s">
        <v>368</v>
      </c>
      <c r="Q17" s="217">
        <v>1</v>
      </c>
      <c r="R17" s="392"/>
      <c r="V17" s="38">
        <v>17</v>
      </c>
    </row>
    <row r="18" spans="1:22">
      <c r="A18" s="182">
        <v>5</v>
      </c>
      <c r="B18" s="179">
        <v>2</v>
      </c>
      <c r="C18" s="39" t="s">
        <v>361</v>
      </c>
      <c r="D18" s="39" t="s">
        <v>362</v>
      </c>
      <c r="E18" s="387" t="s">
        <v>363</v>
      </c>
      <c r="F18" s="39"/>
      <c r="G18" s="39"/>
      <c r="H18" s="40" t="s">
        <v>367</v>
      </c>
      <c r="I18" s="40">
        <v>25</v>
      </c>
      <c r="J18" s="40">
        <v>2</v>
      </c>
      <c r="K18" s="40" t="s">
        <v>364</v>
      </c>
      <c r="L18" s="39" t="s">
        <v>365</v>
      </c>
      <c r="M18" s="40">
        <v>175</v>
      </c>
      <c r="N18" s="39" t="s">
        <v>308</v>
      </c>
      <c r="O18" s="39"/>
      <c r="P18" s="40" t="s">
        <v>368</v>
      </c>
      <c r="Q18" s="40">
        <v>1</v>
      </c>
      <c r="R18" s="384"/>
      <c r="V18" s="38">
        <v>18</v>
      </c>
    </row>
    <row r="19" spans="1:22">
      <c r="A19" s="182">
        <v>5</v>
      </c>
      <c r="B19" s="179">
        <v>3</v>
      </c>
      <c r="C19" s="41" t="s">
        <v>361</v>
      </c>
      <c r="D19" s="41" t="s">
        <v>362</v>
      </c>
      <c r="E19" s="385" t="s">
        <v>363</v>
      </c>
      <c r="F19" s="41"/>
      <c r="G19" s="41"/>
      <c r="H19" s="37" t="s">
        <v>367</v>
      </c>
      <c r="I19" s="37">
        <v>25</v>
      </c>
      <c r="J19" s="37">
        <v>2</v>
      </c>
      <c r="K19" s="37" t="s">
        <v>364</v>
      </c>
      <c r="L19" s="41" t="s">
        <v>365</v>
      </c>
      <c r="M19" s="37">
        <v>175</v>
      </c>
      <c r="N19" s="41" t="s">
        <v>308</v>
      </c>
      <c r="O19" s="41"/>
      <c r="P19" s="37" t="s">
        <v>368</v>
      </c>
      <c r="Q19" s="37">
        <v>1</v>
      </c>
      <c r="R19" s="386"/>
      <c r="V19" s="38">
        <v>19</v>
      </c>
    </row>
    <row r="20" spans="1:22">
      <c r="A20" s="182">
        <v>5</v>
      </c>
      <c r="B20" s="179">
        <v>4</v>
      </c>
      <c r="C20" s="39" t="s">
        <v>361</v>
      </c>
      <c r="D20" s="39" t="s">
        <v>362</v>
      </c>
      <c r="E20" s="387" t="s">
        <v>363</v>
      </c>
      <c r="F20" s="39"/>
      <c r="G20" s="39"/>
      <c r="H20" s="40" t="s">
        <v>367</v>
      </c>
      <c r="I20" s="40">
        <v>25</v>
      </c>
      <c r="J20" s="40">
        <v>2</v>
      </c>
      <c r="K20" s="40" t="s">
        <v>364</v>
      </c>
      <c r="L20" s="39" t="s">
        <v>365</v>
      </c>
      <c r="M20" s="40">
        <v>175</v>
      </c>
      <c r="N20" s="39" t="s">
        <v>308</v>
      </c>
      <c r="O20" s="39"/>
      <c r="P20" s="40" t="s">
        <v>368</v>
      </c>
      <c r="Q20" s="40">
        <v>1</v>
      </c>
      <c r="R20" s="384"/>
      <c r="V20" s="38">
        <v>20</v>
      </c>
    </row>
    <row r="21" spans="1:22">
      <c r="A21" s="182">
        <v>5</v>
      </c>
      <c r="B21" s="179">
        <v>5</v>
      </c>
      <c r="C21" s="41" t="s">
        <v>361</v>
      </c>
      <c r="D21" s="41" t="s">
        <v>362</v>
      </c>
      <c r="E21" s="385" t="s">
        <v>363</v>
      </c>
      <c r="F21" s="41"/>
      <c r="G21" s="41"/>
      <c r="H21" s="37" t="s">
        <v>367</v>
      </c>
      <c r="I21" s="37">
        <v>25</v>
      </c>
      <c r="J21" s="37">
        <v>2</v>
      </c>
      <c r="K21" s="37" t="s">
        <v>364</v>
      </c>
      <c r="L21" s="41" t="s">
        <v>365</v>
      </c>
      <c r="M21" s="37">
        <v>175</v>
      </c>
      <c r="N21" s="41" t="s">
        <v>308</v>
      </c>
      <c r="O21" s="41"/>
      <c r="P21" s="37" t="s">
        <v>368</v>
      </c>
      <c r="Q21" s="37">
        <v>1</v>
      </c>
      <c r="R21" s="386"/>
      <c r="V21" s="38">
        <v>21</v>
      </c>
    </row>
    <row r="22" spans="1:22">
      <c r="A22" s="182">
        <v>5</v>
      </c>
      <c r="B22" s="179">
        <v>6</v>
      </c>
      <c r="C22" s="39" t="s">
        <v>361</v>
      </c>
      <c r="D22" s="39" t="s">
        <v>362</v>
      </c>
      <c r="E22" s="387" t="s">
        <v>363</v>
      </c>
      <c r="F22" s="39"/>
      <c r="G22" s="39"/>
      <c r="H22" s="40" t="s">
        <v>367</v>
      </c>
      <c r="I22" s="40">
        <v>25</v>
      </c>
      <c r="J22" s="40">
        <v>2</v>
      </c>
      <c r="K22" s="40" t="s">
        <v>364</v>
      </c>
      <c r="L22" s="283" t="s">
        <v>365</v>
      </c>
      <c r="M22" s="233">
        <v>175</v>
      </c>
      <c r="N22" s="283" t="s">
        <v>308</v>
      </c>
      <c r="O22" s="283"/>
      <c r="P22" s="233" t="s">
        <v>368</v>
      </c>
      <c r="Q22" s="233">
        <v>1</v>
      </c>
      <c r="R22" s="384"/>
      <c r="V22" s="38">
        <v>22</v>
      </c>
    </row>
    <row r="23" spans="1:22">
      <c r="A23" s="181">
        <v>6</v>
      </c>
      <c r="B23" s="178">
        <v>1</v>
      </c>
      <c r="C23" s="216" t="s">
        <v>361</v>
      </c>
      <c r="D23" s="216" t="s">
        <v>362</v>
      </c>
      <c r="E23" s="391" t="s">
        <v>363</v>
      </c>
      <c r="F23" s="217">
        <v>25</v>
      </c>
      <c r="G23" s="216"/>
      <c r="H23" s="217"/>
      <c r="I23" s="217"/>
      <c r="J23" s="217"/>
      <c r="K23" s="217" t="s">
        <v>364</v>
      </c>
      <c r="L23" s="216" t="s">
        <v>365</v>
      </c>
      <c r="M23" s="217">
        <v>175</v>
      </c>
      <c r="N23" s="216" t="s">
        <v>308</v>
      </c>
      <c r="O23" s="216" t="s">
        <v>366</v>
      </c>
      <c r="P23" s="217" t="s">
        <v>368</v>
      </c>
      <c r="Q23" s="217">
        <v>1</v>
      </c>
      <c r="R23" s="392"/>
      <c r="V23" s="38">
        <v>23</v>
      </c>
    </row>
    <row r="24" spans="1:22">
      <c r="A24" s="182">
        <v>6</v>
      </c>
      <c r="B24" s="179">
        <v>2</v>
      </c>
      <c r="C24" s="39" t="s">
        <v>361</v>
      </c>
      <c r="D24" s="39" t="s">
        <v>362</v>
      </c>
      <c r="E24" s="387" t="s">
        <v>363</v>
      </c>
      <c r="F24" s="40">
        <v>25</v>
      </c>
      <c r="G24" s="39"/>
      <c r="H24" s="40"/>
      <c r="I24" s="40"/>
      <c r="J24" s="40"/>
      <c r="K24" s="40" t="s">
        <v>364</v>
      </c>
      <c r="L24" s="39" t="s">
        <v>365</v>
      </c>
      <c r="M24" s="40">
        <v>175</v>
      </c>
      <c r="N24" s="39" t="s">
        <v>308</v>
      </c>
      <c r="O24" s="39" t="s">
        <v>366</v>
      </c>
      <c r="P24" s="40" t="s">
        <v>368</v>
      </c>
      <c r="Q24" s="40">
        <v>1</v>
      </c>
      <c r="R24" s="384"/>
      <c r="V24" s="38">
        <v>24</v>
      </c>
    </row>
    <row r="25" spans="1:22">
      <c r="A25" s="182">
        <v>6</v>
      </c>
      <c r="B25" s="179">
        <v>3</v>
      </c>
      <c r="C25" s="41" t="s">
        <v>361</v>
      </c>
      <c r="D25" s="41" t="s">
        <v>362</v>
      </c>
      <c r="E25" s="385" t="s">
        <v>363</v>
      </c>
      <c r="F25" s="37">
        <v>25</v>
      </c>
      <c r="G25" s="41"/>
      <c r="H25" s="37"/>
      <c r="I25" s="37"/>
      <c r="J25" s="37"/>
      <c r="K25" s="37" t="s">
        <v>364</v>
      </c>
      <c r="L25" s="41" t="s">
        <v>365</v>
      </c>
      <c r="M25" s="37">
        <v>175</v>
      </c>
      <c r="N25" s="41" t="s">
        <v>308</v>
      </c>
      <c r="O25" s="41" t="s">
        <v>366</v>
      </c>
      <c r="P25" s="37" t="s">
        <v>368</v>
      </c>
      <c r="Q25" s="37">
        <v>1</v>
      </c>
      <c r="R25" s="386"/>
      <c r="V25" s="38">
        <v>25</v>
      </c>
    </row>
    <row r="26" spans="1:22">
      <c r="A26" s="182">
        <v>6</v>
      </c>
      <c r="B26" s="179">
        <v>4</v>
      </c>
      <c r="C26" s="283" t="s">
        <v>361</v>
      </c>
      <c r="D26" s="283" t="s">
        <v>362</v>
      </c>
      <c r="E26" s="390" t="s">
        <v>363</v>
      </c>
      <c r="F26" s="233">
        <v>25</v>
      </c>
      <c r="G26" s="283"/>
      <c r="H26" s="233"/>
      <c r="I26" s="233"/>
      <c r="J26" s="233"/>
      <c r="K26" s="233" t="s">
        <v>364</v>
      </c>
      <c r="L26" s="39" t="s">
        <v>365</v>
      </c>
      <c r="M26" s="40">
        <v>175</v>
      </c>
      <c r="N26" s="39" t="s">
        <v>308</v>
      </c>
      <c r="O26" s="39" t="s">
        <v>366</v>
      </c>
      <c r="P26" s="40" t="s">
        <v>368</v>
      </c>
      <c r="Q26" s="40">
        <v>1</v>
      </c>
      <c r="R26" s="384"/>
      <c r="V26" s="38">
        <v>26</v>
      </c>
    </row>
    <row r="27" spans="1:22">
      <c r="A27" s="181">
        <v>7</v>
      </c>
      <c r="B27" s="178">
        <v>1</v>
      </c>
      <c r="C27" s="216" t="s">
        <v>361</v>
      </c>
      <c r="D27" s="216" t="s">
        <v>362</v>
      </c>
      <c r="E27" s="391" t="s">
        <v>363</v>
      </c>
      <c r="F27" s="217">
        <v>20</v>
      </c>
      <c r="G27" s="216"/>
      <c r="H27" s="216"/>
      <c r="I27" s="216"/>
      <c r="J27" s="216"/>
      <c r="K27" s="217" t="s">
        <v>364</v>
      </c>
      <c r="L27" s="216" t="s">
        <v>365</v>
      </c>
      <c r="M27" s="217">
        <v>190</v>
      </c>
      <c r="N27" s="217" t="s">
        <v>308</v>
      </c>
      <c r="O27" s="216"/>
      <c r="P27" s="217" t="s">
        <v>368</v>
      </c>
      <c r="Q27" s="217">
        <v>0.3</v>
      </c>
      <c r="R27" s="392"/>
      <c r="V27" s="38">
        <v>27</v>
      </c>
    </row>
    <row r="28" spans="1:22">
      <c r="A28" s="182">
        <v>7</v>
      </c>
      <c r="B28" s="179">
        <v>2</v>
      </c>
      <c r="C28" s="283" t="s">
        <v>361</v>
      </c>
      <c r="D28" s="283" t="s">
        <v>362</v>
      </c>
      <c r="E28" s="390" t="s">
        <v>363</v>
      </c>
      <c r="F28" s="233">
        <v>20</v>
      </c>
      <c r="G28" s="283"/>
      <c r="H28" s="283"/>
      <c r="I28" s="283"/>
      <c r="J28" s="283"/>
      <c r="K28" s="283" t="s">
        <v>364</v>
      </c>
      <c r="L28" s="283" t="s">
        <v>365</v>
      </c>
      <c r="M28" s="233">
        <v>190</v>
      </c>
      <c r="N28" s="233" t="s">
        <v>308</v>
      </c>
      <c r="O28" s="283"/>
      <c r="P28" s="233" t="s">
        <v>368</v>
      </c>
      <c r="Q28" s="233">
        <v>0.3</v>
      </c>
      <c r="R28" s="384"/>
      <c r="V28" s="38">
        <v>28</v>
      </c>
    </row>
    <row r="29" spans="1:22">
      <c r="A29" s="181">
        <v>8</v>
      </c>
      <c r="B29" s="178">
        <v>1</v>
      </c>
      <c r="C29" s="393" t="s">
        <v>370</v>
      </c>
      <c r="D29" s="393" t="s">
        <v>371</v>
      </c>
      <c r="E29" s="391"/>
      <c r="F29" s="217"/>
      <c r="G29" s="217"/>
      <c r="H29" s="217"/>
      <c r="I29" s="217"/>
      <c r="J29" s="217"/>
      <c r="K29" s="217"/>
      <c r="L29" s="217" t="s">
        <v>369</v>
      </c>
      <c r="M29" s="217"/>
      <c r="N29" s="217" t="s">
        <v>308</v>
      </c>
      <c r="O29" s="216" t="s">
        <v>366</v>
      </c>
      <c r="P29" s="217" t="s">
        <v>372</v>
      </c>
      <c r="Q29" s="217"/>
      <c r="R29" s="392">
        <v>1</v>
      </c>
      <c r="V29" s="38">
        <v>29</v>
      </c>
    </row>
    <row r="30" spans="1:22">
      <c r="A30" s="182">
        <v>8</v>
      </c>
      <c r="B30" s="179">
        <v>2</v>
      </c>
      <c r="C30" s="394" t="s">
        <v>370</v>
      </c>
      <c r="D30" s="394" t="s">
        <v>371</v>
      </c>
      <c r="E30" s="387"/>
      <c r="F30" s="40"/>
      <c r="G30" s="40"/>
      <c r="H30" s="40"/>
      <c r="I30" s="40"/>
      <c r="J30" s="40"/>
      <c r="K30" s="40"/>
      <c r="L30" s="40" t="s">
        <v>369</v>
      </c>
      <c r="M30" s="40"/>
      <c r="N30" s="40" t="s">
        <v>308</v>
      </c>
      <c r="O30" s="39" t="s">
        <v>366</v>
      </c>
      <c r="P30" s="40" t="s">
        <v>372</v>
      </c>
      <c r="Q30" s="40"/>
      <c r="R30" s="384">
        <v>1</v>
      </c>
      <c r="V30" s="38">
        <v>30</v>
      </c>
    </row>
    <row r="31" spans="1:22">
      <c r="A31" s="182">
        <v>8</v>
      </c>
      <c r="B31" s="179">
        <v>3</v>
      </c>
      <c r="C31" s="395" t="s">
        <v>370</v>
      </c>
      <c r="D31" s="395" t="s">
        <v>371</v>
      </c>
      <c r="E31" s="385"/>
      <c r="F31" s="37"/>
      <c r="G31" s="37"/>
      <c r="H31" s="37"/>
      <c r="I31" s="37"/>
      <c r="J31" s="37"/>
      <c r="K31" s="37"/>
      <c r="L31" s="37" t="s">
        <v>369</v>
      </c>
      <c r="M31" s="37"/>
      <c r="N31" s="37" t="s">
        <v>308</v>
      </c>
      <c r="O31" s="41" t="s">
        <v>366</v>
      </c>
      <c r="P31" s="37" t="s">
        <v>372</v>
      </c>
      <c r="Q31" s="37"/>
      <c r="R31" s="386">
        <v>1</v>
      </c>
      <c r="V31" s="38">
        <v>31</v>
      </c>
    </row>
    <row r="32" spans="1:22">
      <c r="A32" s="182">
        <v>8</v>
      </c>
      <c r="B32" s="179">
        <v>4</v>
      </c>
      <c r="C32" s="396" t="s">
        <v>370</v>
      </c>
      <c r="D32" s="396" t="s">
        <v>371</v>
      </c>
      <c r="E32" s="387"/>
      <c r="F32" s="40"/>
      <c r="G32" s="40"/>
      <c r="H32" s="40"/>
      <c r="I32" s="40"/>
      <c r="J32" s="40"/>
      <c r="K32" s="40"/>
      <c r="L32" s="40" t="s">
        <v>369</v>
      </c>
      <c r="M32" s="40"/>
      <c r="N32" s="40" t="s">
        <v>308</v>
      </c>
      <c r="O32" s="39" t="s">
        <v>366</v>
      </c>
      <c r="P32" s="233" t="s">
        <v>372</v>
      </c>
      <c r="Q32" s="40"/>
      <c r="R32" s="384">
        <v>1</v>
      </c>
      <c r="V32" s="38">
        <v>32</v>
      </c>
    </row>
    <row r="33" spans="1:22">
      <c r="A33" s="181">
        <v>9</v>
      </c>
      <c r="B33" s="178">
        <v>1</v>
      </c>
      <c r="C33" s="393" t="s">
        <v>370</v>
      </c>
      <c r="D33" s="393" t="s">
        <v>373</v>
      </c>
      <c r="E33" s="217"/>
      <c r="F33" s="217"/>
      <c r="G33" s="217"/>
      <c r="H33" s="217"/>
      <c r="I33" s="217"/>
      <c r="J33" s="217"/>
      <c r="K33" s="217"/>
      <c r="L33" s="217" t="s">
        <v>369</v>
      </c>
      <c r="M33" s="217"/>
      <c r="N33" s="217" t="s">
        <v>308</v>
      </c>
      <c r="O33" s="216"/>
      <c r="P33" s="217" t="s">
        <v>372</v>
      </c>
      <c r="Q33" s="217"/>
      <c r="R33" s="392">
        <v>1</v>
      </c>
      <c r="V33" s="38">
        <v>33</v>
      </c>
    </row>
    <row r="34" spans="1:22">
      <c r="A34" s="182">
        <v>9</v>
      </c>
      <c r="B34" s="179">
        <v>2</v>
      </c>
      <c r="C34" s="394" t="s">
        <v>370</v>
      </c>
      <c r="D34" s="394" t="s">
        <v>373</v>
      </c>
      <c r="E34" s="40"/>
      <c r="F34" s="40"/>
      <c r="G34" s="40"/>
      <c r="H34" s="40"/>
      <c r="I34" s="40"/>
      <c r="J34" s="40"/>
      <c r="K34" s="40"/>
      <c r="L34" s="40" t="s">
        <v>369</v>
      </c>
      <c r="M34" s="40"/>
      <c r="N34" s="40" t="s">
        <v>308</v>
      </c>
      <c r="O34" s="39"/>
      <c r="P34" s="40" t="s">
        <v>372</v>
      </c>
      <c r="Q34" s="40"/>
      <c r="R34" s="384">
        <v>1</v>
      </c>
      <c r="V34" s="38">
        <v>34</v>
      </c>
    </row>
    <row r="35" spans="1:22">
      <c r="A35" s="182">
        <v>9</v>
      </c>
      <c r="B35" s="179">
        <v>3</v>
      </c>
      <c r="C35" s="395" t="s">
        <v>370</v>
      </c>
      <c r="D35" s="395" t="s">
        <v>373</v>
      </c>
      <c r="E35" s="37"/>
      <c r="F35" s="37"/>
      <c r="G35" s="37"/>
      <c r="H35" s="37"/>
      <c r="I35" s="37"/>
      <c r="J35" s="37"/>
      <c r="K35" s="37"/>
      <c r="L35" s="37" t="s">
        <v>369</v>
      </c>
      <c r="M35" s="37"/>
      <c r="N35" s="37" t="s">
        <v>308</v>
      </c>
      <c r="O35" s="41"/>
      <c r="P35" s="37" t="s">
        <v>372</v>
      </c>
      <c r="Q35" s="37"/>
      <c r="R35" s="386">
        <v>1</v>
      </c>
      <c r="V35" s="38">
        <v>35</v>
      </c>
    </row>
    <row r="36" spans="1:22">
      <c r="A36" s="182">
        <v>9</v>
      </c>
      <c r="B36" s="179">
        <v>4</v>
      </c>
      <c r="C36" s="394" t="s">
        <v>370</v>
      </c>
      <c r="D36" s="394" t="s">
        <v>373</v>
      </c>
      <c r="E36" s="411"/>
      <c r="F36" s="411"/>
      <c r="G36" s="411"/>
      <c r="H36" s="411"/>
      <c r="I36" s="411"/>
      <c r="J36" s="411"/>
      <c r="K36" s="411"/>
      <c r="L36" s="411" t="s">
        <v>369</v>
      </c>
      <c r="M36" s="233"/>
      <c r="N36" s="233" t="s">
        <v>308</v>
      </c>
      <c r="O36" s="283"/>
      <c r="P36" s="233" t="s">
        <v>372</v>
      </c>
      <c r="Q36" s="40"/>
      <c r="R36" s="384">
        <v>1</v>
      </c>
      <c r="V36" s="38">
        <v>36</v>
      </c>
    </row>
    <row r="37" spans="1:22">
      <c r="A37" s="181">
        <v>11</v>
      </c>
      <c r="B37" s="178" t="s">
        <v>220</v>
      </c>
      <c r="C37" s="216" t="s">
        <v>361</v>
      </c>
      <c r="D37" s="216" t="s">
        <v>362</v>
      </c>
      <c r="E37" s="37"/>
      <c r="F37" s="37">
        <v>25</v>
      </c>
      <c r="G37" s="37">
        <v>0.5</v>
      </c>
      <c r="H37" s="37"/>
      <c r="I37" s="37"/>
      <c r="J37" s="37"/>
      <c r="K37" s="37" t="s">
        <v>364</v>
      </c>
      <c r="L37" s="37" t="s">
        <v>369</v>
      </c>
      <c r="M37" s="217">
        <v>190</v>
      </c>
      <c r="N37" s="217" t="s">
        <v>308</v>
      </c>
      <c r="O37" s="216" t="s">
        <v>366</v>
      </c>
      <c r="P37" s="217"/>
      <c r="Q37" s="37"/>
      <c r="R37" s="392"/>
      <c r="S37" s="2"/>
      <c r="V37" s="38">
        <v>37</v>
      </c>
    </row>
    <row r="38" spans="1:22">
      <c r="A38" s="182">
        <v>11</v>
      </c>
      <c r="B38" s="179" t="s">
        <v>221</v>
      </c>
      <c r="C38" s="39" t="s">
        <v>361</v>
      </c>
      <c r="D38" s="39" t="s">
        <v>362</v>
      </c>
      <c r="E38" s="40"/>
      <c r="F38" s="40">
        <v>25</v>
      </c>
      <c r="G38" s="40">
        <v>0.5</v>
      </c>
      <c r="H38" s="40"/>
      <c r="I38" s="40"/>
      <c r="J38" s="40"/>
      <c r="K38" s="40" t="s">
        <v>364</v>
      </c>
      <c r="L38" s="40" t="s">
        <v>369</v>
      </c>
      <c r="M38" s="40">
        <v>190</v>
      </c>
      <c r="N38" s="40" t="s">
        <v>308</v>
      </c>
      <c r="O38" s="39" t="s">
        <v>366</v>
      </c>
      <c r="P38" s="40"/>
      <c r="Q38" s="40"/>
      <c r="R38" s="384"/>
      <c r="S38" s="2"/>
      <c r="V38" s="38">
        <v>38</v>
      </c>
    </row>
    <row r="39" spans="1:22">
      <c r="A39" s="182">
        <v>11</v>
      </c>
      <c r="B39" s="179" t="s">
        <v>222</v>
      </c>
      <c r="C39" s="41" t="s">
        <v>361</v>
      </c>
      <c r="D39" s="41" t="s">
        <v>362</v>
      </c>
      <c r="E39" s="37"/>
      <c r="F39" s="37">
        <v>25</v>
      </c>
      <c r="G39" s="37">
        <v>0.5</v>
      </c>
      <c r="H39" s="37"/>
      <c r="I39" s="37"/>
      <c r="J39" s="37"/>
      <c r="K39" s="37" t="s">
        <v>364</v>
      </c>
      <c r="L39" s="37" t="s">
        <v>369</v>
      </c>
      <c r="M39" s="37">
        <v>190</v>
      </c>
      <c r="N39" s="37" t="s">
        <v>308</v>
      </c>
      <c r="O39" s="41" t="s">
        <v>366</v>
      </c>
      <c r="P39" s="37"/>
      <c r="Q39" s="37"/>
      <c r="R39" s="386"/>
      <c r="S39" s="2"/>
      <c r="V39" s="38">
        <v>39</v>
      </c>
    </row>
    <row r="40" spans="1:22">
      <c r="A40" s="182">
        <v>11</v>
      </c>
      <c r="B40" s="179" t="s">
        <v>223</v>
      </c>
      <c r="C40" s="39" t="s">
        <v>361</v>
      </c>
      <c r="D40" s="39" t="s">
        <v>362</v>
      </c>
      <c r="E40" s="40"/>
      <c r="F40" s="40">
        <v>25</v>
      </c>
      <c r="G40" s="40">
        <v>0.5</v>
      </c>
      <c r="H40" s="40"/>
      <c r="I40" s="40"/>
      <c r="J40" s="40"/>
      <c r="K40" s="40" t="s">
        <v>364</v>
      </c>
      <c r="L40" s="40" t="s">
        <v>369</v>
      </c>
      <c r="M40" s="40">
        <v>190</v>
      </c>
      <c r="N40" s="40" t="s">
        <v>308</v>
      </c>
      <c r="O40" s="39" t="s">
        <v>366</v>
      </c>
      <c r="P40" s="40"/>
      <c r="Q40" s="40"/>
      <c r="R40" s="384"/>
      <c r="S40" s="2"/>
      <c r="V40" s="38">
        <v>40</v>
      </c>
    </row>
    <row r="41" spans="1:22">
      <c r="A41" s="182">
        <v>11</v>
      </c>
      <c r="B41" s="179" t="s">
        <v>224</v>
      </c>
      <c r="C41" s="395" t="s">
        <v>370</v>
      </c>
      <c r="D41" s="395" t="s">
        <v>373</v>
      </c>
      <c r="E41" s="37"/>
      <c r="F41" s="37">
        <v>25</v>
      </c>
      <c r="G41" s="37">
        <v>0.5</v>
      </c>
      <c r="H41" s="37"/>
      <c r="I41" s="37"/>
      <c r="J41" s="37"/>
      <c r="K41" s="37" t="s">
        <v>364</v>
      </c>
      <c r="L41" s="37" t="s">
        <v>369</v>
      </c>
      <c r="M41" s="37"/>
      <c r="N41" s="37" t="s">
        <v>308</v>
      </c>
      <c r="O41" s="41" t="s">
        <v>366</v>
      </c>
      <c r="P41" s="37" t="s">
        <v>374</v>
      </c>
      <c r="Q41" s="37">
        <v>0.05</v>
      </c>
      <c r="R41" s="386">
        <v>1</v>
      </c>
      <c r="S41" s="2"/>
      <c r="V41" s="38">
        <v>41</v>
      </c>
    </row>
    <row r="42" spans="1:22">
      <c r="A42" s="182">
        <v>11</v>
      </c>
      <c r="B42" s="179" t="s">
        <v>225</v>
      </c>
      <c r="C42" s="394" t="s">
        <v>370</v>
      </c>
      <c r="D42" s="394" t="s">
        <v>373</v>
      </c>
      <c r="E42" s="40"/>
      <c r="F42" s="40">
        <v>25</v>
      </c>
      <c r="G42" s="40">
        <v>0.5</v>
      </c>
      <c r="H42" s="40"/>
      <c r="I42" s="40"/>
      <c r="J42" s="40"/>
      <c r="K42" s="40" t="s">
        <v>364</v>
      </c>
      <c r="L42" s="40" t="s">
        <v>369</v>
      </c>
      <c r="M42" s="40"/>
      <c r="N42" s="40" t="s">
        <v>308</v>
      </c>
      <c r="O42" s="39" t="s">
        <v>366</v>
      </c>
      <c r="P42" s="40" t="s">
        <v>374</v>
      </c>
      <c r="Q42" s="40">
        <v>0.05</v>
      </c>
      <c r="R42" s="384">
        <v>1</v>
      </c>
      <c r="S42" s="2"/>
      <c r="V42" s="38">
        <v>42</v>
      </c>
    </row>
    <row r="43" spans="1:22">
      <c r="A43" s="182">
        <v>11</v>
      </c>
      <c r="B43" s="179" t="s">
        <v>226</v>
      </c>
      <c r="C43" s="395" t="s">
        <v>370</v>
      </c>
      <c r="D43" s="395" t="s">
        <v>373</v>
      </c>
      <c r="E43" s="37"/>
      <c r="F43" s="37">
        <v>25</v>
      </c>
      <c r="G43" s="37">
        <v>0.5</v>
      </c>
      <c r="H43" s="37"/>
      <c r="I43" s="37"/>
      <c r="J43" s="37"/>
      <c r="K43" s="37" t="s">
        <v>364</v>
      </c>
      <c r="L43" s="37" t="s">
        <v>369</v>
      </c>
      <c r="M43" s="37"/>
      <c r="N43" s="37" t="s">
        <v>308</v>
      </c>
      <c r="O43" s="41" t="s">
        <v>366</v>
      </c>
      <c r="P43" s="37" t="s">
        <v>374</v>
      </c>
      <c r="Q43" s="37">
        <v>0.05</v>
      </c>
      <c r="R43" s="386">
        <v>1</v>
      </c>
      <c r="S43" s="2"/>
      <c r="V43" s="38">
        <v>43</v>
      </c>
    </row>
    <row r="44" spans="1:22">
      <c r="A44" s="182">
        <v>11</v>
      </c>
      <c r="B44" s="179" t="s">
        <v>227</v>
      </c>
      <c r="C44" s="394" t="s">
        <v>370</v>
      </c>
      <c r="D44" s="394" t="s">
        <v>373</v>
      </c>
      <c r="E44" s="40"/>
      <c r="F44" s="40">
        <v>25</v>
      </c>
      <c r="G44" s="40">
        <v>0.5</v>
      </c>
      <c r="H44" s="40"/>
      <c r="I44" s="40"/>
      <c r="J44" s="40"/>
      <c r="K44" s="233" t="s">
        <v>364</v>
      </c>
      <c r="L44" s="40" t="s">
        <v>369</v>
      </c>
      <c r="M44" s="40"/>
      <c r="N44" s="40" t="s">
        <v>308</v>
      </c>
      <c r="O44" s="39" t="s">
        <v>366</v>
      </c>
      <c r="P44" s="40" t="s">
        <v>374</v>
      </c>
      <c r="Q44" s="40">
        <v>0.05</v>
      </c>
      <c r="R44" s="384">
        <v>1</v>
      </c>
      <c r="S44" s="2"/>
      <c r="V44" s="38">
        <v>44</v>
      </c>
    </row>
    <row r="45" spans="1:22">
      <c r="A45" s="181">
        <v>12</v>
      </c>
      <c r="B45" s="178" t="s">
        <v>220</v>
      </c>
      <c r="C45" s="216" t="s">
        <v>361</v>
      </c>
      <c r="D45" s="217"/>
      <c r="E45" s="391" t="s">
        <v>363</v>
      </c>
      <c r="F45" s="217"/>
      <c r="G45" s="217">
        <v>1</v>
      </c>
      <c r="H45" s="217"/>
      <c r="I45" s="217">
        <v>20</v>
      </c>
      <c r="J45" s="217">
        <v>1.55</v>
      </c>
      <c r="K45" s="217" t="s">
        <v>364</v>
      </c>
      <c r="L45" s="217" t="s">
        <v>369</v>
      </c>
      <c r="M45" s="217">
        <v>200</v>
      </c>
      <c r="N45" s="217" t="s">
        <v>308</v>
      </c>
      <c r="O45" s="216" t="s">
        <v>366</v>
      </c>
      <c r="P45" s="217" t="s">
        <v>368</v>
      </c>
      <c r="Q45" s="217">
        <v>0.1</v>
      </c>
      <c r="R45" s="392"/>
      <c r="S45" s="2"/>
      <c r="V45" s="38">
        <v>45</v>
      </c>
    </row>
    <row r="46" spans="1:22">
      <c r="A46" s="182">
        <v>12</v>
      </c>
      <c r="B46" s="179" t="s">
        <v>221</v>
      </c>
      <c r="C46" s="39" t="s">
        <v>361</v>
      </c>
      <c r="D46" s="40"/>
      <c r="E46" s="387" t="s">
        <v>363</v>
      </c>
      <c r="F46" s="40"/>
      <c r="G46" s="40">
        <v>1</v>
      </c>
      <c r="H46" s="40"/>
      <c r="I46" s="40">
        <v>20</v>
      </c>
      <c r="J46" s="40">
        <v>1.55</v>
      </c>
      <c r="K46" s="40" t="s">
        <v>364</v>
      </c>
      <c r="L46" s="40" t="s">
        <v>369</v>
      </c>
      <c r="M46" s="40">
        <v>200</v>
      </c>
      <c r="N46" s="40" t="s">
        <v>308</v>
      </c>
      <c r="O46" s="39" t="s">
        <v>366</v>
      </c>
      <c r="P46" s="40" t="s">
        <v>368</v>
      </c>
      <c r="Q46" s="40">
        <v>0.1</v>
      </c>
      <c r="R46" s="384"/>
      <c r="S46" s="2"/>
      <c r="V46" s="38">
        <v>46</v>
      </c>
    </row>
    <row r="47" spans="1:22">
      <c r="A47" s="182">
        <v>12</v>
      </c>
      <c r="B47" s="179" t="s">
        <v>222</v>
      </c>
      <c r="C47" s="41" t="s">
        <v>361</v>
      </c>
      <c r="D47" s="37"/>
      <c r="E47" s="385" t="s">
        <v>363</v>
      </c>
      <c r="F47" s="37"/>
      <c r="G47" s="37">
        <v>1</v>
      </c>
      <c r="H47" s="37"/>
      <c r="I47" s="37">
        <v>20</v>
      </c>
      <c r="J47" s="37">
        <v>1.55</v>
      </c>
      <c r="K47" s="37" t="s">
        <v>364</v>
      </c>
      <c r="L47" s="37" t="s">
        <v>369</v>
      </c>
      <c r="M47" s="37">
        <v>200</v>
      </c>
      <c r="N47" s="37" t="s">
        <v>308</v>
      </c>
      <c r="O47" s="41" t="s">
        <v>366</v>
      </c>
      <c r="P47" s="37" t="s">
        <v>368</v>
      </c>
      <c r="Q47" s="37">
        <v>0.1</v>
      </c>
      <c r="R47" s="386"/>
      <c r="S47" s="2"/>
      <c r="V47" s="38">
        <v>47</v>
      </c>
    </row>
    <row r="48" spans="1:22">
      <c r="A48" s="182">
        <v>12</v>
      </c>
      <c r="B48" s="179" t="s">
        <v>223</v>
      </c>
      <c r="C48" s="39" t="s">
        <v>361</v>
      </c>
      <c r="D48" s="40"/>
      <c r="E48" s="387" t="s">
        <v>363</v>
      </c>
      <c r="F48" s="40"/>
      <c r="G48" s="40">
        <v>1</v>
      </c>
      <c r="H48" s="40"/>
      <c r="I48" s="40">
        <v>20</v>
      </c>
      <c r="J48" s="40">
        <v>1.55</v>
      </c>
      <c r="K48" s="40" t="s">
        <v>364</v>
      </c>
      <c r="L48" s="40" t="s">
        <v>369</v>
      </c>
      <c r="M48" s="40">
        <v>200</v>
      </c>
      <c r="N48" s="40" t="s">
        <v>308</v>
      </c>
      <c r="O48" s="39" t="s">
        <v>366</v>
      </c>
      <c r="P48" s="40" t="s">
        <v>368</v>
      </c>
      <c r="Q48" s="40">
        <v>0.1</v>
      </c>
      <c r="R48" s="384"/>
      <c r="S48" s="2"/>
      <c r="V48" s="38">
        <v>48</v>
      </c>
    </row>
    <row r="49" spans="1:22">
      <c r="A49" s="182">
        <v>12</v>
      </c>
      <c r="B49" s="179" t="s">
        <v>228</v>
      </c>
      <c r="C49" s="41" t="s">
        <v>361</v>
      </c>
      <c r="D49" s="37"/>
      <c r="E49" s="385" t="s">
        <v>363</v>
      </c>
      <c r="F49" s="37"/>
      <c r="G49" s="37">
        <v>1</v>
      </c>
      <c r="H49" s="37"/>
      <c r="I49" s="37">
        <v>20</v>
      </c>
      <c r="J49" s="37">
        <v>1.55</v>
      </c>
      <c r="K49" s="37" t="s">
        <v>364</v>
      </c>
      <c r="L49" s="37" t="s">
        <v>369</v>
      </c>
      <c r="M49" s="37">
        <v>200</v>
      </c>
      <c r="N49" s="37" t="s">
        <v>308</v>
      </c>
      <c r="O49" s="41" t="s">
        <v>366</v>
      </c>
      <c r="P49" s="37" t="s">
        <v>368</v>
      </c>
      <c r="Q49" s="37">
        <v>0.1</v>
      </c>
      <c r="R49" s="386"/>
      <c r="S49" s="2"/>
      <c r="V49" s="38">
        <v>49</v>
      </c>
    </row>
    <row r="50" spans="1:22">
      <c r="A50" s="182">
        <v>12</v>
      </c>
      <c r="B50" s="179" t="s">
        <v>224</v>
      </c>
      <c r="C50" s="394" t="s">
        <v>370</v>
      </c>
      <c r="D50" s="40"/>
      <c r="E50" s="387" t="s">
        <v>363</v>
      </c>
      <c r="F50" s="40"/>
      <c r="G50" s="40"/>
      <c r="H50" s="40"/>
      <c r="I50" s="40"/>
      <c r="J50" s="40"/>
      <c r="K50" s="40"/>
      <c r="L50" s="40" t="s">
        <v>369</v>
      </c>
      <c r="M50" s="40"/>
      <c r="N50" s="40" t="s">
        <v>308</v>
      </c>
      <c r="O50" s="39"/>
      <c r="P50" s="40" t="s">
        <v>372</v>
      </c>
      <c r="Q50" s="40"/>
      <c r="R50" s="384">
        <v>1</v>
      </c>
      <c r="S50" s="2"/>
      <c r="V50" s="38">
        <v>50</v>
      </c>
    </row>
    <row r="51" spans="1:22">
      <c r="A51" s="182">
        <v>12</v>
      </c>
      <c r="B51" s="179" t="s">
        <v>225</v>
      </c>
      <c r="C51" s="395" t="s">
        <v>370</v>
      </c>
      <c r="D51" s="37"/>
      <c r="E51" s="385" t="s">
        <v>363</v>
      </c>
      <c r="F51" s="37"/>
      <c r="G51" s="37"/>
      <c r="H51" s="37"/>
      <c r="I51" s="37"/>
      <c r="J51" s="37"/>
      <c r="K51" s="37"/>
      <c r="L51" s="37" t="s">
        <v>369</v>
      </c>
      <c r="M51" s="37"/>
      <c r="N51" s="37" t="s">
        <v>308</v>
      </c>
      <c r="O51" s="41"/>
      <c r="P51" s="37" t="s">
        <v>372</v>
      </c>
      <c r="Q51" s="37"/>
      <c r="R51" s="386">
        <v>1</v>
      </c>
      <c r="S51" s="2"/>
      <c r="V51" s="38">
        <v>51</v>
      </c>
    </row>
    <row r="52" spans="1:22">
      <c r="A52" s="182">
        <v>12</v>
      </c>
      <c r="B52" s="179" t="s">
        <v>226</v>
      </c>
      <c r="C52" s="394" t="s">
        <v>370</v>
      </c>
      <c r="D52" s="40"/>
      <c r="E52" s="387" t="s">
        <v>363</v>
      </c>
      <c r="F52" s="40"/>
      <c r="G52" s="40"/>
      <c r="H52" s="40"/>
      <c r="I52" s="40"/>
      <c r="J52" s="40"/>
      <c r="K52" s="40"/>
      <c r="L52" s="40" t="s">
        <v>369</v>
      </c>
      <c r="M52" s="40"/>
      <c r="N52" s="40" t="s">
        <v>308</v>
      </c>
      <c r="O52" s="39"/>
      <c r="P52" s="40" t="s">
        <v>372</v>
      </c>
      <c r="Q52" s="40"/>
      <c r="R52" s="384">
        <v>1</v>
      </c>
      <c r="S52" s="2"/>
      <c r="V52" s="38">
        <v>52</v>
      </c>
    </row>
    <row r="53" spans="1:22">
      <c r="A53" s="182">
        <v>12</v>
      </c>
      <c r="B53" s="179" t="s">
        <v>227</v>
      </c>
      <c r="C53" s="395" t="s">
        <v>370</v>
      </c>
      <c r="D53" s="37"/>
      <c r="E53" s="385" t="s">
        <v>363</v>
      </c>
      <c r="F53" s="37"/>
      <c r="G53" s="37"/>
      <c r="H53" s="37"/>
      <c r="I53" s="37"/>
      <c r="J53" s="37"/>
      <c r="K53" s="37"/>
      <c r="L53" s="37" t="s">
        <v>369</v>
      </c>
      <c r="M53" s="37"/>
      <c r="N53" s="37" t="s">
        <v>308</v>
      </c>
      <c r="O53" s="41"/>
      <c r="P53" s="37" t="s">
        <v>372</v>
      </c>
      <c r="Q53" s="37"/>
      <c r="R53" s="386">
        <v>1</v>
      </c>
      <c r="S53" s="2"/>
      <c r="V53" s="38">
        <v>53</v>
      </c>
    </row>
    <row r="54" spans="1:22">
      <c r="A54" s="182">
        <v>12</v>
      </c>
      <c r="B54" s="179" t="s">
        <v>229</v>
      </c>
      <c r="C54" s="394" t="s">
        <v>370</v>
      </c>
      <c r="D54" s="40"/>
      <c r="E54" s="387" t="s">
        <v>363</v>
      </c>
      <c r="F54" s="40"/>
      <c r="G54" s="40"/>
      <c r="H54" s="233"/>
      <c r="I54" s="233"/>
      <c r="J54" s="233"/>
      <c r="K54" s="233"/>
      <c r="L54" s="40" t="s">
        <v>369</v>
      </c>
      <c r="M54" s="40"/>
      <c r="N54" s="233" t="s">
        <v>308</v>
      </c>
      <c r="O54" s="39"/>
      <c r="P54" s="40" t="s">
        <v>372</v>
      </c>
      <c r="Q54" s="40"/>
      <c r="R54" s="384">
        <v>1</v>
      </c>
      <c r="S54" s="2"/>
      <c r="V54" s="38">
        <v>54</v>
      </c>
    </row>
    <row r="55" spans="1:22">
      <c r="A55" s="181">
        <v>13</v>
      </c>
      <c r="B55" s="178">
        <v>1</v>
      </c>
      <c r="C55" s="216" t="s">
        <v>361</v>
      </c>
      <c r="D55" s="216" t="s">
        <v>362</v>
      </c>
      <c r="E55" s="391" t="s">
        <v>363</v>
      </c>
      <c r="F55" s="217">
        <v>25</v>
      </c>
      <c r="G55" s="216"/>
      <c r="H55" s="217" t="s">
        <v>367</v>
      </c>
      <c r="I55" s="217">
        <v>25</v>
      </c>
      <c r="J55" s="217">
        <v>1.5</v>
      </c>
      <c r="K55" s="217" t="s">
        <v>364</v>
      </c>
      <c r="L55" s="216" t="s">
        <v>365</v>
      </c>
      <c r="M55" s="217">
        <v>180</v>
      </c>
      <c r="N55" s="217" t="s">
        <v>308</v>
      </c>
      <c r="O55" s="216" t="s">
        <v>366</v>
      </c>
      <c r="P55" s="217"/>
      <c r="Q55" s="217">
        <v>0.5</v>
      </c>
      <c r="R55" s="392"/>
      <c r="V55" s="38">
        <v>55</v>
      </c>
    </row>
    <row r="56" spans="1:22">
      <c r="A56" s="182">
        <v>13</v>
      </c>
      <c r="B56" s="179">
        <v>2</v>
      </c>
      <c r="C56" s="39" t="s">
        <v>361</v>
      </c>
      <c r="D56" s="39" t="s">
        <v>362</v>
      </c>
      <c r="E56" s="387" t="s">
        <v>363</v>
      </c>
      <c r="F56" s="40">
        <v>25</v>
      </c>
      <c r="G56" s="39"/>
      <c r="H56" s="40" t="s">
        <v>367</v>
      </c>
      <c r="I56" s="40">
        <v>25</v>
      </c>
      <c r="J56" s="40">
        <v>1.5</v>
      </c>
      <c r="K56" s="40" t="s">
        <v>364</v>
      </c>
      <c r="L56" s="39" t="s">
        <v>365</v>
      </c>
      <c r="M56" s="40">
        <v>180</v>
      </c>
      <c r="N56" s="40" t="s">
        <v>308</v>
      </c>
      <c r="O56" s="39" t="s">
        <v>366</v>
      </c>
      <c r="P56" s="40"/>
      <c r="Q56" s="40">
        <v>0.5</v>
      </c>
      <c r="R56" s="384"/>
      <c r="V56" s="38">
        <v>56</v>
      </c>
    </row>
    <row r="57" spans="1:22">
      <c r="A57" s="182">
        <v>13</v>
      </c>
      <c r="B57" s="179">
        <v>3</v>
      </c>
      <c r="C57" s="41" t="s">
        <v>361</v>
      </c>
      <c r="D57" s="41" t="s">
        <v>362</v>
      </c>
      <c r="E57" s="385" t="s">
        <v>363</v>
      </c>
      <c r="F57" s="37">
        <v>25</v>
      </c>
      <c r="G57" s="41"/>
      <c r="H57" s="37" t="s">
        <v>367</v>
      </c>
      <c r="I57" s="37">
        <v>25</v>
      </c>
      <c r="J57" s="37">
        <v>1.5</v>
      </c>
      <c r="K57" s="37" t="s">
        <v>364</v>
      </c>
      <c r="L57" s="41" t="s">
        <v>365</v>
      </c>
      <c r="M57" s="37">
        <v>180</v>
      </c>
      <c r="N57" s="37" t="s">
        <v>308</v>
      </c>
      <c r="O57" s="41" t="s">
        <v>366</v>
      </c>
      <c r="P57" s="37"/>
      <c r="Q57" s="37">
        <v>0.5</v>
      </c>
      <c r="R57" s="386"/>
      <c r="V57" s="38">
        <v>57</v>
      </c>
    </row>
    <row r="58" spans="1:22">
      <c r="A58" s="182">
        <v>13</v>
      </c>
      <c r="B58" s="179">
        <v>4</v>
      </c>
      <c r="C58" s="39" t="s">
        <v>361</v>
      </c>
      <c r="D58" s="39" t="s">
        <v>362</v>
      </c>
      <c r="E58" s="387" t="s">
        <v>363</v>
      </c>
      <c r="F58" s="40">
        <v>25</v>
      </c>
      <c r="G58" s="39"/>
      <c r="H58" s="40" t="s">
        <v>367</v>
      </c>
      <c r="I58" s="40">
        <v>25</v>
      </c>
      <c r="J58" s="40">
        <v>1.5</v>
      </c>
      <c r="K58" s="40" t="s">
        <v>364</v>
      </c>
      <c r="L58" s="39" t="s">
        <v>365</v>
      </c>
      <c r="M58" s="40">
        <v>180</v>
      </c>
      <c r="N58" s="40" t="s">
        <v>308</v>
      </c>
      <c r="O58" s="39" t="s">
        <v>366</v>
      </c>
      <c r="P58" s="40"/>
      <c r="Q58" s="40">
        <v>0.5</v>
      </c>
      <c r="R58" s="384"/>
      <c r="V58" s="38">
        <v>58</v>
      </c>
    </row>
    <row r="59" spans="1:22">
      <c r="A59" s="182">
        <v>13</v>
      </c>
      <c r="B59" s="179">
        <v>5</v>
      </c>
      <c r="C59" s="41" t="s">
        <v>361</v>
      </c>
      <c r="D59" s="41" t="s">
        <v>362</v>
      </c>
      <c r="E59" s="385" t="s">
        <v>363</v>
      </c>
      <c r="F59" s="37">
        <v>25</v>
      </c>
      <c r="G59" s="41"/>
      <c r="H59" s="37" t="s">
        <v>367</v>
      </c>
      <c r="I59" s="37">
        <v>25</v>
      </c>
      <c r="J59" s="37">
        <v>1.5</v>
      </c>
      <c r="K59" s="37" t="s">
        <v>364</v>
      </c>
      <c r="L59" s="41" t="s">
        <v>365</v>
      </c>
      <c r="M59" s="37">
        <v>180</v>
      </c>
      <c r="N59" s="37" t="s">
        <v>308</v>
      </c>
      <c r="O59" s="41" t="s">
        <v>366</v>
      </c>
      <c r="P59" s="37"/>
      <c r="Q59" s="37">
        <v>0.5</v>
      </c>
      <c r="R59" s="386"/>
      <c r="V59" s="38">
        <v>59</v>
      </c>
    </row>
    <row r="60" spans="1:22">
      <c r="A60" s="182">
        <v>13</v>
      </c>
      <c r="B60" s="179">
        <v>6</v>
      </c>
      <c r="C60" s="39" t="s">
        <v>361</v>
      </c>
      <c r="D60" s="39" t="s">
        <v>362</v>
      </c>
      <c r="E60" s="387" t="s">
        <v>363</v>
      </c>
      <c r="F60" s="40">
        <v>25</v>
      </c>
      <c r="G60" s="39"/>
      <c r="H60" s="40" t="s">
        <v>367</v>
      </c>
      <c r="I60" s="40">
        <v>25</v>
      </c>
      <c r="J60" s="40">
        <v>1.5</v>
      </c>
      <c r="K60" s="40" t="s">
        <v>364</v>
      </c>
      <c r="L60" s="39" t="s">
        <v>365</v>
      </c>
      <c r="M60" s="40">
        <v>180</v>
      </c>
      <c r="N60" s="40" t="s">
        <v>308</v>
      </c>
      <c r="O60" s="39" t="s">
        <v>366</v>
      </c>
      <c r="P60" s="40"/>
      <c r="Q60" s="40">
        <v>0.5</v>
      </c>
      <c r="R60" s="384"/>
      <c r="V60" s="38">
        <v>60</v>
      </c>
    </row>
    <row r="61" spans="1:22">
      <c r="A61" s="182">
        <v>13</v>
      </c>
      <c r="B61" s="179">
        <v>7</v>
      </c>
      <c r="C61" s="41" t="s">
        <v>361</v>
      </c>
      <c r="D61" s="41" t="s">
        <v>362</v>
      </c>
      <c r="E61" s="385" t="s">
        <v>363</v>
      </c>
      <c r="F61" s="37">
        <v>25</v>
      </c>
      <c r="G61" s="41"/>
      <c r="H61" s="37" t="s">
        <v>367</v>
      </c>
      <c r="I61" s="37">
        <v>25</v>
      </c>
      <c r="J61" s="37">
        <v>1.5</v>
      </c>
      <c r="K61" s="37" t="s">
        <v>364</v>
      </c>
      <c r="L61" s="41" t="s">
        <v>365</v>
      </c>
      <c r="M61" s="37">
        <v>180</v>
      </c>
      <c r="N61" s="37" t="s">
        <v>308</v>
      </c>
      <c r="O61" s="41" t="s">
        <v>366</v>
      </c>
      <c r="P61" s="37"/>
      <c r="Q61" s="37">
        <v>0.5</v>
      </c>
      <c r="R61" s="386"/>
      <c r="V61" s="38">
        <v>61</v>
      </c>
    </row>
    <row r="62" spans="1:22">
      <c r="A62" s="182">
        <v>13</v>
      </c>
      <c r="B62" s="179">
        <v>8</v>
      </c>
      <c r="C62" s="39" t="s">
        <v>361</v>
      </c>
      <c r="D62" s="39" t="s">
        <v>362</v>
      </c>
      <c r="E62" s="387" t="s">
        <v>363</v>
      </c>
      <c r="F62" s="40">
        <v>25</v>
      </c>
      <c r="G62" s="39"/>
      <c r="H62" s="40" t="s">
        <v>367</v>
      </c>
      <c r="I62" s="40">
        <v>25</v>
      </c>
      <c r="J62" s="40">
        <v>1.5</v>
      </c>
      <c r="K62" s="40" t="s">
        <v>364</v>
      </c>
      <c r="L62" s="39" t="s">
        <v>365</v>
      </c>
      <c r="M62" s="40">
        <v>180</v>
      </c>
      <c r="N62" s="40" t="s">
        <v>308</v>
      </c>
      <c r="O62" s="39" t="s">
        <v>366</v>
      </c>
      <c r="P62" s="40"/>
      <c r="Q62" s="40">
        <v>0.5</v>
      </c>
      <c r="R62" s="384"/>
      <c r="V62" s="38">
        <v>62</v>
      </c>
    </row>
    <row r="63" spans="1:22">
      <c r="A63" s="177">
        <v>14</v>
      </c>
      <c r="B63" s="178">
        <v>1</v>
      </c>
      <c r="C63" s="216" t="s">
        <v>361</v>
      </c>
      <c r="D63" s="216" t="s">
        <v>362</v>
      </c>
      <c r="E63" s="391" t="s">
        <v>363</v>
      </c>
      <c r="F63" s="217">
        <v>25</v>
      </c>
      <c r="G63" s="216">
        <v>0.5</v>
      </c>
      <c r="H63" s="216"/>
      <c r="I63" s="216"/>
      <c r="J63" s="216"/>
      <c r="K63" s="217" t="s">
        <v>364</v>
      </c>
      <c r="L63" s="216" t="s">
        <v>365</v>
      </c>
      <c r="M63" s="217">
        <v>175</v>
      </c>
      <c r="N63" s="217" t="s">
        <v>308</v>
      </c>
      <c r="O63" s="216"/>
      <c r="P63" s="217" t="s">
        <v>368</v>
      </c>
      <c r="Q63" s="217">
        <v>0.6</v>
      </c>
      <c r="R63" s="392"/>
      <c r="S63" s="2"/>
      <c r="V63" s="38">
        <v>63</v>
      </c>
    </row>
    <row r="64" spans="1:22">
      <c r="A64" s="174">
        <v>14</v>
      </c>
      <c r="B64" s="179">
        <v>2</v>
      </c>
      <c r="C64" s="39" t="s">
        <v>361</v>
      </c>
      <c r="D64" s="39" t="s">
        <v>362</v>
      </c>
      <c r="E64" s="387" t="s">
        <v>363</v>
      </c>
      <c r="F64" s="40">
        <v>25</v>
      </c>
      <c r="G64" s="39">
        <v>0.5</v>
      </c>
      <c r="H64" s="39"/>
      <c r="I64" s="39"/>
      <c r="J64" s="39"/>
      <c r="K64" s="40" t="s">
        <v>364</v>
      </c>
      <c r="L64" s="39" t="s">
        <v>365</v>
      </c>
      <c r="M64" s="40">
        <v>175</v>
      </c>
      <c r="N64" s="40" t="s">
        <v>308</v>
      </c>
      <c r="O64" s="39"/>
      <c r="P64" s="40" t="s">
        <v>368</v>
      </c>
      <c r="Q64" s="40">
        <v>0.6</v>
      </c>
      <c r="R64" s="384"/>
      <c r="S64" s="2"/>
      <c r="V64" s="38">
        <v>64</v>
      </c>
    </row>
    <row r="65" spans="1:22">
      <c r="A65" s="174">
        <v>14</v>
      </c>
      <c r="B65" s="179">
        <v>3</v>
      </c>
      <c r="C65" s="41" t="s">
        <v>361</v>
      </c>
      <c r="D65" s="41" t="s">
        <v>362</v>
      </c>
      <c r="E65" s="385" t="s">
        <v>363</v>
      </c>
      <c r="F65" s="37">
        <v>25</v>
      </c>
      <c r="G65" s="41">
        <v>0.5</v>
      </c>
      <c r="H65" s="41"/>
      <c r="I65" s="41"/>
      <c r="J65" s="41"/>
      <c r="K65" s="37" t="s">
        <v>364</v>
      </c>
      <c r="L65" s="41" t="s">
        <v>365</v>
      </c>
      <c r="M65" s="37">
        <v>175</v>
      </c>
      <c r="N65" s="37" t="s">
        <v>308</v>
      </c>
      <c r="O65" s="41"/>
      <c r="P65" s="37" t="s">
        <v>368</v>
      </c>
      <c r="Q65" s="37">
        <v>0.6</v>
      </c>
      <c r="R65" s="386"/>
      <c r="S65" s="2"/>
      <c r="V65" s="38">
        <v>65</v>
      </c>
    </row>
    <row r="66" spans="1:22">
      <c r="A66" s="174">
        <v>14</v>
      </c>
      <c r="B66" s="179">
        <v>4</v>
      </c>
      <c r="C66" s="39" t="s">
        <v>361</v>
      </c>
      <c r="D66" s="39" t="s">
        <v>362</v>
      </c>
      <c r="E66" s="387" t="s">
        <v>363</v>
      </c>
      <c r="F66" s="40">
        <v>25</v>
      </c>
      <c r="G66" s="39">
        <v>0.5</v>
      </c>
      <c r="H66" s="39"/>
      <c r="I66" s="39"/>
      <c r="J66" s="39"/>
      <c r="K66" s="40" t="s">
        <v>364</v>
      </c>
      <c r="L66" s="39" t="s">
        <v>365</v>
      </c>
      <c r="M66" s="40">
        <v>175</v>
      </c>
      <c r="N66" s="40" t="s">
        <v>308</v>
      </c>
      <c r="O66" s="39"/>
      <c r="P66" s="40" t="s">
        <v>368</v>
      </c>
      <c r="Q66" s="40">
        <v>0.6</v>
      </c>
      <c r="R66" s="384"/>
      <c r="S66" s="2"/>
      <c r="V66" s="38">
        <v>66</v>
      </c>
    </row>
    <row r="67" spans="1:22">
      <c r="A67" s="174">
        <v>14</v>
      </c>
      <c r="B67" s="179">
        <v>5</v>
      </c>
      <c r="C67" s="41" t="s">
        <v>361</v>
      </c>
      <c r="D67" s="41" t="s">
        <v>362</v>
      </c>
      <c r="E67" s="385" t="s">
        <v>363</v>
      </c>
      <c r="F67" s="37">
        <v>25</v>
      </c>
      <c r="G67" s="41">
        <v>0.5</v>
      </c>
      <c r="H67" s="41"/>
      <c r="I67" s="41"/>
      <c r="J67" s="41"/>
      <c r="K67" s="37" t="s">
        <v>364</v>
      </c>
      <c r="L67" s="41" t="s">
        <v>365</v>
      </c>
      <c r="M67" s="37">
        <v>175</v>
      </c>
      <c r="N67" s="37" t="s">
        <v>308</v>
      </c>
      <c r="O67" s="41"/>
      <c r="P67" s="37" t="s">
        <v>368</v>
      </c>
      <c r="Q67" s="37">
        <v>0.6</v>
      </c>
      <c r="R67" s="386"/>
      <c r="S67" s="2"/>
      <c r="V67" s="38">
        <v>67</v>
      </c>
    </row>
    <row r="68" spans="1:22">
      <c r="A68" s="174">
        <v>14</v>
      </c>
      <c r="B68" s="179">
        <v>6</v>
      </c>
      <c r="C68" s="39" t="s">
        <v>361</v>
      </c>
      <c r="D68" s="39" t="s">
        <v>362</v>
      </c>
      <c r="E68" s="387" t="s">
        <v>363</v>
      </c>
      <c r="F68" s="40">
        <v>25</v>
      </c>
      <c r="G68" s="39">
        <v>0.5</v>
      </c>
      <c r="H68" s="39"/>
      <c r="I68" s="39"/>
      <c r="J68" s="39"/>
      <c r="K68" s="40" t="s">
        <v>364</v>
      </c>
      <c r="L68" s="39" t="s">
        <v>365</v>
      </c>
      <c r="M68" s="40">
        <v>175</v>
      </c>
      <c r="N68" s="40" t="s">
        <v>308</v>
      </c>
      <c r="O68" s="39"/>
      <c r="P68" s="40" t="s">
        <v>368</v>
      </c>
      <c r="Q68" s="40">
        <v>0.6</v>
      </c>
      <c r="R68" s="384"/>
      <c r="S68" s="2"/>
      <c r="V68" s="38">
        <v>68</v>
      </c>
    </row>
    <row r="69" spans="1:22">
      <c r="A69" s="174">
        <v>14</v>
      </c>
      <c r="B69" s="179">
        <v>7</v>
      </c>
      <c r="C69" s="41" t="s">
        <v>361</v>
      </c>
      <c r="D69" s="41" t="s">
        <v>362</v>
      </c>
      <c r="E69" s="385" t="s">
        <v>363</v>
      </c>
      <c r="F69" s="37">
        <v>25</v>
      </c>
      <c r="G69" s="41">
        <v>0.5</v>
      </c>
      <c r="H69" s="41"/>
      <c r="I69" s="41"/>
      <c r="J69" s="41"/>
      <c r="K69" s="37" t="s">
        <v>364</v>
      </c>
      <c r="L69" s="41" t="s">
        <v>365</v>
      </c>
      <c r="M69" s="37">
        <v>175</v>
      </c>
      <c r="N69" s="37" t="s">
        <v>308</v>
      </c>
      <c r="O69" s="41"/>
      <c r="P69" s="37" t="s">
        <v>368</v>
      </c>
      <c r="Q69" s="37">
        <v>0.6</v>
      </c>
      <c r="R69" s="386"/>
      <c r="S69" s="2"/>
      <c r="V69" s="38">
        <v>69</v>
      </c>
    </row>
    <row r="70" spans="1:22">
      <c r="A70" s="174">
        <v>14</v>
      </c>
      <c r="B70" s="179">
        <v>8</v>
      </c>
      <c r="C70" s="39" t="s">
        <v>361</v>
      </c>
      <c r="D70" s="39" t="s">
        <v>362</v>
      </c>
      <c r="E70" s="387" t="s">
        <v>363</v>
      </c>
      <c r="F70" s="40">
        <v>25</v>
      </c>
      <c r="G70" s="39">
        <v>0.5</v>
      </c>
      <c r="H70" s="39"/>
      <c r="I70" s="39"/>
      <c r="J70" s="39"/>
      <c r="K70" s="40" t="s">
        <v>364</v>
      </c>
      <c r="L70" s="39" t="s">
        <v>365</v>
      </c>
      <c r="M70" s="40">
        <v>175</v>
      </c>
      <c r="N70" s="40" t="s">
        <v>308</v>
      </c>
      <c r="O70" s="39"/>
      <c r="P70" s="40" t="s">
        <v>368</v>
      </c>
      <c r="Q70" s="40">
        <v>0.6</v>
      </c>
      <c r="R70" s="384"/>
      <c r="S70" s="2"/>
      <c r="V70" s="38">
        <v>70</v>
      </c>
    </row>
    <row r="71" spans="1:22">
      <c r="A71" s="174">
        <v>14</v>
      </c>
      <c r="B71" s="179">
        <v>9</v>
      </c>
      <c r="C71" s="41" t="s">
        <v>361</v>
      </c>
      <c r="D71" s="41" t="s">
        <v>362</v>
      </c>
      <c r="E71" s="385" t="s">
        <v>363</v>
      </c>
      <c r="F71" s="37">
        <v>25</v>
      </c>
      <c r="G71" s="41">
        <v>0.5</v>
      </c>
      <c r="H71" s="41"/>
      <c r="I71" s="41"/>
      <c r="J71" s="41"/>
      <c r="K71" s="37" t="s">
        <v>364</v>
      </c>
      <c r="L71" s="41" t="s">
        <v>365</v>
      </c>
      <c r="M71" s="37">
        <v>175</v>
      </c>
      <c r="N71" s="37" t="s">
        <v>308</v>
      </c>
      <c r="O71" s="41"/>
      <c r="P71" s="37" t="s">
        <v>368</v>
      </c>
      <c r="Q71" s="37">
        <v>0.6</v>
      </c>
      <c r="R71" s="386"/>
      <c r="S71" s="2"/>
      <c r="V71" s="38">
        <v>71</v>
      </c>
    </row>
    <row r="72" spans="1:22">
      <c r="A72" s="174">
        <v>14</v>
      </c>
      <c r="B72" s="179">
        <v>10</v>
      </c>
      <c r="C72" s="283" t="s">
        <v>361</v>
      </c>
      <c r="D72" s="283" t="s">
        <v>362</v>
      </c>
      <c r="E72" s="390" t="s">
        <v>363</v>
      </c>
      <c r="F72" s="233">
        <v>25</v>
      </c>
      <c r="G72" s="283">
        <v>0.5</v>
      </c>
      <c r="H72" s="283"/>
      <c r="I72" s="283"/>
      <c r="J72" s="283"/>
      <c r="K72" s="233" t="s">
        <v>364</v>
      </c>
      <c r="L72" s="283" t="s">
        <v>365</v>
      </c>
      <c r="M72" s="233">
        <v>175</v>
      </c>
      <c r="N72" s="233" t="s">
        <v>308</v>
      </c>
      <c r="O72" s="283"/>
      <c r="P72" s="233" t="s">
        <v>368</v>
      </c>
      <c r="Q72" s="233">
        <v>0.6</v>
      </c>
      <c r="R72" s="384"/>
      <c r="S72" s="2"/>
      <c r="V72" s="38">
        <v>72</v>
      </c>
    </row>
    <row r="73" spans="1:22">
      <c r="A73" s="181">
        <v>15</v>
      </c>
      <c r="B73" s="178">
        <v>1</v>
      </c>
      <c r="C73" s="216" t="s">
        <v>361</v>
      </c>
      <c r="D73" s="216" t="s">
        <v>362</v>
      </c>
      <c r="E73" s="391" t="s">
        <v>363</v>
      </c>
      <c r="F73" s="217">
        <v>25</v>
      </c>
      <c r="G73" s="216">
        <v>0.5</v>
      </c>
      <c r="H73" s="216"/>
      <c r="I73" s="216"/>
      <c r="J73" s="216"/>
      <c r="K73" s="217" t="s">
        <v>364</v>
      </c>
      <c r="L73" s="216" t="s">
        <v>365</v>
      </c>
      <c r="M73" s="217">
        <v>175</v>
      </c>
      <c r="N73" s="217" t="s">
        <v>308</v>
      </c>
      <c r="O73" s="216" t="s">
        <v>366</v>
      </c>
      <c r="P73" s="217"/>
      <c r="Q73" s="217">
        <v>0.6</v>
      </c>
      <c r="R73" s="392"/>
      <c r="S73" s="2"/>
      <c r="V73" s="38">
        <v>73</v>
      </c>
    </row>
    <row r="74" spans="1:22">
      <c r="A74" s="182">
        <v>15</v>
      </c>
      <c r="B74" s="179">
        <v>2</v>
      </c>
      <c r="C74" s="39" t="s">
        <v>361</v>
      </c>
      <c r="D74" s="39" t="s">
        <v>362</v>
      </c>
      <c r="E74" s="387" t="s">
        <v>363</v>
      </c>
      <c r="F74" s="40">
        <v>25</v>
      </c>
      <c r="G74" s="39">
        <v>0.5</v>
      </c>
      <c r="H74" s="39"/>
      <c r="I74" s="39"/>
      <c r="J74" s="39"/>
      <c r="K74" s="40" t="s">
        <v>364</v>
      </c>
      <c r="L74" s="39" t="s">
        <v>365</v>
      </c>
      <c r="M74" s="40">
        <v>175</v>
      </c>
      <c r="N74" s="40" t="s">
        <v>308</v>
      </c>
      <c r="O74" s="39" t="s">
        <v>366</v>
      </c>
      <c r="P74" s="40"/>
      <c r="Q74" s="40">
        <v>0.6</v>
      </c>
      <c r="R74" s="384"/>
      <c r="S74" s="2"/>
      <c r="V74" s="38">
        <v>74</v>
      </c>
    </row>
    <row r="75" spans="1:22">
      <c r="A75" s="182">
        <v>15</v>
      </c>
      <c r="B75" s="179">
        <v>3</v>
      </c>
      <c r="C75" s="41" t="s">
        <v>361</v>
      </c>
      <c r="D75" s="41" t="s">
        <v>362</v>
      </c>
      <c r="E75" s="385" t="s">
        <v>363</v>
      </c>
      <c r="F75" s="37">
        <v>25</v>
      </c>
      <c r="G75" s="41">
        <v>0.5</v>
      </c>
      <c r="H75" s="41"/>
      <c r="I75" s="41"/>
      <c r="J75" s="41"/>
      <c r="K75" s="37" t="s">
        <v>364</v>
      </c>
      <c r="L75" s="41" t="s">
        <v>365</v>
      </c>
      <c r="M75" s="37">
        <v>175</v>
      </c>
      <c r="N75" s="37" t="s">
        <v>308</v>
      </c>
      <c r="O75" s="41" t="s">
        <v>366</v>
      </c>
      <c r="P75" s="37"/>
      <c r="Q75" s="37">
        <v>0.6</v>
      </c>
      <c r="R75" s="386"/>
      <c r="S75" s="2"/>
      <c r="V75" s="38">
        <v>75</v>
      </c>
    </row>
    <row r="76" spans="1:22">
      <c r="A76" s="182">
        <v>15</v>
      </c>
      <c r="B76" s="179">
        <v>4</v>
      </c>
      <c r="C76" s="39" t="s">
        <v>361</v>
      </c>
      <c r="D76" s="39" t="s">
        <v>362</v>
      </c>
      <c r="E76" s="387" t="s">
        <v>363</v>
      </c>
      <c r="F76" s="40">
        <v>25</v>
      </c>
      <c r="G76" s="39">
        <v>0.5</v>
      </c>
      <c r="H76" s="39"/>
      <c r="I76" s="39"/>
      <c r="J76" s="39"/>
      <c r="K76" s="40" t="s">
        <v>364</v>
      </c>
      <c r="L76" s="39" t="s">
        <v>365</v>
      </c>
      <c r="M76" s="40">
        <v>175</v>
      </c>
      <c r="N76" s="40" t="s">
        <v>308</v>
      </c>
      <c r="O76" s="39" t="s">
        <v>366</v>
      </c>
      <c r="P76" s="40"/>
      <c r="Q76" s="40">
        <v>0.6</v>
      </c>
      <c r="R76" s="384"/>
      <c r="S76" s="2"/>
      <c r="V76" s="38">
        <v>76</v>
      </c>
    </row>
    <row r="77" spans="1:22">
      <c r="A77" s="182">
        <v>15</v>
      </c>
      <c r="B77" s="179">
        <v>5</v>
      </c>
      <c r="C77" s="41" t="s">
        <v>361</v>
      </c>
      <c r="D77" s="41" t="s">
        <v>362</v>
      </c>
      <c r="E77" s="385" t="s">
        <v>363</v>
      </c>
      <c r="F77" s="37">
        <v>25</v>
      </c>
      <c r="G77" s="41">
        <v>0.5</v>
      </c>
      <c r="H77" s="41"/>
      <c r="I77" s="41"/>
      <c r="J77" s="41"/>
      <c r="K77" s="37" t="s">
        <v>364</v>
      </c>
      <c r="L77" s="41" t="s">
        <v>365</v>
      </c>
      <c r="M77" s="37">
        <v>175</v>
      </c>
      <c r="N77" s="37" t="s">
        <v>308</v>
      </c>
      <c r="O77" s="41" t="s">
        <v>366</v>
      </c>
      <c r="P77" s="37"/>
      <c r="Q77" s="37">
        <v>0.6</v>
      </c>
      <c r="R77" s="386"/>
      <c r="S77" s="2"/>
      <c r="V77" s="38">
        <v>77</v>
      </c>
    </row>
    <row r="78" spans="1:22">
      <c r="A78" s="182">
        <v>15</v>
      </c>
      <c r="B78" s="179">
        <v>6</v>
      </c>
      <c r="C78" s="283" t="s">
        <v>361</v>
      </c>
      <c r="D78" s="283" t="s">
        <v>362</v>
      </c>
      <c r="E78" s="390" t="s">
        <v>363</v>
      </c>
      <c r="F78" s="233">
        <v>25</v>
      </c>
      <c r="G78" s="283">
        <v>0.5</v>
      </c>
      <c r="H78" s="283"/>
      <c r="I78" s="283"/>
      <c r="J78" s="283"/>
      <c r="K78" s="233" t="s">
        <v>364</v>
      </c>
      <c r="L78" s="283" t="s">
        <v>365</v>
      </c>
      <c r="M78" s="233">
        <v>175</v>
      </c>
      <c r="N78" s="233" t="s">
        <v>308</v>
      </c>
      <c r="O78" s="283" t="s">
        <v>366</v>
      </c>
      <c r="P78" s="233"/>
      <c r="Q78" s="233">
        <v>0.6</v>
      </c>
      <c r="R78" s="384"/>
      <c r="S78" s="2"/>
      <c r="V78" s="38">
        <v>78</v>
      </c>
    </row>
    <row r="79" spans="1:22">
      <c r="A79" s="181">
        <v>16</v>
      </c>
      <c r="B79" s="178">
        <v>1</v>
      </c>
      <c r="C79" s="393" t="s">
        <v>370</v>
      </c>
      <c r="D79" s="217"/>
      <c r="E79" s="217"/>
      <c r="F79" s="217"/>
      <c r="G79" s="217"/>
      <c r="H79" s="217"/>
      <c r="I79" s="217"/>
      <c r="J79" s="217"/>
      <c r="K79" s="217"/>
      <c r="L79" s="217" t="s">
        <v>369</v>
      </c>
      <c r="M79" s="217"/>
      <c r="N79" s="217" t="s">
        <v>308</v>
      </c>
      <c r="O79" s="216"/>
      <c r="P79" s="217" t="s">
        <v>374</v>
      </c>
      <c r="Q79" s="217"/>
      <c r="R79" s="392">
        <v>1</v>
      </c>
      <c r="S79" s="2"/>
      <c r="V79" s="38">
        <v>79</v>
      </c>
    </row>
    <row r="80" spans="1:22">
      <c r="A80" s="182">
        <v>16</v>
      </c>
      <c r="B80" s="179">
        <v>2</v>
      </c>
      <c r="C80" s="394" t="s">
        <v>370</v>
      </c>
      <c r="D80" s="40"/>
      <c r="E80" s="40"/>
      <c r="F80" s="40"/>
      <c r="G80" s="40"/>
      <c r="H80" s="40"/>
      <c r="I80" s="40"/>
      <c r="J80" s="40"/>
      <c r="K80" s="40"/>
      <c r="L80" s="40" t="s">
        <v>369</v>
      </c>
      <c r="M80" s="40"/>
      <c r="N80" s="40" t="s">
        <v>308</v>
      </c>
      <c r="O80" s="39"/>
      <c r="P80" s="40" t="s">
        <v>374</v>
      </c>
      <c r="Q80" s="40"/>
      <c r="R80" s="384">
        <v>1</v>
      </c>
      <c r="S80" s="2"/>
      <c r="V80" s="38">
        <v>80</v>
      </c>
    </row>
    <row r="81" spans="1:22">
      <c r="A81" s="182">
        <v>16</v>
      </c>
      <c r="B81" s="179">
        <v>3</v>
      </c>
      <c r="C81" s="395" t="s">
        <v>370</v>
      </c>
      <c r="D81" s="37"/>
      <c r="E81" s="37"/>
      <c r="F81" s="37"/>
      <c r="G81" s="37"/>
      <c r="H81" s="37"/>
      <c r="I81" s="37"/>
      <c r="J81" s="37"/>
      <c r="K81" s="37"/>
      <c r="L81" s="37" t="s">
        <v>369</v>
      </c>
      <c r="M81" s="37"/>
      <c r="N81" s="37" t="s">
        <v>308</v>
      </c>
      <c r="O81" s="41"/>
      <c r="P81" s="37" t="s">
        <v>374</v>
      </c>
      <c r="Q81" s="37"/>
      <c r="R81" s="386">
        <v>1</v>
      </c>
      <c r="S81" s="2"/>
      <c r="V81" s="38">
        <v>81</v>
      </c>
    </row>
    <row r="82" spans="1:22" ht="15" customHeight="1">
      <c r="A82" s="201">
        <v>17</v>
      </c>
      <c r="B82" s="58">
        <v>1</v>
      </c>
      <c r="C82" s="221" t="s">
        <v>361</v>
      </c>
      <c r="D82" s="221" t="s">
        <v>362</v>
      </c>
      <c r="E82" s="383" t="s">
        <v>363</v>
      </c>
      <c r="F82" s="221"/>
      <c r="G82" s="221"/>
      <c r="H82" s="222" t="s">
        <v>367</v>
      </c>
      <c r="I82" s="222">
        <v>5</v>
      </c>
      <c r="J82" s="222">
        <v>2</v>
      </c>
      <c r="K82" s="222" t="s">
        <v>364</v>
      </c>
      <c r="L82" s="221" t="s">
        <v>365</v>
      </c>
      <c r="M82" s="221">
        <v>180</v>
      </c>
      <c r="N82" s="221" t="s">
        <v>308</v>
      </c>
      <c r="O82" s="221"/>
      <c r="P82" s="221" t="s">
        <v>375</v>
      </c>
      <c r="Q82" s="221"/>
      <c r="R82" s="115"/>
      <c r="S82" s="2"/>
      <c r="V82" s="38">
        <v>82</v>
      </c>
    </row>
    <row r="83" spans="1:22" ht="15" customHeight="1">
      <c r="A83" s="200">
        <v>17</v>
      </c>
      <c r="B83" s="59">
        <v>2</v>
      </c>
      <c r="C83" s="41" t="s">
        <v>361</v>
      </c>
      <c r="D83" s="41" t="s">
        <v>362</v>
      </c>
      <c r="E83" s="385" t="s">
        <v>363</v>
      </c>
      <c r="F83" s="41"/>
      <c r="G83" s="41"/>
      <c r="H83" s="37" t="s">
        <v>367</v>
      </c>
      <c r="I83" s="37">
        <v>5</v>
      </c>
      <c r="J83" s="37">
        <v>2</v>
      </c>
      <c r="K83" s="37" t="s">
        <v>364</v>
      </c>
      <c r="L83" s="41" t="s">
        <v>365</v>
      </c>
      <c r="M83" s="41">
        <v>180</v>
      </c>
      <c r="N83" s="41" t="s">
        <v>308</v>
      </c>
      <c r="O83" s="41"/>
      <c r="P83" s="41" t="s">
        <v>375</v>
      </c>
      <c r="Q83" s="41"/>
      <c r="R83" s="116"/>
      <c r="S83" s="2"/>
      <c r="V83" s="38">
        <v>83</v>
      </c>
    </row>
    <row r="84" spans="1:22" ht="15" customHeight="1">
      <c r="A84" s="200">
        <v>17</v>
      </c>
      <c r="B84" s="59">
        <v>3</v>
      </c>
      <c r="C84" s="39" t="s">
        <v>361</v>
      </c>
      <c r="D84" s="39" t="s">
        <v>362</v>
      </c>
      <c r="E84" s="387" t="s">
        <v>363</v>
      </c>
      <c r="F84" s="39"/>
      <c r="G84" s="39"/>
      <c r="H84" s="40" t="s">
        <v>367</v>
      </c>
      <c r="I84" s="40">
        <v>5</v>
      </c>
      <c r="J84" s="40">
        <v>2</v>
      </c>
      <c r="K84" s="40" t="s">
        <v>364</v>
      </c>
      <c r="L84" s="39" t="s">
        <v>365</v>
      </c>
      <c r="M84" s="39">
        <v>180</v>
      </c>
      <c r="N84" s="39" t="s">
        <v>308</v>
      </c>
      <c r="O84" s="39"/>
      <c r="P84" s="39" t="s">
        <v>375</v>
      </c>
      <c r="Q84" s="39"/>
      <c r="R84" s="117"/>
      <c r="S84" s="2"/>
      <c r="V84" s="38">
        <v>84</v>
      </c>
    </row>
    <row r="85" spans="1:22" ht="15" customHeight="1">
      <c r="A85" s="200">
        <v>17</v>
      </c>
      <c r="B85" s="59">
        <v>4</v>
      </c>
      <c r="C85" s="41" t="s">
        <v>361</v>
      </c>
      <c r="D85" s="41" t="s">
        <v>362</v>
      </c>
      <c r="E85" s="385" t="s">
        <v>363</v>
      </c>
      <c r="F85" s="41"/>
      <c r="G85" s="41"/>
      <c r="H85" s="37" t="s">
        <v>367</v>
      </c>
      <c r="I85" s="37">
        <v>5</v>
      </c>
      <c r="J85" s="37">
        <v>2</v>
      </c>
      <c r="K85" s="37" t="s">
        <v>364</v>
      </c>
      <c r="L85" s="41" t="s">
        <v>365</v>
      </c>
      <c r="M85" s="41">
        <v>180</v>
      </c>
      <c r="N85" s="41" t="s">
        <v>308</v>
      </c>
      <c r="O85" s="41"/>
      <c r="P85" s="41" t="s">
        <v>375</v>
      </c>
      <c r="Q85" s="41"/>
      <c r="R85" s="116"/>
      <c r="S85" s="2"/>
      <c r="V85" s="38">
        <v>85</v>
      </c>
    </row>
    <row r="86" spans="1:22" ht="15" customHeight="1">
      <c r="A86" s="201">
        <v>18</v>
      </c>
      <c r="B86" s="58">
        <v>1</v>
      </c>
      <c r="C86" s="349" t="s">
        <v>361</v>
      </c>
      <c r="D86" s="221"/>
      <c r="E86" s="221"/>
      <c r="F86" s="221"/>
      <c r="G86" s="221"/>
      <c r="H86" s="221"/>
      <c r="I86" s="221"/>
      <c r="J86" s="221"/>
      <c r="K86" s="221"/>
      <c r="L86" s="221" t="s">
        <v>365</v>
      </c>
      <c r="M86" s="221">
        <v>175</v>
      </c>
      <c r="N86" s="221" t="s">
        <v>308</v>
      </c>
      <c r="O86" s="221"/>
      <c r="P86" s="221" t="s">
        <v>368</v>
      </c>
      <c r="Q86" s="221"/>
      <c r="R86" s="115"/>
      <c r="S86" s="2"/>
      <c r="V86" s="38">
        <v>86</v>
      </c>
    </row>
    <row r="87" spans="1:22" ht="15" customHeight="1">
      <c r="A87" s="200">
        <v>18</v>
      </c>
      <c r="B87" s="59">
        <v>2</v>
      </c>
      <c r="C87" s="297" t="s">
        <v>361</v>
      </c>
      <c r="D87" s="41"/>
      <c r="E87" s="239"/>
      <c r="F87" s="41"/>
      <c r="G87" s="41"/>
      <c r="H87" s="239"/>
      <c r="I87" s="41"/>
      <c r="J87" s="41"/>
      <c r="K87" s="41"/>
      <c r="L87" s="41" t="s">
        <v>365</v>
      </c>
      <c r="M87" s="41">
        <v>165</v>
      </c>
      <c r="N87" s="239" t="s">
        <v>308</v>
      </c>
      <c r="O87" s="41"/>
      <c r="P87" s="41" t="s">
        <v>368</v>
      </c>
      <c r="Q87" s="41"/>
      <c r="R87" s="116"/>
      <c r="S87" s="2"/>
      <c r="V87" s="38">
        <v>87</v>
      </c>
    </row>
    <row r="88" spans="1:22" ht="15" customHeight="1">
      <c r="A88" s="201">
        <v>19</v>
      </c>
      <c r="B88" s="58">
        <v>1</v>
      </c>
      <c r="C88" s="397" t="s">
        <v>370</v>
      </c>
      <c r="D88" s="221"/>
      <c r="E88" s="221"/>
      <c r="F88" s="221"/>
      <c r="G88" s="221"/>
      <c r="H88" s="221" t="s">
        <v>376</v>
      </c>
      <c r="I88" s="221"/>
      <c r="J88" s="221"/>
      <c r="K88" s="221"/>
      <c r="L88" s="221" t="s">
        <v>369</v>
      </c>
      <c r="M88" s="221"/>
      <c r="N88" s="222" t="s">
        <v>308</v>
      </c>
      <c r="O88" s="221"/>
      <c r="P88" s="222" t="s">
        <v>372</v>
      </c>
      <c r="Q88" s="221"/>
      <c r="R88" s="115">
        <v>1</v>
      </c>
      <c r="S88" s="2"/>
      <c r="V88" s="38">
        <v>88</v>
      </c>
    </row>
    <row r="89" spans="1:22" ht="15" customHeight="1">
      <c r="A89" s="200">
        <v>19</v>
      </c>
      <c r="B89" s="59">
        <v>2</v>
      </c>
      <c r="C89" s="395" t="s">
        <v>370</v>
      </c>
      <c r="D89" s="41"/>
      <c r="E89" s="41"/>
      <c r="F89" s="41"/>
      <c r="G89" s="41"/>
      <c r="H89" s="41" t="s">
        <v>376</v>
      </c>
      <c r="I89" s="41"/>
      <c r="J89" s="41"/>
      <c r="K89" s="41"/>
      <c r="L89" s="41" t="s">
        <v>369</v>
      </c>
      <c r="M89" s="41"/>
      <c r="N89" s="37" t="s">
        <v>308</v>
      </c>
      <c r="O89" s="41"/>
      <c r="P89" s="37" t="s">
        <v>372</v>
      </c>
      <c r="Q89" s="41"/>
      <c r="R89" s="116">
        <v>1</v>
      </c>
      <c r="S89" s="2"/>
      <c r="V89" s="38">
        <v>89</v>
      </c>
    </row>
    <row r="90" spans="1:22" ht="15" customHeight="1">
      <c r="A90" s="200">
        <v>19</v>
      </c>
      <c r="B90" s="59">
        <v>3</v>
      </c>
      <c r="C90" s="394" t="s">
        <v>370</v>
      </c>
      <c r="D90" s="39"/>
      <c r="E90" s="39"/>
      <c r="F90" s="39"/>
      <c r="G90" s="39"/>
      <c r="H90" s="39" t="s">
        <v>376</v>
      </c>
      <c r="I90" s="39"/>
      <c r="J90" s="39"/>
      <c r="K90" s="39"/>
      <c r="L90" s="39" t="s">
        <v>369</v>
      </c>
      <c r="M90" s="39"/>
      <c r="N90" s="40" t="s">
        <v>308</v>
      </c>
      <c r="O90" s="39"/>
      <c r="P90" s="40" t="s">
        <v>372</v>
      </c>
      <c r="Q90" s="39"/>
      <c r="R90" s="117">
        <v>1</v>
      </c>
      <c r="S90" s="2"/>
      <c r="V90" s="38">
        <v>90</v>
      </c>
    </row>
    <row r="91" spans="1:22" ht="15" customHeight="1">
      <c r="A91" s="200">
        <v>19</v>
      </c>
      <c r="B91" s="59">
        <v>4</v>
      </c>
      <c r="C91" s="395" t="s">
        <v>370</v>
      </c>
      <c r="D91" s="41"/>
      <c r="E91" s="41"/>
      <c r="F91" s="41"/>
      <c r="G91" s="41"/>
      <c r="H91" s="41" t="s">
        <v>376</v>
      </c>
      <c r="I91" s="41"/>
      <c r="J91" s="41"/>
      <c r="K91" s="41"/>
      <c r="L91" s="41" t="s">
        <v>369</v>
      </c>
      <c r="M91" s="41"/>
      <c r="N91" s="37" t="s">
        <v>308</v>
      </c>
      <c r="O91" s="41"/>
      <c r="P91" s="37" t="s">
        <v>372</v>
      </c>
      <c r="Q91" s="41"/>
      <c r="R91" s="116">
        <v>1</v>
      </c>
      <c r="S91" s="2"/>
      <c r="V91" s="38">
        <v>91</v>
      </c>
    </row>
    <row r="92" spans="1:22" ht="15" customHeight="1">
      <c r="A92" s="202">
        <v>19</v>
      </c>
      <c r="B92" s="203">
        <v>5</v>
      </c>
      <c r="C92" s="394" t="s">
        <v>370</v>
      </c>
      <c r="D92" s="284"/>
      <c r="E92" s="284"/>
      <c r="F92" s="284"/>
      <c r="G92" s="284"/>
      <c r="H92" s="284" t="s">
        <v>376</v>
      </c>
      <c r="I92" s="284"/>
      <c r="J92" s="284"/>
      <c r="K92" s="284"/>
      <c r="L92" s="284" t="s">
        <v>369</v>
      </c>
      <c r="M92" s="284"/>
      <c r="N92" s="235" t="s">
        <v>308</v>
      </c>
      <c r="O92" s="284"/>
      <c r="P92" s="235" t="s">
        <v>372</v>
      </c>
      <c r="Q92" s="284"/>
      <c r="R92" s="133">
        <v>1</v>
      </c>
      <c r="S92" s="2"/>
      <c r="V92" s="38">
        <v>92</v>
      </c>
    </row>
    <row r="93" spans="1:22" ht="15" customHeight="1">
      <c r="A93" s="200">
        <v>20</v>
      </c>
      <c r="B93" s="59" t="s">
        <v>220</v>
      </c>
      <c r="C93" s="194" t="s">
        <v>361</v>
      </c>
      <c r="D93" s="20" t="s">
        <v>362</v>
      </c>
      <c r="E93" s="1" t="s">
        <v>363</v>
      </c>
      <c r="F93" s="12">
        <v>25</v>
      </c>
      <c r="G93" s="12">
        <v>0.9</v>
      </c>
      <c r="H93" s="2"/>
      <c r="I93" s="12">
        <v>25</v>
      </c>
      <c r="J93" s="12">
        <v>1</v>
      </c>
      <c r="K93" s="12" t="s">
        <v>364</v>
      </c>
      <c r="L93" s="199" t="s">
        <v>365</v>
      </c>
      <c r="M93" s="2">
        <v>150</v>
      </c>
      <c r="N93" s="12" t="s">
        <v>308</v>
      </c>
      <c r="O93" s="199" t="s">
        <v>366</v>
      </c>
      <c r="P93" s="2"/>
      <c r="Q93" s="2"/>
      <c r="R93" s="208"/>
      <c r="S93" s="2"/>
      <c r="V93" s="38">
        <v>93</v>
      </c>
    </row>
    <row r="94" spans="1:22" ht="15" customHeight="1">
      <c r="A94" s="200">
        <v>20</v>
      </c>
      <c r="B94" s="59" t="s">
        <v>221</v>
      </c>
      <c r="C94" s="20" t="s">
        <v>361</v>
      </c>
      <c r="D94" s="20" t="s">
        <v>362</v>
      </c>
      <c r="E94" s="1" t="s">
        <v>363</v>
      </c>
      <c r="F94" s="12">
        <v>25</v>
      </c>
      <c r="G94" s="12">
        <v>0.9</v>
      </c>
      <c r="H94" s="2"/>
      <c r="I94" s="12">
        <v>25</v>
      </c>
      <c r="J94" s="12">
        <v>1</v>
      </c>
      <c r="K94" s="12" t="s">
        <v>364</v>
      </c>
      <c r="L94" s="12" t="s">
        <v>365</v>
      </c>
      <c r="M94" s="2">
        <v>150</v>
      </c>
      <c r="N94" s="12" t="s">
        <v>308</v>
      </c>
      <c r="O94" s="12" t="s">
        <v>366</v>
      </c>
      <c r="P94" s="2"/>
      <c r="Q94" s="2"/>
      <c r="R94" s="208"/>
      <c r="S94" s="239"/>
      <c r="V94" s="38">
        <v>94</v>
      </c>
    </row>
    <row r="95" spans="1:22" ht="15" customHeight="1">
      <c r="A95" s="200">
        <v>20</v>
      </c>
      <c r="B95" s="59" t="s">
        <v>222</v>
      </c>
      <c r="C95" s="20" t="s">
        <v>361</v>
      </c>
      <c r="D95" s="20" t="s">
        <v>362</v>
      </c>
      <c r="E95" s="1" t="s">
        <v>363</v>
      </c>
      <c r="F95" s="12">
        <v>25</v>
      </c>
      <c r="G95" s="12">
        <v>0.9</v>
      </c>
      <c r="H95" s="2"/>
      <c r="I95" s="12">
        <v>25</v>
      </c>
      <c r="J95" s="12">
        <v>1</v>
      </c>
      <c r="K95" s="12" t="s">
        <v>364</v>
      </c>
      <c r="L95" s="12" t="s">
        <v>365</v>
      </c>
      <c r="M95" s="2">
        <v>150</v>
      </c>
      <c r="N95" s="12" t="s">
        <v>308</v>
      </c>
      <c r="O95" s="12" t="s">
        <v>366</v>
      </c>
      <c r="P95" s="2"/>
      <c r="Q95" s="2"/>
      <c r="R95" s="208"/>
      <c r="S95" s="2"/>
      <c r="V95" s="38">
        <v>95</v>
      </c>
    </row>
    <row r="96" spans="1:22" ht="15" customHeight="1">
      <c r="A96" s="200">
        <v>20</v>
      </c>
      <c r="B96" s="59" t="s">
        <v>223</v>
      </c>
      <c r="C96" s="20" t="s">
        <v>361</v>
      </c>
      <c r="D96" s="20" t="s">
        <v>362</v>
      </c>
      <c r="E96" s="1" t="s">
        <v>363</v>
      </c>
      <c r="F96" s="12">
        <v>25</v>
      </c>
      <c r="G96" s="12">
        <v>0.9</v>
      </c>
      <c r="H96" s="2"/>
      <c r="I96" s="12">
        <v>25</v>
      </c>
      <c r="J96" s="12">
        <v>1</v>
      </c>
      <c r="K96" s="12" t="s">
        <v>364</v>
      </c>
      <c r="L96" s="12" t="s">
        <v>365</v>
      </c>
      <c r="M96" s="2">
        <v>150</v>
      </c>
      <c r="N96" s="12" t="s">
        <v>308</v>
      </c>
      <c r="O96" s="12" t="s">
        <v>366</v>
      </c>
      <c r="P96" s="2"/>
      <c r="Q96" s="2"/>
      <c r="R96" s="208"/>
      <c r="S96" s="2"/>
      <c r="V96" s="38">
        <v>96</v>
      </c>
    </row>
    <row r="97" spans="1:22" ht="15" customHeight="1">
      <c r="A97" s="200">
        <v>20</v>
      </c>
      <c r="B97" s="59" t="s">
        <v>224</v>
      </c>
      <c r="C97" s="20" t="s">
        <v>361</v>
      </c>
      <c r="D97" s="20" t="s">
        <v>362</v>
      </c>
      <c r="E97" s="1" t="s">
        <v>363</v>
      </c>
      <c r="F97" s="12">
        <v>25</v>
      </c>
      <c r="G97" s="12">
        <v>0.9</v>
      </c>
      <c r="H97" s="2"/>
      <c r="I97" s="12">
        <v>25</v>
      </c>
      <c r="J97" s="12">
        <v>1</v>
      </c>
      <c r="K97" s="12" t="s">
        <v>364</v>
      </c>
      <c r="L97" s="12" t="s">
        <v>365</v>
      </c>
      <c r="M97" s="2">
        <v>160</v>
      </c>
      <c r="N97" s="12" t="s">
        <v>308</v>
      </c>
      <c r="O97" s="12" t="s">
        <v>366</v>
      </c>
      <c r="P97" s="2"/>
      <c r="Q97" s="2"/>
      <c r="R97" s="208"/>
      <c r="S97" s="2"/>
      <c r="V97" s="38">
        <v>97</v>
      </c>
    </row>
    <row r="98" spans="1:22" ht="15" customHeight="1">
      <c r="A98" s="200">
        <v>20</v>
      </c>
      <c r="B98" s="59" t="s">
        <v>225</v>
      </c>
      <c r="C98" s="20" t="s">
        <v>361</v>
      </c>
      <c r="D98" s="20" t="s">
        <v>362</v>
      </c>
      <c r="E98" s="1" t="s">
        <v>363</v>
      </c>
      <c r="F98" s="12">
        <v>25</v>
      </c>
      <c r="G98" s="12">
        <v>0.9</v>
      </c>
      <c r="H98" s="2"/>
      <c r="I98" s="12">
        <v>25</v>
      </c>
      <c r="J98" s="12">
        <v>1</v>
      </c>
      <c r="K98" s="12" t="s">
        <v>364</v>
      </c>
      <c r="L98" s="12" t="s">
        <v>365</v>
      </c>
      <c r="M98" s="2">
        <v>160</v>
      </c>
      <c r="N98" s="12" t="s">
        <v>308</v>
      </c>
      <c r="O98" s="12" t="s">
        <v>366</v>
      </c>
      <c r="P98" s="2"/>
      <c r="Q98" s="2"/>
      <c r="R98" s="208"/>
      <c r="S98" s="2"/>
      <c r="V98" s="38">
        <v>98</v>
      </c>
    </row>
    <row r="99" spans="1:22" ht="15" customHeight="1">
      <c r="A99" s="200">
        <v>20</v>
      </c>
      <c r="B99" s="59" t="s">
        <v>226</v>
      </c>
      <c r="C99" s="20" t="s">
        <v>361</v>
      </c>
      <c r="D99" s="20" t="s">
        <v>362</v>
      </c>
      <c r="E99" s="1" t="s">
        <v>363</v>
      </c>
      <c r="F99" s="12">
        <v>25</v>
      </c>
      <c r="G99" s="12">
        <v>0.9</v>
      </c>
      <c r="H99" s="2"/>
      <c r="I99" s="12">
        <v>25</v>
      </c>
      <c r="J99" s="12">
        <v>1</v>
      </c>
      <c r="K99" s="12" t="s">
        <v>364</v>
      </c>
      <c r="L99" s="12" t="s">
        <v>365</v>
      </c>
      <c r="M99" s="2">
        <v>160</v>
      </c>
      <c r="N99" s="12" t="s">
        <v>308</v>
      </c>
      <c r="O99" s="12" t="s">
        <v>366</v>
      </c>
      <c r="P99" s="2"/>
      <c r="Q99" s="2"/>
      <c r="R99" s="208"/>
      <c r="S99" s="2"/>
      <c r="V99" s="38">
        <v>99</v>
      </c>
    </row>
    <row r="100" spans="1:22" ht="15" customHeight="1">
      <c r="A100" s="200">
        <v>20</v>
      </c>
      <c r="B100" s="59" t="s">
        <v>227</v>
      </c>
      <c r="C100" s="20" t="s">
        <v>361</v>
      </c>
      <c r="D100" s="20" t="s">
        <v>362</v>
      </c>
      <c r="E100" s="1" t="s">
        <v>363</v>
      </c>
      <c r="F100" s="12">
        <v>25</v>
      </c>
      <c r="G100" s="12">
        <v>0.9</v>
      </c>
      <c r="H100" s="2"/>
      <c r="I100" s="12">
        <v>25</v>
      </c>
      <c r="J100" s="12">
        <v>1</v>
      </c>
      <c r="K100" s="12" t="s">
        <v>364</v>
      </c>
      <c r="L100" s="12" t="s">
        <v>365</v>
      </c>
      <c r="M100" s="2">
        <v>160</v>
      </c>
      <c r="N100" s="12" t="s">
        <v>308</v>
      </c>
      <c r="O100" s="12" t="s">
        <v>366</v>
      </c>
      <c r="P100" s="2"/>
      <c r="Q100" s="2"/>
      <c r="R100" s="208"/>
      <c r="S100" s="2"/>
      <c r="V100" s="38">
        <v>100</v>
      </c>
    </row>
    <row r="101" spans="1:22" ht="15" customHeight="1">
      <c r="A101" s="200">
        <v>20</v>
      </c>
      <c r="B101" s="59" t="s">
        <v>230</v>
      </c>
      <c r="C101" s="20" t="s">
        <v>361</v>
      </c>
      <c r="D101" s="20" t="s">
        <v>362</v>
      </c>
      <c r="E101" s="1" t="s">
        <v>363</v>
      </c>
      <c r="F101" s="12">
        <v>25</v>
      </c>
      <c r="G101" s="12">
        <v>0.9</v>
      </c>
      <c r="H101" s="2"/>
      <c r="I101" s="12">
        <v>25</v>
      </c>
      <c r="J101" s="12">
        <v>1</v>
      </c>
      <c r="K101" s="12" t="s">
        <v>364</v>
      </c>
      <c r="L101" s="12" t="s">
        <v>365</v>
      </c>
      <c r="M101" s="2">
        <v>170</v>
      </c>
      <c r="N101" s="12" t="s">
        <v>308</v>
      </c>
      <c r="O101" s="12" t="s">
        <v>366</v>
      </c>
      <c r="P101" s="2"/>
      <c r="Q101" s="2"/>
      <c r="R101" s="208"/>
      <c r="S101" s="2"/>
      <c r="V101" s="38">
        <v>101</v>
      </c>
    </row>
    <row r="102" spans="1:22" ht="15" customHeight="1">
      <c r="A102" s="200">
        <v>20</v>
      </c>
      <c r="B102" s="59" t="s">
        <v>231</v>
      </c>
      <c r="C102" s="20" t="s">
        <v>361</v>
      </c>
      <c r="D102" s="20" t="s">
        <v>362</v>
      </c>
      <c r="E102" s="1" t="s">
        <v>363</v>
      </c>
      <c r="F102" s="12">
        <v>25</v>
      </c>
      <c r="G102" s="12">
        <v>0.9</v>
      </c>
      <c r="H102" s="2"/>
      <c r="I102" s="12">
        <v>25</v>
      </c>
      <c r="J102" s="12">
        <v>1</v>
      </c>
      <c r="K102" s="12" t="s">
        <v>364</v>
      </c>
      <c r="L102" s="12" t="s">
        <v>365</v>
      </c>
      <c r="M102" s="2">
        <v>170</v>
      </c>
      <c r="N102" s="12" t="s">
        <v>308</v>
      </c>
      <c r="O102" s="12" t="s">
        <v>366</v>
      </c>
      <c r="P102" s="2"/>
      <c r="Q102" s="2"/>
      <c r="R102" s="208"/>
      <c r="S102" s="2"/>
      <c r="V102" s="38">
        <v>102</v>
      </c>
    </row>
    <row r="103" spans="1:22" ht="15" customHeight="1">
      <c r="A103" s="200">
        <v>20</v>
      </c>
      <c r="B103" s="59" t="s">
        <v>232</v>
      </c>
      <c r="C103" s="20" t="s">
        <v>361</v>
      </c>
      <c r="D103" s="20" t="s">
        <v>362</v>
      </c>
      <c r="E103" s="1" t="s">
        <v>363</v>
      </c>
      <c r="F103" s="12">
        <v>25</v>
      </c>
      <c r="G103" s="12">
        <v>0.9</v>
      </c>
      <c r="H103" s="2"/>
      <c r="I103" s="12">
        <v>25</v>
      </c>
      <c r="J103" s="12">
        <v>1</v>
      </c>
      <c r="K103" s="12" t="s">
        <v>364</v>
      </c>
      <c r="L103" s="12" t="s">
        <v>365</v>
      </c>
      <c r="M103" s="2">
        <v>170</v>
      </c>
      <c r="N103" s="12" t="s">
        <v>308</v>
      </c>
      <c r="O103" s="12" t="s">
        <v>366</v>
      </c>
      <c r="P103" s="2"/>
      <c r="Q103" s="2"/>
      <c r="R103" s="208"/>
      <c r="S103" s="2"/>
      <c r="V103" s="38">
        <v>103</v>
      </c>
    </row>
    <row r="104" spans="1:22" ht="15" customHeight="1">
      <c r="A104" s="200">
        <v>20</v>
      </c>
      <c r="B104" s="59" t="s">
        <v>233</v>
      </c>
      <c r="C104" s="20" t="s">
        <v>361</v>
      </c>
      <c r="D104" s="20" t="s">
        <v>362</v>
      </c>
      <c r="E104" s="1" t="s">
        <v>363</v>
      </c>
      <c r="F104" s="12">
        <v>25</v>
      </c>
      <c r="G104" s="12">
        <v>0.9</v>
      </c>
      <c r="H104" s="2"/>
      <c r="I104" s="12">
        <v>25</v>
      </c>
      <c r="J104" s="12">
        <v>1</v>
      </c>
      <c r="K104" s="12" t="s">
        <v>364</v>
      </c>
      <c r="L104" s="12" t="s">
        <v>365</v>
      </c>
      <c r="M104" s="2">
        <v>170</v>
      </c>
      <c r="N104" s="12" t="s">
        <v>308</v>
      </c>
      <c r="O104" s="12" t="s">
        <v>366</v>
      </c>
      <c r="P104" s="2"/>
      <c r="Q104" s="2"/>
      <c r="R104" s="208"/>
      <c r="S104" s="2"/>
      <c r="V104" s="38">
        <v>104</v>
      </c>
    </row>
    <row r="105" spans="1:22" ht="15" customHeight="1">
      <c r="A105" s="200">
        <v>20</v>
      </c>
      <c r="B105" s="59" t="s">
        <v>234</v>
      </c>
      <c r="C105" s="100" t="s">
        <v>370</v>
      </c>
      <c r="D105" s="100" t="s">
        <v>371</v>
      </c>
      <c r="E105" s="1" t="s">
        <v>363</v>
      </c>
      <c r="F105" s="12">
        <v>25</v>
      </c>
      <c r="G105" s="12">
        <v>0.9</v>
      </c>
      <c r="H105" s="2"/>
      <c r="I105" s="12">
        <v>25</v>
      </c>
      <c r="J105" s="12">
        <v>1</v>
      </c>
      <c r="K105" s="12" t="s">
        <v>364</v>
      </c>
      <c r="L105" s="12" t="s">
        <v>365</v>
      </c>
      <c r="M105" s="2"/>
      <c r="N105" s="12" t="s">
        <v>308</v>
      </c>
      <c r="O105" s="12"/>
      <c r="P105" s="20" t="s">
        <v>377</v>
      </c>
      <c r="Q105" s="20"/>
      <c r="R105" s="198">
        <v>1</v>
      </c>
      <c r="S105" s="2"/>
      <c r="V105" s="38">
        <v>105</v>
      </c>
    </row>
    <row r="106" spans="1:22" ht="15" customHeight="1">
      <c r="A106" s="200">
        <v>20</v>
      </c>
      <c r="B106" s="59" t="s">
        <v>235</v>
      </c>
      <c r="C106" s="100" t="s">
        <v>370</v>
      </c>
      <c r="D106" s="100" t="s">
        <v>371</v>
      </c>
      <c r="E106" s="1" t="s">
        <v>363</v>
      </c>
      <c r="F106" s="12">
        <v>25</v>
      </c>
      <c r="G106" s="12">
        <v>0.9</v>
      </c>
      <c r="H106" s="2"/>
      <c r="I106" s="12">
        <v>25</v>
      </c>
      <c r="J106" s="12">
        <v>1</v>
      </c>
      <c r="K106" s="12" t="s">
        <v>364</v>
      </c>
      <c r="L106" s="12" t="s">
        <v>365</v>
      </c>
      <c r="M106" s="2"/>
      <c r="N106" s="12" t="s">
        <v>308</v>
      </c>
      <c r="O106" s="12"/>
      <c r="P106" s="20" t="s">
        <v>377</v>
      </c>
      <c r="Q106" s="20"/>
      <c r="R106" s="198">
        <v>1</v>
      </c>
      <c r="S106" s="2"/>
      <c r="V106" s="38">
        <v>106</v>
      </c>
    </row>
    <row r="107" spans="1:22" ht="15" customHeight="1">
      <c r="A107" s="200">
        <v>20</v>
      </c>
      <c r="B107" s="59" t="s">
        <v>236</v>
      </c>
      <c r="C107" s="100" t="s">
        <v>370</v>
      </c>
      <c r="D107" s="100" t="s">
        <v>371</v>
      </c>
      <c r="E107" s="1" t="s">
        <v>363</v>
      </c>
      <c r="F107" s="12">
        <v>25</v>
      </c>
      <c r="G107" s="12">
        <v>0.9</v>
      </c>
      <c r="H107" s="2"/>
      <c r="I107" s="12">
        <v>25</v>
      </c>
      <c r="J107" s="12">
        <v>1</v>
      </c>
      <c r="K107" s="12" t="s">
        <v>364</v>
      </c>
      <c r="L107" s="12" t="s">
        <v>365</v>
      </c>
      <c r="M107" s="2"/>
      <c r="N107" s="12" t="s">
        <v>308</v>
      </c>
      <c r="O107" s="12"/>
      <c r="P107" s="20" t="s">
        <v>377</v>
      </c>
      <c r="Q107" s="20"/>
      <c r="R107" s="198">
        <v>1</v>
      </c>
      <c r="S107" s="2"/>
      <c r="V107" s="38">
        <v>107</v>
      </c>
    </row>
    <row r="108" spans="1:22" ht="15" customHeight="1">
      <c r="A108" s="200">
        <v>20</v>
      </c>
      <c r="B108" s="59" t="s">
        <v>237</v>
      </c>
      <c r="C108" s="100" t="s">
        <v>370</v>
      </c>
      <c r="D108" s="100" t="s">
        <v>371</v>
      </c>
      <c r="E108" s="1" t="s">
        <v>363</v>
      </c>
      <c r="F108" s="12">
        <v>25</v>
      </c>
      <c r="G108" s="12">
        <v>0.9</v>
      </c>
      <c r="H108" s="2"/>
      <c r="I108" s="12">
        <v>25</v>
      </c>
      <c r="J108" s="12">
        <v>1</v>
      </c>
      <c r="K108" s="12" t="s">
        <v>364</v>
      </c>
      <c r="L108" s="12" t="s">
        <v>365</v>
      </c>
      <c r="M108" s="2"/>
      <c r="N108" s="12" t="s">
        <v>308</v>
      </c>
      <c r="O108" s="12"/>
      <c r="P108" s="20" t="s">
        <v>377</v>
      </c>
      <c r="Q108" s="20"/>
      <c r="R108" s="198">
        <v>1</v>
      </c>
      <c r="S108" s="2"/>
      <c r="V108" s="38">
        <v>108</v>
      </c>
    </row>
    <row r="109" spans="1:22" ht="15" customHeight="1">
      <c r="A109" s="200">
        <v>20</v>
      </c>
      <c r="B109" s="59" t="s">
        <v>238</v>
      </c>
      <c r="C109" s="100" t="s">
        <v>370</v>
      </c>
      <c r="D109" s="100" t="s">
        <v>371</v>
      </c>
      <c r="E109" s="1" t="s">
        <v>363</v>
      </c>
      <c r="F109" s="12">
        <v>25</v>
      </c>
      <c r="G109" s="12">
        <v>0.9</v>
      </c>
      <c r="H109" s="2"/>
      <c r="I109" s="12">
        <v>25</v>
      </c>
      <c r="J109" s="12">
        <v>1</v>
      </c>
      <c r="K109" s="12" t="s">
        <v>364</v>
      </c>
      <c r="L109" s="12" t="s">
        <v>365</v>
      </c>
      <c r="M109" s="2"/>
      <c r="N109" s="12" t="s">
        <v>308</v>
      </c>
      <c r="O109" s="12"/>
      <c r="P109" s="20" t="s">
        <v>377</v>
      </c>
      <c r="Q109" s="20"/>
      <c r="R109" s="198">
        <v>1</v>
      </c>
      <c r="S109" s="2"/>
      <c r="V109" s="38">
        <v>109</v>
      </c>
    </row>
    <row r="110" spans="1:22" ht="15" customHeight="1">
      <c r="A110" s="200">
        <v>20</v>
      </c>
      <c r="B110" s="59" t="s">
        <v>239</v>
      </c>
      <c r="C110" s="100" t="s">
        <v>370</v>
      </c>
      <c r="D110" s="100" t="s">
        <v>371</v>
      </c>
      <c r="E110" s="1" t="s">
        <v>363</v>
      </c>
      <c r="F110" s="12">
        <v>25</v>
      </c>
      <c r="G110" s="12">
        <v>0.9</v>
      </c>
      <c r="H110" s="2"/>
      <c r="I110" s="12">
        <v>25</v>
      </c>
      <c r="J110" s="12">
        <v>1</v>
      </c>
      <c r="K110" s="12" t="s">
        <v>364</v>
      </c>
      <c r="L110" s="12" t="s">
        <v>365</v>
      </c>
      <c r="M110" s="2"/>
      <c r="N110" s="12" t="s">
        <v>308</v>
      </c>
      <c r="O110" s="12"/>
      <c r="P110" s="20" t="s">
        <v>377</v>
      </c>
      <c r="Q110" s="20"/>
      <c r="R110" s="198">
        <v>1</v>
      </c>
      <c r="S110" s="2"/>
      <c r="V110" s="38">
        <v>110</v>
      </c>
    </row>
    <row r="111" spans="1:22" ht="15" customHeight="1">
      <c r="A111" s="200">
        <v>20</v>
      </c>
      <c r="B111" s="59" t="s">
        <v>240</v>
      </c>
      <c r="C111" s="100" t="s">
        <v>370</v>
      </c>
      <c r="D111" s="100" t="s">
        <v>371</v>
      </c>
      <c r="E111" s="1" t="s">
        <v>363</v>
      </c>
      <c r="F111" s="12">
        <v>25</v>
      </c>
      <c r="G111" s="12">
        <v>0.9</v>
      </c>
      <c r="H111" s="2"/>
      <c r="I111" s="12">
        <v>25</v>
      </c>
      <c r="J111" s="12">
        <v>1</v>
      </c>
      <c r="K111" s="12" t="s">
        <v>364</v>
      </c>
      <c r="L111" s="12" t="s">
        <v>365</v>
      </c>
      <c r="M111" s="2"/>
      <c r="N111" s="12" t="s">
        <v>308</v>
      </c>
      <c r="O111" s="12"/>
      <c r="P111" s="20" t="s">
        <v>377</v>
      </c>
      <c r="Q111" s="20"/>
      <c r="R111" s="198">
        <v>1</v>
      </c>
      <c r="S111" s="2"/>
      <c r="V111" s="38">
        <v>111</v>
      </c>
    </row>
    <row r="112" spans="1:22" ht="15" customHeight="1">
      <c r="A112" s="200">
        <v>20</v>
      </c>
      <c r="B112" s="59" t="s">
        <v>241</v>
      </c>
      <c r="C112" s="100" t="s">
        <v>370</v>
      </c>
      <c r="D112" s="100" t="s">
        <v>371</v>
      </c>
      <c r="E112" s="1" t="s">
        <v>363</v>
      </c>
      <c r="F112" s="12">
        <v>25</v>
      </c>
      <c r="G112" s="12">
        <v>0.9</v>
      </c>
      <c r="H112" s="2"/>
      <c r="I112" s="12">
        <v>25</v>
      </c>
      <c r="J112" s="12">
        <v>1</v>
      </c>
      <c r="K112" s="12" t="s">
        <v>364</v>
      </c>
      <c r="L112" s="12" t="s">
        <v>365</v>
      </c>
      <c r="M112" s="2"/>
      <c r="N112" s="12" t="s">
        <v>308</v>
      </c>
      <c r="O112" s="12"/>
      <c r="P112" s="20" t="s">
        <v>377</v>
      </c>
      <c r="Q112" s="20"/>
      <c r="R112" s="198">
        <v>1</v>
      </c>
      <c r="S112" s="2"/>
      <c r="V112" s="38">
        <v>112</v>
      </c>
    </row>
    <row r="113" spans="1:22" ht="15" customHeight="1">
      <c r="A113" s="201">
        <v>21</v>
      </c>
      <c r="B113" s="58" t="s">
        <v>220</v>
      </c>
      <c r="C113" s="282" t="s">
        <v>370</v>
      </c>
      <c r="D113" s="194"/>
      <c r="E113" s="194"/>
      <c r="F113" s="199">
        <v>25</v>
      </c>
      <c r="G113" s="194">
        <v>1</v>
      </c>
      <c r="H113" s="194" t="s">
        <v>367</v>
      </c>
      <c r="I113" s="194"/>
      <c r="J113" s="199">
        <v>1</v>
      </c>
      <c r="K113" s="199" t="s">
        <v>364</v>
      </c>
      <c r="L113" s="194" t="s">
        <v>369</v>
      </c>
      <c r="M113" s="194"/>
      <c r="N113" s="199" t="s">
        <v>308</v>
      </c>
      <c r="O113" s="199"/>
      <c r="P113" s="194" t="s">
        <v>377</v>
      </c>
      <c r="Q113" s="206"/>
      <c r="R113" s="197">
        <v>1</v>
      </c>
      <c r="S113" s="2"/>
      <c r="V113" s="38">
        <v>113</v>
      </c>
    </row>
    <row r="114" spans="1:22" ht="15" customHeight="1">
      <c r="A114" s="200">
        <v>21</v>
      </c>
      <c r="B114" s="59" t="s">
        <v>221</v>
      </c>
      <c r="C114" s="100" t="s">
        <v>370</v>
      </c>
      <c r="D114" s="20"/>
      <c r="E114" s="20"/>
      <c r="F114" s="12">
        <v>25</v>
      </c>
      <c r="G114" s="20">
        <v>1</v>
      </c>
      <c r="H114" s="20" t="s">
        <v>367</v>
      </c>
      <c r="I114" s="20"/>
      <c r="J114" s="12">
        <v>1</v>
      </c>
      <c r="K114" s="12" t="s">
        <v>364</v>
      </c>
      <c r="L114" s="20" t="s">
        <v>369</v>
      </c>
      <c r="M114" s="20"/>
      <c r="N114" s="12" t="s">
        <v>308</v>
      </c>
      <c r="O114" s="12"/>
      <c r="P114" s="20" t="s">
        <v>377</v>
      </c>
      <c r="Q114" s="2"/>
      <c r="R114" s="198">
        <v>1</v>
      </c>
      <c r="S114" s="2"/>
      <c r="V114" s="38">
        <v>114</v>
      </c>
    </row>
    <row r="115" spans="1:22" ht="15" customHeight="1">
      <c r="A115" s="200">
        <v>21</v>
      </c>
      <c r="B115" s="59" t="s">
        <v>222</v>
      </c>
      <c r="C115" s="100" t="s">
        <v>370</v>
      </c>
      <c r="D115" s="20"/>
      <c r="E115" s="20"/>
      <c r="F115" s="12">
        <v>25</v>
      </c>
      <c r="G115" s="20">
        <v>1</v>
      </c>
      <c r="H115" s="20" t="s">
        <v>367</v>
      </c>
      <c r="I115" s="20"/>
      <c r="J115" s="12">
        <v>1</v>
      </c>
      <c r="K115" s="12" t="s">
        <v>364</v>
      </c>
      <c r="L115" s="20" t="s">
        <v>369</v>
      </c>
      <c r="M115" s="20"/>
      <c r="N115" s="12" t="s">
        <v>308</v>
      </c>
      <c r="O115" s="12"/>
      <c r="P115" s="20" t="s">
        <v>377</v>
      </c>
      <c r="Q115" s="2"/>
      <c r="R115" s="198">
        <v>1</v>
      </c>
      <c r="S115" s="2"/>
      <c r="V115" s="38">
        <v>115</v>
      </c>
    </row>
    <row r="116" spans="1:22" ht="15" customHeight="1">
      <c r="A116" s="200">
        <v>21</v>
      </c>
      <c r="B116" s="59" t="s">
        <v>223</v>
      </c>
      <c r="C116" s="100" t="s">
        <v>370</v>
      </c>
      <c r="D116" s="20"/>
      <c r="E116" s="20"/>
      <c r="F116" s="12">
        <v>25</v>
      </c>
      <c r="G116" s="20">
        <v>1</v>
      </c>
      <c r="H116" s="20" t="s">
        <v>367</v>
      </c>
      <c r="I116" s="20"/>
      <c r="J116" s="12">
        <v>1</v>
      </c>
      <c r="K116" s="12" t="s">
        <v>364</v>
      </c>
      <c r="L116" s="20" t="s">
        <v>369</v>
      </c>
      <c r="M116" s="20"/>
      <c r="N116" s="12" t="s">
        <v>308</v>
      </c>
      <c r="O116" s="12"/>
      <c r="P116" s="20" t="s">
        <v>377</v>
      </c>
      <c r="Q116" s="2"/>
      <c r="R116" s="198">
        <v>1</v>
      </c>
      <c r="S116" s="2"/>
      <c r="V116" s="38">
        <v>116</v>
      </c>
    </row>
    <row r="117" spans="1:22" ht="15" customHeight="1">
      <c r="A117" s="200">
        <v>21</v>
      </c>
      <c r="B117" s="59" t="s">
        <v>228</v>
      </c>
      <c r="C117" s="100" t="s">
        <v>370</v>
      </c>
      <c r="D117" s="20"/>
      <c r="E117" s="20"/>
      <c r="F117" s="12">
        <v>25</v>
      </c>
      <c r="G117" s="20">
        <v>1</v>
      </c>
      <c r="H117" s="20" t="s">
        <v>367</v>
      </c>
      <c r="I117" s="20"/>
      <c r="J117" s="12">
        <v>1</v>
      </c>
      <c r="K117" s="12" t="s">
        <v>364</v>
      </c>
      <c r="L117" s="20" t="s">
        <v>369</v>
      </c>
      <c r="M117" s="20"/>
      <c r="N117" s="12" t="s">
        <v>308</v>
      </c>
      <c r="O117" s="12"/>
      <c r="P117" s="20" t="s">
        <v>377</v>
      </c>
      <c r="Q117" s="2"/>
      <c r="R117" s="198">
        <v>1</v>
      </c>
      <c r="S117" s="2"/>
      <c r="V117" s="38">
        <v>117</v>
      </c>
    </row>
    <row r="118" spans="1:22" ht="15" customHeight="1">
      <c r="A118" s="200">
        <v>21</v>
      </c>
      <c r="B118" s="59" t="s">
        <v>242</v>
      </c>
      <c r="C118" s="100" t="s">
        <v>370</v>
      </c>
      <c r="D118" s="20"/>
      <c r="E118" s="20"/>
      <c r="F118" s="12">
        <v>25</v>
      </c>
      <c r="G118" s="20">
        <v>1</v>
      </c>
      <c r="H118" s="20" t="s">
        <v>367</v>
      </c>
      <c r="I118" s="20"/>
      <c r="J118" s="12">
        <v>1</v>
      </c>
      <c r="K118" s="12" t="s">
        <v>364</v>
      </c>
      <c r="L118" s="20" t="s">
        <v>369</v>
      </c>
      <c r="M118" s="20"/>
      <c r="N118" s="12" t="s">
        <v>308</v>
      </c>
      <c r="O118" s="12"/>
      <c r="P118" s="20" t="s">
        <v>377</v>
      </c>
      <c r="Q118" s="2"/>
      <c r="R118" s="198">
        <v>1</v>
      </c>
      <c r="S118" s="2"/>
      <c r="V118" s="38">
        <v>118</v>
      </c>
    </row>
    <row r="119" spans="1:22" ht="15" customHeight="1">
      <c r="A119" s="200">
        <v>21</v>
      </c>
      <c r="B119" s="59" t="s">
        <v>243</v>
      </c>
      <c r="C119" s="100" t="s">
        <v>370</v>
      </c>
      <c r="D119" s="20"/>
      <c r="E119" s="20"/>
      <c r="F119" s="12">
        <v>25</v>
      </c>
      <c r="G119" s="20">
        <v>1</v>
      </c>
      <c r="H119" s="20" t="s">
        <v>367</v>
      </c>
      <c r="I119" s="20"/>
      <c r="J119" s="12">
        <v>1</v>
      </c>
      <c r="K119" s="12" t="s">
        <v>364</v>
      </c>
      <c r="L119" s="20" t="s">
        <v>369</v>
      </c>
      <c r="M119" s="20"/>
      <c r="N119" s="12" t="s">
        <v>308</v>
      </c>
      <c r="O119" s="12"/>
      <c r="P119" s="20" t="s">
        <v>377</v>
      </c>
      <c r="Q119" s="2"/>
      <c r="R119" s="198">
        <v>1</v>
      </c>
      <c r="S119" s="2"/>
      <c r="V119" s="38">
        <v>119</v>
      </c>
    </row>
    <row r="120" spans="1:22" ht="15" customHeight="1">
      <c r="A120" s="200">
        <v>21</v>
      </c>
      <c r="B120" s="59" t="s">
        <v>244</v>
      </c>
      <c r="C120" s="100" t="s">
        <v>370</v>
      </c>
      <c r="D120" s="20"/>
      <c r="E120" s="20"/>
      <c r="F120" s="12">
        <v>25</v>
      </c>
      <c r="G120" s="20">
        <v>1</v>
      </c>
      <c r="H120" s="20" t="s">
        <v>367</v>
      </c>
      <c r="I120" s="20"/>
      <c r="J120" s="12">
        <v>1</v>
      </c>
      <c r="K120" s="12" t="s">
        <v>364</v>
      </c>
      <c r="L120" s="20" t="s">
        <v>369</v>
      </c>
      <c r="M120" s="20"/>
      <c r="N120" s="12" t="s">
        <v>308</v>
      </c>
      <c r="O120" s="12"/>
      <c r="P120" s="20" t="s">
        <v>377</v>
      </c>
      <c r="Q120" s="2"/>
      <c r="R120" s="198">
        <v>1</v>
      </c>
      <c r="S120" s="2"/>
      <c r="V120" s="38">
        <v>120</v>
      </c>
    </row>
    <row r="121" spans="1:22" ht="15" customHeight="1">
      <c r="A121" s="200">
        <v>21</v>
      </c>
      <c r="B121" s="59" t="s">
        <v>224</v>
      </c>
      <c r="C121" s="20" t="s">
        <v>361</v>
      </c>
      <c r="D121" s="2"/>
      <c r="E121" s="2"/>
      <c r="F121" s="2"/>
      <c r="G121" s="2"/>
      <c r="H121" s="2"/>
      <c r="I121" s="2"/>
      <c r="J121" s="2"/>
      <c r="K121" s="2"/>
      <c r="L121" s="12" t="s">
        <v>365</v>
      </c>
      <c r="M121" s="2">
        <v>180</v>
      </c>
      <c r="N121" s="12" t="s">
        <v>308</v>
      </c>
      <c r="O121" s="283" t="s">
        <v>366</v>
      </c>
      <c r="P121" s="2" t="s">
        <v>368</v>
      </c>
      <c r="Q121" s="239">
        <v>0.8</v>
      </c>
      <c r="R121" s="208"/>
      <c r="S121" s="2"/>
      <c r="V121" s="38">
        <v>121</v>
      </c>
    </row>
    <row r="122" spans="1:22" ht="15" customHeight="1">
      <c r="A122" s="200">
        <v>21</v>
      </c>
      <c r="B122" s="59" t="s">
        <v>225</v>
      </c>
      <c r="C122" s="20" t="s">
        <v>361</v>
      </c>
      <c r="D122" s="2"/>
      <c r="E122" s="2"/>
      <c r="F122" s="2"/>
      <c r="G122" s="2"/>
      <c r="H122" s="2"/>
      <c r="I122" s="2"/>
      <c r="J122" s="2"/>
      <c r="K122" s="2"/>
      <c r="L122" s="12" t="s">
        <v>365</v>
      </c>
      <c r="M122" s="2">
        <v>180</v>
      </c>
      <c r="N122" s="12" t="s">
        <v>308</v>
      </c>
      <c r="O122" s="283" t="s">
        <v>366</v>
      </c>
      <c r="P122" s="2" t="s">
        <v>368</v>
      </c>
      <c r="Q122" s="239">
        <v>0.8</v>
      </c>
      <c r="R122" s="208"/>
      <c r="S122" s="2"/>
      <c r="V122" s="38">
        <v>122</v>
      </c>
    </row>
    <row r="123" spans="1:22" ht="15" customHeight="1">
      <c r="A123" s="200">
        <v>21</v>
      </c>
      <c r="B123" s="59" t="s">
        <v>226</v>
      </c>
      <c r="C123" s="20" t="s">
        <v>361</v>
      </c>
      <c r="D123" s="2"/>
      <c r="E123" s="2"/>
      <c r="F123" s="2"/>
      <c r="G123" s="2"/>
      <c r="H123" s="2"/>
      <c r="I123" s="2"/>
      <c r="J123" s="2"/>
      <c r="K123" s="2"/>
      <c r="L123" s="12" t="s">
        <v>365</v>
      </c>
      <c r="M123" s="2">
        <v>180</v>
      </c>
      <c r="N123" s="12" t="s">
        <v>308</v>
      </c>
      <c r="O123" s="283" t="s">
        <v>366</v>
      </c>
      <c r="P123" s="2" t="s">
        <v>368</v>
      </c>
      <c r="Q123" s="239">
        <v>0.8</v>
      </c>
      <c r="R123" s="208"/>
      <c r="S123" s="2"/>
      <c r="V123" s="38">
        <v>123</v>
      </c>
    </row>
    <row r="124" spans="1:22" ht="15" customHeight="1">
      <c r="A124" s="200">
        <v>21</v>
      </c>
      <c r="B124" s="59" t="s">
        <v>227</v>
      </c>
      <c r="C124" s="20" t="s">
        <v>361</v>
      </c>
      <c r="D124" s="2"/>
      <c r="E124" s="2"/>
      <c r="F124" s="2"/>
      <c r="G124" s="2"/>
      <c r="H124" s="2"/>
      <c r="I124" s="2"/>
      <c r="J124" s="2"/>
      <c r="K124" s="2"/>
      <c r="L124" s="12" t="s">
        <v>365</v>
      </c>
      <c r="M124" s="2">
        <v>180</v>
      </c>
      <c r="N124" s="12" t="s">
        <v>308</v>
      </c>
      <c r="O124" s="283" t="s">
        <v>366</v>
      </c>
      <c r="P124" s="2" t="s">
        <v>368</v>
      </c>
      <c r="Q124" s="239">
        <v>0.8</v>
      </c>
      <c r="R124" s="208"/>
      <c r="S124" s="2"/>
      <c r="V124" s="38">
        <v>124</v>
      </c>
    </row>
    <row r="125" spans="1:22" ht="15" customHeight="1">
      <c r="A125" s="200">
        <v>21</v>
      </c>
      <c r="B125" s="59" t="s">
        <v>229</v>
      </c>
      <c r="C125" s="20" t="s">
        <v>361</v>
      </c>
      <c r="D125" s="2"/>
      <c r="E125" s="2"/>
      <c r="F125" s="2"/>
      <c r="G125" s="2"/>
      <c r="H125" s="2"/>
      <c r="I125" s="2"/>
      <c r="J125" s="2"/>
      <c r="K125" s="2"/>
      <c r="L125" s="12" t="s">
        <v>365</v>
      </c>
      <c r="M125" s="2">
        <v>180</v>
      </c>
      <c r="N125" s="12" t="s">
        <v>308</v>
      </c>
      <c r="O125" s="283" t="s">
        <v>366</v>
      </c>
      <c r="P125" s="2" t="s">
        <v>368</v>
      </c>
      <c r="Q125" s="239">
        <v>0.8</v>
      </c>
      <c r="R125" s="208"/>
      <c r="S125" s="2"/>
      <c r="V125" s="38">
        <v>125</v>
      </c>
    </row>
    <row r="126" spans="1:22" ht="15" customHeight="1">
      <c r="A126" s="200">
        <v>21</v>
      </c>
      <c r="B126" s="59" t="s">
        <v>245</v>
      </c>
      <c r="C126" s="20" t="s">
        <v>361</v>
      </c>
      <c r="D126" s="2"/>
      <c r="E126" s="2"/>
      <c r="F126" s="2"/>
      <c r="G126" s="2"/>
      <c r="H126" s="2"/>
      <c r="I126" s="2"/>
      <c r="J126" s="2"/>
      <c r="K126" s="2"/>
      <c r="L126" s="12" t="s">
        <v>365</v>
      </c>
      <c r="M126" s="2">
        <v>180</v>
      </c>
      <c r="N126" s="12" t="s">
        <v>308</v>
      </c>
      <c r="O126" s="283" t="s">
        <v>366</v>
      </c>
      <c r="P126" s="2" t="s">
        <v>368</v>
      </c>
      <c r="Q126" s="239">
        <v>0.8</v>
      </c>
      <c r="R126" s="208"/>
      <c r="S126" s="2"/>
      <c r="V126" s="38">
        <v>126</v>
      </c>
    </row>
    <row r="127" spans="1:22" ht="15" customHeight="1">
      <c r="A127" s="200">
        <v>21</v>
      </c>
      <c r="B127" s="59" t="s">
        <v>246</v>
      </c>
      <c r="C127" s="20" t="s">
        <v>361</v>
      </c>
      <c r="D127" s="2"/>
      <c r="E127" s="2"/>
      <c r="F127" s="2"/>
      <c r="G127" s="2"/>
      <c r="H127" s="2"/>
      <c r="I127" s="2"/>
      <c r="J127" s="2"/>
      <c r="K127" s="2"/>
      <c r="L127" s="12" t="s">
        <v>365</v>
      </c>
      <c r="M127" s="2">
        <v>180</v>
      </c>
      <c r="N127" s="12" t="s">
        <v>308</v>
      </c>
      <c r="O127" s="283" t="s">
        <v>366</v>
      </c>
      <c r="P127" s="2" t="s">
        <v>368</v>
      </c>
      <c r="Q127" s="239">
        <v>0.8</v>
      </c>
      <c r="R127" s="208"/>
      <c r="S127" s="2"/>
      <c r="V127" s="38">
        <v>127</v>
      </c>
    </row>
    <row r="128" spans="1:22" ht="15" customHeight="1">
      <c r="A128" s="202">
        <v>21</v>
      </c>
      <c r="B128" s="203" t="s">
        <v>247</v>
      </c>
      <c r="C128" s="26" t="s">
        <v>361</v>
      </c>
      <c r="D128" s="30"/>
      <c r="E128" s="30"/>
      <c r="F128" s="30"/>
      <c r="G128" s="30"/>
      <c r="H128" s="30"/>
      <c r="I128" s="30"/>
      <c r="J128" s="30"/>
      <c r="K128" s="30"/>
      <c r="L128" s="24" t="s">
        <v>365</v>
      </c>
      <c r="M128" s="30">
        <v>180</v>
      </c>
      <c r="N128" s="24" t="s">
        <v>308</v>
      </c>
      <c r="O128" s="284" t="s">
        <v>366</v>
      </c>
      <c r="P128" s="30" t="s">
        <v>368</v>
      </c>
      <c r="Q128" s="240">
        <v>0.8</v>
      </c>
      <c r="R128" s="209"/>
      <c r="S128" s="2"/>
      <c r="V128" s="38">
        <v>128</v>
      </c>
    </row>
    <row r="129" spans="1:22" ht="15" customHeight="1">
      <c r="A129" s="200">
        <v>22</v>
      </c>
      <c r="B129" s="59">
        <v>1</v>
      </c>
      <c r="C129" s="20" t="s">
        <v>361</v>
      </c>
      <c r="D129" s="20"/>
      <c r="E129" s="20"/>
      <c r="F129" s="20"/>
      <c r="G129" s="20"/>
      <c r="H129" s="20"/>
      <c r="I129" s="20"/>
      <c r="J129" s="20"/>
      <c r="K129" s="20"/>
      <c r="L129" s="12" t="s">
        <v>365</v>
      </c>
      <c r="M129" s="20">
        <v>180</v>
      </c>
      <c r="N129" s="12" t="s">
        <v>308</v>
      </c>
      <c r="O129" s="283" t="s">
        <v>366</v>
      </c>
      <c r="P129" s="20"/>
      <c r="Q129" s="20"/>
      <c r="R129" s="198"/>
      <c r="S129" s="2"/>
      <c r="V129" s="38">
        <v>129</v>
      </c>
    </row>
    <row r="130" spans="1:22" ht="15" customHeight="1">
      <c r="A130" s="200">
        <v>22</v>
      </c>
      <c r="B130" s="59">
        <v>2</v>
      </c>
      <c r="C130" s="20" t="s">
        <v>361</v>
      </c>
      <c r="D130" s="20"/>
      <c r="E130" s="20"/>
      <c r="F130" s="20"/>
      <c r="G130" s="20"/>
      <c r="H130" s="20"/>
      <c r="I130" s="20"/>
      <c r="J130" s="20"/>
      <c r="K130" s="20"/>
      <c r="L130" s="12" t="s">
        <v>365</v>
      </c>
      <c r="M130" s="20">
        <v>180</v>
      </c>
      <c r="N130" s="12" t="s">
        <v>308</v>
      </c>
      <c r="O130" s="283" t="s">
        <v>366</v>
      </c>
      <c r="P130" s="20"/>
      <c r="Q130" s="20"/>
      <c r="R130" s="198"/>
      <c r="S130" s="2"/>
      <c r="V130" s="38">
        <v>130</v>
      </c>
    </row>
    <row r="131" spans="1:22" ht="15" customHeight="1">
      <c r="A131" s="200">
        <v>22</v>
      </c>
      <c r="B131" s="59">
        <v>3</v>
      </c>
      <c r="C131" s="20" t="s">
        <v>361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98"/>
      <c r="S131" s="2"/>
      <c r="V131" s="38">
        <v>131</v>
      </c>
    </row>
    <row r="132" spans="1:22" ht="15" customHeight="1">
      <c r="A132" s="200">
        <v>22</v>
      </c>
      <c r="B132" s="59">
        <v>4</v>
      </c>
      <c r="C132" s="20" t="s">
        <v>361</v>
      </c>
      <c r="D132" s="20"/>
      <c r="E132" s="20"/>
      <c r="F132" s="20"/>
      <c r="G132" s="20"/>
      <c r="H132" s="20"/>
      <c r="I132" s="20"/>
      <c r="J132" s="20"/>
      <c r="K132" s="20"/>
      <c r="L132" s="12" t="s">
        <v>365</v>
      </c>
      <c r="M132" s="20">
        <v>180</v>
      </c>
      <c r="N132" s="12" t="s">
        <v>308</v>
      </c>
      <c r="O132" s="283" t="s">
        <v>366</v>
      </c>
      <c r="P132" s="20"/>
      <c r="Q132" s="20"/>
      <c r="R132" s="198"/>
      <c r="S132" s="2"/>
      <c r="V132" s="38">
        <v>132</v>
      </c>
    </row>
    <row r="133" spans="1:22" ht="15" customHeight="1">
      <c r="A133" s="200">
        <v>22</v>
      </c>
      <c r="B133" s="59">
        <v>5</v>
      </c>
      <c r="C133" s="20" t="s">
        <v>361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98"/>
      <c r="S133" s="2"/>
      <c r="V133" s="38">
        <v>133</v>
      </c>
    </row>
    <row r="134" spans="1:22" ht="15" customHeight="1">
      <c r="A134" s="200">
        <v>22</v>
      </c>
      <c r="B134" s="59">
        <v>6</v>
      </c>
      <c r="C134" s="20" t="s">
        <v>361</v>
      </c>
      <c r="D134" s="20"/>
      <c r="E134" s="20"/>
      <c r="F134" s="20"/>
      <c r="G134" s="20"/>
      <c r="H134" s="20"/>
      <c r="I134" s="20"/>
      <c r="J134" s="20"/>
      <c r="K134" s="20"/>
      <c r="L134" s="12" t="s">
        <v>365</v>
      </c>
      <c r="M134" s="20">
        <v>180</v>
      </c>
      <c r="N134" s="12" t="s">
        <v>308</v>
      </c>
      <c r="O134" s="283" t="s">
        <v>366</v>
      </c>
      <c r="P134" s="20"/>
      <c r="Q134" s="20"/>
      <c r="R134" s="198"/>
      <c r="S134" s="2"/>
      <c r="V134" s="38">
        <v>134</v>
      </c>
    </row>
    <row r="135" spans="1:22" ht="15" customHeight="1">
      <c r="A135" s="200">
        <v>22</v>
      </c>
      <c r="B135" s="59">
        <v>7</v>
      </c>
      <c r="C135" s="20" t="s">
        <v>361</v>
      </c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83"/>
      <c r="P135" s="20"/>
      <c r="Q135" s="20"/>
      <c r="R135" s="198"/>
      <c r="S135" s="2"/>
      <c r="V135" s="38">
        <v>135</v>
      </c>
    </row>
    <row r="136" spans="1:22" ht="15" customHeight="1">
      <c r="A136" s="200">
        <v>22</v>
      </c>
      <c r="B136" s="59">
        <v>8</v>
      </c>
      <c r="C136" s="20" t="s">
        <v>361</v>
      </c>
      <c r="D136" s="20"/>
      <c r="E136" s="20"/>
      <c r="F136" s="20"/>
      <c r="G136" s="20"/>
      <c r="H136" s="20"/>
      <c r="I136" s="20"/>
      <c r="J136" s="20"/>
      <c r="K136" s="20"/>
      <c r="L136" s="12" t="s">
        <v>365</v>
      </c>
      <c r="M136" s="20">
        <v>180</v>
      </c>
      <c r="N136" s="12" t="s">
        <v>308</v>
      </c>
      <c r="O136" s="283" t="s">
        <v>366</v>
      </c>
      <c r="P136" s="20"/>
      <c r="Q136" s="20"/>
      <c r="R136" s="198"/>
      <c r="S136" s="2"/>
      <c r="V136" s="38">
        <v>136</v>
      </c>
    </row>
    <row r="137" spans="1:22" ht="15" customHeight="1">
      <c r="A137" s="201">
        <v>23</v>
      </c>
      <c r="B137" s="58">
        <v>1</v>
      </c>
      <c r="C137" s="194" t="s">
        <v>370</v>
      </c>
      <c r="D137" s="194"/>
      <c r="E137" s="194"/>
      <c r="F137" s="194"/>
      <c r="G137" s="194"/>
      <c r="H137" s="194"/>
      <c r="I137" s="194"/>
      <c r="J137" s="194"/>
      <c r="K137" s="194"/>
      <c r="L137" s="194" t="s">
        <v>369</v>
      </c>
      <c r="M137" s="194"/>
      <c r="N137" s="194" t="s">
        <v>308</v>
      </c>
      <c r="O137" s="194"/>
      <c r="P137" s="199" t="s">
        <v>374</v>
      </c>
      <c r="Q137" s="216"/>
      <c r="R137" s="197">
        <v>1</v>
      </c>
      <c r="S137" s="2"/>
      <c r="V137" s="38">
        <v>137</v>
      </c>
    </row>
    <row r="138" spans="1:22" ht="15" customHeight="1">
      <c r="A138" s="200">
        <v>23</v>
      </c>
      <c r="B138" s="59">
        <v>2</v>
      </c>
      <c r="C138" s="20" t="s">
        <v>370</v>
      </c>
      <c r="D138" s="20"/>
      <c r="E138" s="20"/>
      <c r="F138" s="20"/>
      <c r="G138" s="20"/>
      <c r="H138" s="20"/>
      <c r="I138" s="20"/>
      <c r="J138" s="20"/>
      <c r="K138" s="20"/>
      <c r="L138" s="20" t="s">
        <v>369</v>
      </c>
      <c r="M138" s="20"/>
      <c r="N138" s="20" t="s">
        <v>308</v>
      </c>
      <c r="O138" s="20"/>
      <c r="P138" s="12" t="s">
        <v>374</v>
      </c>
      <c r="Q138" s="239"/>
      <c r="R138" s="198">
        <v>1</v>
      </c>
      <c r="S138" s="2"/>
      <c r="V138" s="38">
        <v>138</v>
      </c>
    </row>
    <row r="139" spans="1:22" ht="15" customHeight="1">
      <c r="A139" s="200">
        <v>23</v>
      </c>
      <c r="B139" s="59">
        <v>3</v>
      </c>
      <c r="C139" s="20" t="s">
        <v>370</v>
      </c>
      <c r="D139" s="20"/>
      <c r="E139" s="20"/>
      <c r="F139" s="20"/>
      <c r="G139" s="20"/>
      <c r="H139" s="20"/>
      <c r="I139" s="20"/>
      <c r="J139" s="20"/>
      <c r="K139" s="20"/>
      <c r="L139" s="20" t="s">
        <v>369</v>
      </c>
      <c r="M139" s="20"/>
      <c r="N139" s="20" t="s">
        <v>308</v>
      </c>
      <c r="O139" s="20"/>
      <c r="P139" s="12" t="s">
        <v>374</v>
      </c>
      <c r="Q139" s="239"/>
      <c r="R139" s="198">
        <v>1</v>
      </c>
      <c r="S139" s="2"/>
      <c r="V139" s="38">
        <v>139</v>
      </c>
    </row>
    <row r="140" spans="1:22" ht="15" customHeight="1">
      <c r="A140" s="200">
        <v>23</v>
      </c>
      <c r="B140" s="59">
        <v>4</v>
      </c>
      <c r="C140" s="20" t="s">
        <v>370</v>
      </c>
      <c r="D140" s="20"/>
      <c r="E140" s="20"/>
      <c r="F140" s="20"/>
      <c r="G140" s="20"/>
      <c r="H140" s="20"/>
      <c r="I140" s="20"/>
      <c r="J140" s="20"/>
      <c r="K140" s="20"/>
      <c r="L140" s="20" t="s">
        <v>369</v>
      </c>
      <c r="M140" s="20"/>
      <c r="N140" s="20" t="s">
        <v>308</v>
      </c>
      <c r="O140" s="20"/>
      <c r="P140" s="12" t="s">
        <v>374</v>
      </c>
      <c r="Q140" s="239"/>
      <c r="R140" s="198">
        <v>1</v>
      </c>
      <c r="S140" s="2"/>
      <c r="V140" s="38">
        <v>140</v>
      </c>
    </row>
    <row r="141" spans="1:22" ht="15" customHeight="1">
      <c r="A141" s="202">
        <v>23</v>
      </c>
      <c r="B141" s="203">
        <v>5</v>
      </c>
      <c r="C141" s="20" t="s">
        <v>370</v>
      </c>
      <c r="D141" s="20"/>
      <c r="E141" s="20"/>
      <c r="F141" s="20"/>
      <c r="G141" s="20"/>
      <c r="H141" s="20"/>
      <c r="I141" s="20"/>
      <c r="J141" s="20"/>
      <c r="K141" s="20"/>
      <c r="L141" s="20" t="s">
        <v>369</v>
      </c>
      <c r="M141" s="20"/>
      <c r="N141" s="20" t="s">
        <v>308</v>
      </c>
      <c r="O141" s="20"/>
      <c r="P141" s="12" t="s">
        <v>374</v>
      </c>
      <c r="Q141" s="239"/>
      <c r="R141" s="198">
        <v>1</v>
      </c>
      <c r="S141" s="2"/>
      <c r="V141" s="38">
        <v>141</v>
      </c>
    </row>
    <row r="142" spans="1:22" ht="15" customHeight="1">
      <c r="A142" s="210">
        <v>24</v>
      </c>
      <c r="B142" s="211">
        <v>1</v>
      </c>
      <c r="C142" s="194" t="s">
        <v>361</v>
      </c>
      <c r="D142" s="194"/>
      <c r="E142" s="194"/>
      <c r="F142" s="194"/>
      <c r="G142" s="194"/>
      <c r="H142" s="194"/>
      <c r="I142" s="194"/>
      <c r="J142" s="194"/>
      <c r="K142" s="194"/>
      <c r="L142" s="199" t="s">
        <v>365</v>
      </c>
      <c r="M142" s="194">
        <v>190</v>
      </c>
      <c r="N142" s="194" t="s">
        <v>308</v>
      </c>
      <c r="O142" s="221" t="s">
        <v>366</v>
      </c>
      <c r="P142" s="216" t="s">
        <v>368</v>
      </c>
      <c r="Q142" s="216"/>
      <c r="R142" s="197"/>
      <c r="S142" s="2"/>
      <c r="V142" s="38">
        <v>142</v>
      </c>
    </row>
    <row r="143" spans="1:22" ht="15" customHeight="1">
      <c r="A143" s="210">
        <v>24</v>
      </c>
      <c r="B143" s="211">
        <v>2</v>
      </c>
      <c r="C143" s="20" t="s">
        <v>361</v>
      </c>
      <c r="D143" s="20"/>
      <c r="E143" s="20"/>
      <c r="F143" s="20"/>
      <c r="G143" s="20"/>
      <c r="H143" s="20"/>
      <c r="I143" s="20"/>
      <c r="J143" s="20"/>
      <c r="K143" s="20"/>
      <c r="L143" s="12" t="s">
        <v>365</v>
      </c>
      <c r="M143" s="20">
        <v>190</v>
      </c>
      <c r="N143" s="20" t="s">
        <v>308</v>
      </c>
      <c r="O143" s="283" t="s">
        <v>366</v>
      </c>
      <c r="P143" s="239" t="s">
        <v>368</v>
      </c>
      <c r="Q143" s="239"/>
      <c r="R143" s="198"/>
      <c r="S143" s="2"/>
      <c r="V143" s="38">
        <v>143</v>
      </c>
    </row>
    <row r="144" spans="1:22" ht="15" customHeight="1">
      <c r="A144" s="210">
        <v>24</v>
      </c>
      <c r="B144" s="211">
        <v>3</v>
      </c>
      <c r="C144" s="20" t="s">
        <v>361</v>
      </c>
      <c r="D144" s="20"/>
      <c r="E144" s="20"/>
      <c r="F144" s="20"/>
      <c r="G144" s="20"/>
      <c r="H144" s="20"/>
      <c r="I144" s="20"/>
      <c r="J144" s="20"/>
      <c r="K144" s="20"/>
      <c r="L144" s="12" t="s">
        <v>365</v>
      </c>
      <c r="M144" s="20">
        <v>190</v>
      </c>
      <c r="N144" s="20" t="s">
        <v>308</v>
      </c>
      <c r="O144" s="283" t="s">
        <v>366</v>
      </c>
      <c r="P144" s="239" t="s">
        <v>368</v>
      </c>
      <c r="Q144" s="239"/>
      <c r="R144" s="198"/>
      <c r="S144" s="2"/>
      <c r="V144" s="38">
        <v>144</v>
      </c>
    </row>
    <row r="145" spans="1:22" ht="15" customHeight="1">
      <c r="A145" s="210">
        <v>24</v>
      </c>
      <c r="B145" s="211">
        <v>4</v>
      </c>
      <c r="C145" s="20" t="s">
        <v>361</v>
      </c>
      <c r="D145" s="20"/>
      <c r="E145" s="20"/>
      <c r="F145" s="20"/>
      <c r="G145" s="20"/>
      <c r="H145" s="20"/>
      <c r="I145" s="20"/>
      <c r="J145" s="20"/>
      <c r="K145" s="20"/>
      <c r="L145" s="12" t="s">
        <v>365</v>
      </c>
      <c r="M145" s="20">
        <v>190</v>
      </c>
      <c r="N145" s="20" t="s">
        <v>308</v>
      </c>
      <c r="O145" s="283" t="s">
        <v>366</v>
      </c>
      <c r="P145" s="239" t="s">
        <v>368</v>
      </c>
      <c r="Q145" s="239"/>
      <c r="R145" s="198"/>
      <c r="S145" s="2"/>
      <c r="V145" s="38">
        <v>145</v>
      </c>
    </row>
    <row r="146" spans="1:22" ht="15" customHeight="1">
      <c r="A146" s="210">
        <v>24</v>
      </c>
      <c r="B146" s="211">
        <v>5</v>
      </c>
      <c r="C146" s="20" t="s">
        <v>361</v>
      </c>
      <c r="D146" s="20"/>
      <c r="E146" s="20"/>
      <c r="F146" s="20"/>
      <c r="G146" s="20"/>
      <c r="H146" s="20"/>
      <c r="I146" s="20"/>
      <c r="J146" s="20"/>
      <c r="K146" s="20"/>
      <c r="L146" s="12" t="s">
        <v>365</v>
      </c>
      <c r="M146" s="20">
        <v>190</v>
      </c>
      <c r="N146" s="20" t="s">
        <v>308</v>
      </c>
      <c r="O146" s="283" t="s">
        <v>366</v>
      </c>
      <c r="P146" s="239" t="s">
        <v>368</v>
      </c>
      <c r="Q146" s="239"/>
      <c r="R146" s="198"/>
      <c r="S146" s="2"/>
      <c r="V146" s="38">
        <v>146</v>
      </c>
    </row>
    <row r="147" spans="1:22" ht="15" customHeight="1">
      <c r="A147" s="210">
        <v>24</v>
      </c>
      <c r="B147" s="211">
        <v>6</v>
      </c>
      <c r="C147" s="20" t="s">
        <v>361</v>
      </c>
      <c r="D147" s="20"/>
      <c r="E147" s="20"/>
      <c r="F147" s="20"/>
      <c r="G147" s="20"/>
      <c r="H147" s="20"/>
      <c r="I147" s="20"/>
      <c r="J147" s="20"/>
      <c r="K147" s="20"/>
      <c r="L147" s="12" t="s">
        <v>365</v>
      </c>
      <c r="M147" s="20">
        <v>190</v>
      </c>
      <c r="N147" s="20" t="s">
        <v>308</v>
      </c>
      <c r="O147" s="283" t="s">
        <v>366</v>
      </c>
      <c r="P147" s="239" t="s">
        <v>368</v>
      </c>
      <c r="Q147" s="239"/>
      <c r="R147" s="198"/>
      <c r="S147" s="2"/>
      <c r="V147" s="38">
        <v>147</v>
      </c>
    </row>
    <row r="148" spans="1:22" ht="15" customHeight="1">
      <c r="A148" s="210">
        <v>24</v>
      </c>
      <c r="B148" s="211">
        <v>7</v>
      </c>
      <c r="C148" s="20" t="s">
        <v>361</v>
      </c>
      <c r="D148" s="20"/>
      <c r="E148" s="20"/>
      <c r="F148" s="20"/>
      <c r="G148" s="20"/>
      <c r="H148" s="20"/>
      <c r="I148" s="20"/>
      <c r="J148" s="20"/>
      <c r="K148" s="20"/>
      <c r="L148" s="12" t="s">
        <v>365</v>
      </c>
      <c r="M148" s="20">
        <v>190</v>
      </c>
      <c r="N148" s="26" t="s">
        <v>308</v>
      </c>
      <c r="O148" s="283" t="s">
        <v>366</v>
      </c>
      <c r="P148" s="240" t="s">
        <v>368</v>
      </c>
      <c r="Q148" s="239"/>
      <c r="R148" s="198"/>
      <c r="S148" s="2"/>
      <c r="V148" s="38">
        <v>148</v>
      </c>
    </row>
    <row r="149" spans="1:22" ht="15" customHeight="1">
      <c r="A149" s="201">
        <v>25</v>
      </c>
      <c r="B149" s="58">
        <v>1</v>
      </c>
      <c r="C149" s="194" t="s">
        <v>370</v>
      </c>
      <c r="D149" s="194"/>
      <c r="E149" s="194"/>
      <c r="F149" s="194"/>
      <c r="G149" s="194"/>
      <c r="H149" s="194"/>
      <c r="I149" s="194"/>
      <c r="J149" s="194"/>
      <c r="K149" s="194"/>
      <c r="L149" s="194" t="s">
        <v>369</v>
      </c>
      <c r="M149" s="194"/>
      <c r="N149" s="20" t="s">
        <v>308</v>
      </c>
      <c r="O149" s="194"/>
      <c r="P149" s="12" t="s">
        <v>377</v>
      </c>
      <c r="Q149" s="216"/>
      <c r="R149" s="197">
        <v>1</v>
      </c>
      <c r="S149" s="2"/>
      <c r="V149" s="38">
        <v>149</v>
      </c>
    </row>
    <row r="150" spans="1:22" ht="15" customHeight="1">
      <c r="A150" s="200">
        <v>25</v>
      </c>
      <c r="B150" s="59">
        <v>2</v>
      </c>
      <c r="C150" s="20" t="s">
        <v>370</v>
      </c>
      <c r="D150" s="20"/>
      <c r="E150" s="20"/>
      <c r="F150" s="20"/>
      <c r="G150" s="20"/>
      <c r="H150" s="20"/>
      <c r="I150" s="20"/>
      <c r="J150" s="20"/>
      <c r="K150" s="20"/>
      <c r="L150" s="20" t="s">
        <v>369</v>
      </c>
      <c r="M150" s="20"/>
      <c r="N150" s="20" t="s">
        <v>308</v>
      </c>
      <c r="O150" s="20"/>
      <c r="P150" s="12" t="s">
        <v>377</v>
      </c>
      <c r="Q150" s="239"/>
      <c r="R150" s="198">
        <v>1</v>
      </c>
      <c r="S150" s="2"/>
      <c r="V150" s="38">
        <v>150</v>
      </c>
    </row>
    <row r="151" spans="1:22" ht="15" customHeight="1">
      <c r="A151" s="200">
        <v>25</v>
      </c>
      <c r="B151" s="59">
        <v>3</v>
      </c>
      <c r="C151" s="20" t="s">
        <v>370</v>
      </c>
      <c r="D151" s="20"/>
      <c r="E151" s="20"/>
      <c r="F151" s="20"/>
      <c r="G151" s="20"/>
      <c r="H151" s="20"/>
      <c r="I151" s="20"/>
      <c r="J151" s="20"/>
      <c r="K151" s="20"/>
      <c r="L151" s="20" t="s">
        <v>369</v>
      </c>
      <c r="M151" s="20"/>
      <c r="N151" s="20" t="s">
        <v>308</v>
      </c>
      <c r="O151" s="20"/>
      <c r="P151" s="12" t="s">
        <v>377</v>
      </c>
      <c r="Q151" s="239"/>
      <c r="R151" s="198">
        <v>1</v>
      </c>
      <c r="S151" s="2"/>
      <c r="V151" s="38">
        <v>151</v>
      </c>
    </row>
    <row r="152" spans="1:22" ht="15" customHeight="1">
      <c r="A152" s="200">
        <v>25</v>
      </c>
      <c r="B152" s="59">
        <v>4</v>
      </c>
      <c r="C152" s="20" t="s">
        <v>370</v>
      </c>
      <c r="D152" s="20"/>
      <c r="E152" s="20"/>
      <c r="F152" s="20"/>
      <c r="G152" s="20"/>
      <c r="H152" s="20"/>
      <c r="I152" s="20"/>
      <c r="J152" s="20"/>
      <c r="K152" s="20"/>
      <c r="L152" s="20" t="s">
        <v>369</v>
      </c>
      <c r="M152" s="20"/>
      <c r="N152" s="20" t="s">
        <v>308</v>
      </c>
      <c r="O152" s="20"/>
      <c r="P152" s="12" t="s">
        <v>377</v>
      </c>
      <c r="Q152" s="239"/>
      <c r="R152" s="198">
        <v>1</v>
      </c>
      <c r="S152" s="2"/>
      <c r="V152" s="38">
        <v>152</v>
      </c>
    </row>
    <row r="153" spans="1:22" ht="15" customHeight="1">
      <c r="A153" s="201">
        <v>26</v>
      </c>
      <c r="B153" s="178" t="s">
        <v>220</v>
      </c>
      <c r="C153" s="194" t="s">
        <v>361</v>
      </c>
      <c r="D153" s="206"/>
      <c r="E153" s="206"/>
      <c r="F153" s="206"/>
      <c r="G153" s="206"/>
      <c r="H153" s="206"/>
      <c r="I153" s="206"/>
      <c r="J153" s="206"/>
      <c r="K153" s="206"/>
      <c r="L153" s="199" t="s">
        <v>365</v>
      </c>
      <c r="M153" s="206"/>
      <c r="N153" s="206"/>
      <c r="O153" s="199" t="s">
        <v>366</v>
      </c>
      <c r="P153" s="199" t="s">
        <v>368</v>
      </c>
      <c r="Q153" s="199">
        <v>1</v>
      </c>
      <c r="R153" s="207"/>
      <c r="S153" s="2"/>
      <c r="V153" s="38">
        <v>153</v>
      </c>
    </row>
    <row r="154" spans="1:22" ht="15" customHeight="1">
      <c r="A154" s="200">
        <v>26</v>
      </c>
      <c r="B154" s="179" t="s">
        <v>221</v>
      </c>
      <c r="C154" s="20" t="s">
        <v>361</v>
      </c>
      <c r="D154" s="2"/>
      <c r="E154" s="2"/>
      <c r="F154" s="2"/>
      <c r="G154" s="2"/>
      <c r="H154" s="2"/>
      <c r="I154" s="2"/>
      <c r="J154" s="2"/>
      <c r="K154" s="2"/>
      <c r="L154" s="12" t="s">
        <v>365</v>
      </c>
      <c r="M154" s="2"/>
      <c r="N154" s="2"/>
      <c r="O154" s="12" t="s">
        <v>366</v>
      </c>
      <c r="P154" s="12" t="s">
        <v>368</v>
      </c>
      <c r="Q154" s="12">
        <v>1</v>
      </c>
      <c r="R154" s="208"/>
      <c r="S154" s="2"/>
      <c r="V154" s="38">
        <v>154</v>
      </c>
    </row>
    <row r="155" spans="1:22" ht="15" customHeight="1">
      <c r="A155" s="200">
        <v>26</v>
      </c>
      <c r="B155" s="179" t="s">
        <v>222</v>
      </c>
      <c r="C155" s="20" t="s">
        <v>361</v>
      </c>
      <c r="D155" s="2"/>
      <c r="E155" s="2"/>
      <c r="F155" s="2"/>
      <c r="G155" s="2"/>
      <c r="H155" s="2"/>
      <c r="I155" s="2"/>
      <c r="J155" s="2"/>
      <c r="K155" s="2"/>
      <c r="L155" s="12" t="s">
        <v>365</v>
      </c>
      <c r="M155" s="2"/>
      <c r="N155" s="2"/>
      <c r="O155" s="12" t="s">
        <v>366</v>
      </c>
      <c r="P155" s="12" t="s">
        <v>368</v>
      </c>
      <c r="Q155" s="12">
        <v>1</v>
      </c>
      <c r="R155" s="208"/>
      <c r="S155" s="2"/>
      <c r="V155" s="38">
        <v>155</v>
      </c>
    </row>
    <row r="156" spans="1:22" ht="15" customHeight="1">
      <c r="A156" s="200">
        <v>26</v>
      </c>
      <c r="B156" s="179" t="s">
        <v>223</v>
      </c>
      <c r="C156" s="20" t="s">
        <v>361</v>
      </c>
      <c r="D156" s="2"/>
      <c r="E156" s="2"/>
      <c r="F156" s="2"/>
      <c r="G156" s="2"/>
      <c r="H156" s="2"/>
      <c r="I156" s="2"/>
      <c r="J156" s="2"/>
      <c r="K156" s="2"/>
      <c r="L156" s="12" t="s">
        <v>365</v>
      </c>
      <c r="M156" s="2"/>
      <c r="N156" s="2"/>
      <c r="O156" s="12" t="s">
        <v>366</v>
      </c>
      <c r="P156" s="12" t="s">
        <v>368</v>
      </c>
      <c r="Q156" s="12">
        <v>1</v>
      </c>
      <c r="R156" s="208"/>
      <c r="S156" s="2"/>
      <c r="V156" s="38">
        <v>156</v>
      </c>
    </row>
    <row r="157" spans="1:22" ht="15" customHeight="1">
      <c r="A157" s="200">
        <v>26</v>
      </c>
      <c r="B157" s="179" t="s">
        <v>228</v>
      </c>
      <c r="C157" s="20" t="s">
        <v>370</v>
      </c>
      <c r="D157" s="2"/>
      <c r="E157" s="2"/>
      <c r="F157" s="2"/>
      <c r="G157" s="2"/>
      <c r="H157" s="2"/>
      <c r="I157" s="2"/>
      <c r="J157" s="2"/>
      <c r="K157" s="2"/>
      <c r="L157" s="12" t="s">
        <v>365</v>
      </c>
      <c r="M157" s="2"/>
      <c r="N157" s="20"/>
      <c r="O157" s="12" t="s">
        <v>366</v>
      </c>
      <c r="P157" s="12" t="s">
        <v>368</v>
      </c>
      <c r="Q157" s="12">
        <v>1</v>
      </c>
      <c r="R157" s="208"/>
      <c r="S157" s="2"/>
      <c r="V157" s="38">
        <v>157</v>
      </c>
    </row>
    <row r="158" spans="1:22" ht="15" customHeight="1">
      <c r="A158" s="200">
        <v>26</v>
      </c>
      <c r="B158" s="179" t="s">
        <v>224</v>
      </c>
      <c r="C158" s="20" t="s">
        <v>370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0" t="s">
        <v>308</v>
      </c>
      <c r="O158" s="12" t="s">
        <v>366</v>
      </c>
      <c r="P158" s="12" t="s">
        <v>377</v>
      </c>
      <c r="Q158" s="12"/>
      <c r="R158" s="208"/>
      <c r="S158" s="2"/>
      <c r="V158" s="38">
        <v>158</v>
      </c>
    </row>
    <row r="159" spans="1:22" ht="15" customHeight="1">
      <c r="A159" s="200">
        <v>26</v>
      </c>
      <c r="B159" s="179" t="s">
        <v>225</v>
      </c>
      <c r="C159" s="20" t="s">
        <v>370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0" t="s">
        <v>308</v>
      </c>
      <c r="O159" s="12" t="s">
        <v>366</v>
      </c>
      <c r="P159" s="12" t="s">
        <v>377</v>
      </c>
      <c r="Q159" s="12"/>
      <c r="R159" s="208"/>
      <c r="S159" s="2"/>
      <c r="V159" s="38">
        <v>159</v>
      </c>
    </row>
    <row r="160" spans="1:22" ht="15" customHeight="1">
      <c r="A160" s="200">
        <v>26</v>
      </c>
      <c r="B160" s="179" t="s">
        <v>226</v>
      </c>
      <c r="C160" s="20" t="s">
        <v>370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0" t="s">
        <v>308</v>
      </c>
      <c r="O160" s="12" t="s">
        <v>366</v>
      </c>
      <c r="P160" s="12" t="s">
        <v>377</v>
      </c>
      <c r="Q160" s="12"/>
      <c r="R160" s="208"/>
      <c r="S160" s="2"/>
      <c r="V160" s="38">
        <v>160</v>
      </c>
    </row>
    <row r="161" spans="1:22" ht="15" customHeight="1">
      <c r="A161" s="200">
        <v>26</v>
      </c>
      <c r="B161" s="179" t="s">
        <v>227</v>
      </c>
      <c r="C161" s="20" t="s">
        <v>370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0" t="s">
        <v>308</v>
      </c>
      <c r="O161" s="12" t="s">
        <v>366</v>
      </c>
      <c r="P161" s="12" t="s">
        <v>377</v>
      </c>
      <c r="Q161" s="12"/>
      <c r="R161" s="208"/>
      <c r="S161" s="2"/>
      <c r="V161" s="38">
        <v>161</v>
      </c>
    </row>
    <row r="162" spans="1:22" ht="15" customHeight="1">
      <c r="A162" s="200">
        <v>26</v>
      </c>
      <c r="B162" s="59" t="s">
        <v>229</v>
      </c>
      <c r="C162" s="20" t="s">
        <v>370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0" t="s">
        <v>308</v>
      </c>
      <c r="O162" s="12" t="s">
        <v>366</v>
      </c>
      <c r="P162" s="24" t="s">
        <v>377</v>
      </c>
      <c r="Q162" s="12"/>
      <c r="R162" s="208"/>
      <c r="S162" s="2"/>
      <c r="U162" s="12"/>
      <c r="V162" s="38">
        <v>162</v>
      </c>
    </row>
    <row r="163" spans="1:22" ht="15" customHeight="1">
      <c r="A163" s="177">
        <v>27</v>
      </c>
      <c r="B163" s="178">
        <v>1</v>
      </c>
      <c r="C163" s="194" t="s">
        <v>370</v>
      </c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194" t="s">
        <v>308</v>
      </c>
      <c r="O163" s="206"/>
      <c r="P163" s="12" t="s">
        <v>377</v>
      </c>
      <c r="Q163" s="206"/>
      <c r="R163" s="207"/>
      <c r="S163" s="2"/>
      <c r="V163" s="38">
        <v>163</v>
      </c>
    </row>
    <row r="164" spans="1:22" ht="15" customHeight="1">
      <c r="A164" s="174">
        <v>27</v>
      </c>
      <c r="B164" s="179">
        <v>2</v>
      </c>
      <c r="C164" s="20" t="s">
        <v>370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0" t="s">
        <v>308</v>
      </c>
      <c r="O164" s="2"/>
      <c r="P164" s="12" t="s">
        <v>377</v>
      </c>
      <c r="Q164" s="2"/>
      <c r="R164" s="208"/>
      <c r="S164" s="2"/>
      <c r="V164" s="38">
        <v>164</v>
      </c>
    </row>
    <row r="165" spans="1:22" ht="15" customHeight="1">
      <c r="A165" s="174">
        <v>27</v>
      </c>
      <c r="B165" s="179">
        <v>3</v>
      </c>
      <c r="C165" s="20" t="s">
        <v>370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0" t="s">
        <v>308</v>
      </c>
      <c r="O165" s="2"/>
      <c r="P165" s="12" t="s">
        <v>377</v>
      </c>
      <c r="Q165" s="2"/>
      <c r="R165" s="208"/>
      <c r="S165" s="2"/>
      <c r="V165" s="38">
        <v>165</v>
      </c>
    </row>
    <row r="166" spans="1:22" ht="15" customHeight="1">
      <c r="A166" s="175">
        <v>27</v>
      </c>
      <c r="B166" s="180">
        <v>4</v>
      </c>
      <c r="C166" s="26" t="s">
        <v>370</v>
      </c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26" t="s">
        <v>308</v>
      </c>
      <c r="O166" s="30"/>
      <c r="P166" s="24" t="s">
        <v>377</v>
      </c>
      <c r="Q166" s="30"/>
      <c r="R166" s="209"/>
      <c r="S166" s="2"/>
      <c r="V166" s="38">
        <v>166</v>
      </c>
    </row>
    <row r="167" spans="1:22" ht="15" customHeight="1">
      <c r="A167" s="200">
        <v>28</v>
      </c>
      <c r="B167" s="59">
        <v>1</v>
      </c>
      <c r="C167" s="20" t="s">
        <v>361</v>
      </c>
      <c r="D167" s="2"/>
      <c r="E167" s="2"/>
      <c r="F167" s="2"/>
      <c r="G167" s="2"/>
      <c r="H167" s="20" t="s">
        <v>367</v>
      </c>
      <c r="I167" s="2"/>
      <c r="J167" s="2"/>
      <c r="K167" s="2"/>
      <c r="L167" s="12" t="s">
        <v>365</v>
      </c>
      <c r="M167" s="2">
        <v>190</v>
      </c>
      <c r="N167" s="20" t="s">
        <v>308</v>
      </c>
      <c r="O167" s="12" t="s">
        <v>366</v>
      </c>
      <c r="P167" s="12" t="s">
        <v>368</v>
      </c>
      <c r="Q167" s="12"/>
      <c r="R167" s="208"/>
      <c r="S167" s="2"/>
      <c r="V167" s="38">
        <v>167</v>
      </c>
    </row>
    <row r="168" spans="1:22" ht="15" customHeight="1">
      <c r="A168" s="200">
        <v>28</v>
      </c>
      <c r="B168" s="59">
        <v>2</v>
      </c>
      <c r="C168" s="20" t="s">
        <v>361</v>
      </c>
      <c r="H168" s="20" t="s">
        <v>367</v>
      </c>
      <c r="L168" s="12" t="s">
        <v>365</v>
      </c>
      <c r="M168" s="8">
        <v>190</v>
      </c>
      <c r="N168" s="20" t="s">
        <v>308</v>
      </c>
      <c r="O168" s="12" t="s">
        <v>366</v>
      </c>
      <c r="P168" s="12" t="s">
        <v>368</v>
      </c>
      <c r="Q168" s="12"/>
      <c r="R168" s="208"/>
      <c r="S168" s="2"/>
      <c r="V168" s="38">
        <v>168</v>
      </c>
    </row>
    <row r="169" spans="1:22" ht="15" customHeight="1">
      <c r="A169" s="200">
        <v>28</v>
      </c>
      <c r="B169" s="59">
        <v>3</v>
      </c>
      <c r="C169" s="20" t="s">
        <v>361</v>
      </c>
      <c r="H169" s="20" t="s">
        <v>367</v>
      </c>
      <c r="L169" s="12" t="s">
        <v>365</v>
      </c>
      <c r="M169" s="8">
        <v>190</v>
      </c>
      <c r="N169" s="20" t="s">
        <v>308</v>
      </c>
      <c r="O169" s="12" t="s">
        <v>366</v>
      </c>
      <c r="P169" s="12" t="s">
        <v>368</v>
      </c>
      <c r="Q169" s="12"/>
      <c r="R169" s="208"/>
      <c r="S169" s="2"/>
      <c r="V169" s="38">
        <v>169</v>
      </c>
    </row>
    <row r="170" spans="1:22" ht="15" customHeight="1">
      <c r="A170" s="200">
        <v>28</v>
      </c>
      <c r="B170" s="59">
        <v>4</v>
      </c>
      <c r="C170" s="20" t="s">
        <v>361</v>
      </c>
      <c r="H170" s="20" t="s">
        <v>367</v>
      </c>
      <c r="L170" s="12" t="s">
        <v>365</v>
      </c>
      <c r="M170" s="8">
        <v>190</v>
      </c>
      <c r="N170" s="20" t="s">
        <v>308</v>
      </c>
      <c r="O170" s="12" t="s">
        <v>366</v>
      </c>
      <c r="P170" s="12" t="s">
        <v>368</v>
      </c>
      <c r="Q170" s="12"/>
      <c r="R170" s="208"/>
      <c r="S170" s="2"/>
      <c r="V170" s="38">
        <v>170</v>
      </c>
    </row>
    <row r="171" spans="1:22" ht="15" customHeight="1">
      <c r="A171" s="200">
        <v>28</v>
      </c>
      <c r="B171" s="59">
        <v>5</v>
      </c>
      <c r="C171" s="20" t="s">
        <v>361</v>
      </c>
      <c r="H171" s="20" t="s">
        <v>367</v>
      </c>
      <c r="L171" s="12" t="s">
        <v>365</v>
      </c>
      <c r="M171" s="8">
        <v>190</v>
      </c>
      <c r="N171" s="20" t="s">
        <v>308</v>
      </c>
      <c r="O171" s="12" t="s">
        <v>366</v>
      </c>
      <c r="P171" s="12" t="s">
        <v>368</v>
      </c>
      <c r="Q171" s="12"/>
      <c r="R171" s="208"/>
      <c r="S171" s="2"/>
      <c r="V171" s="38">
        <v>171</v>
      </c>
    </row>
    <row r="172" spans="1:22" ht="15" customHeight="1">
      <c r="A172" s="200">
        <v>28</v>
      </c>
      <c r="B172" s="59">
        <v>6</v>
      </c>
      <c r="C172" s="20" t="s">
        <v>361</v>
      </c>
      <c r="D172" s="2"/>
      <c r="E172" s="2"/>
      <c r="F172" s="2"/>
      <c r="G172" s="2"/>
      <c r="H172" s="20" t="s">
        <v>367</v>
      </c>
      <c r="I172" s="2"/>
      <c r="J172" s="2"/>
      <c r="K172" s="2"/>
      <c r="L172" s="12" t="s">
        <v>365</v>
      </c>
      <c r="M172" s="2">
        <v>190</v>
      </c>
      <c r="N172" s="20" t="s">
        <v>308</v>
      </c>
      <c r="O172" s="12" t="s">
        <v>366</v>
      </c>
      <c r="P172" s="12" t="s">
        <v>368</v>
      </c>
      <c r="Q172" s="12"/>
      <c r="R172" s="208"/>
      <c r="S172" s="2"/>
      <c r="V172" s="38">
        <v>172</v>
      </c>
    </row>
    <row r="173" spans="1:22" ht="15" customHeight="1">
      <c r="A173" s="201">
        <v>29</v>
      </c>
      <c r="B173" s="58">
        <v>1</v>
      </c>
      <c r="C173" s="194" t="s">
        <v>361</v>
      </c>
      <c r="D173" s="206"/>
      <c r="E173" s="206"/>
      <c r="F173" s="206"/>
      <c r="G173" s="206"/>
      <c r="H173" s="206"/>
      <c r="I173" s="206"/>
      <c r="J173" s="206"/>
      <c r="K173" s="206"/>
      <c r="L173" s="199" t="s">
        <v>365</v>
      </c>
      <c r="M173" s="206">
        <v>180</v>
      </c>
      <c r="N173" s="194" t="s">
        <v>308</v>
      </c>
      <c r="O173" s="199" t="s">
        <v>366</v>
      </c>
      <c r="P173" s="199" t="s">
        <v>368</v>
      </c>
      <c r="Q173" s="199"/>
      <c r="R173" s="207"/>
      <c r="S173" s="2"/>
      <c r="V173" s="38">
        <v>173</v>
      </c>
    </row>
    <row r="174" spans="1:22" ht="15" customHeight="1">
      <c r="A174" s="200">
        <v>29</v>
      </c>
      <c r="B174" s="59">
        <v>2</v>
      </c>
      <c r="C174" s="20" t="s">
        <v>361</v>
      </c>
      <c r="D174" s="2"/>
      <c r="E174" s="2"/>
      <c r="F174" s="2"/>
      <c r="G174" s="2"/>
      <c r="H174" s="2"/>
      <c r="I174" s="2"/>
      <c r="J174" s="2"/>
      <c r="K174" s="2"/>
      <c r="L174" s="12" t="s">
        <v>365</v>
      </c>
      <c r="M174" s="2">
        <v>180</v>
      </c>
      <c r="N174" s="20" t="s">
        <v>308</v>
      </c>
      <c r="O174" s="12" t="s">
        <v>366</v>
      </c>
      <c r="P174" s="12" t="s">
        <v>368</v>
      </c>
      <c r="Q174" s="12"/>
      <c r="R174" s="208"/>
      <c r="S174" s="2"/>
      <c r="V174" s="38">
        <v>174</v>
      </c>
    </row>
    <row r="175" spans="1:22" ht="15" customHeight="1">
      <c r="A175" s="200">
        <v>29</v>
      </c>
      <c r="B175" s="59">
        <v>3</v>
      </c>
      <c r="C175" s="20" t="s">
        <v>361</v>
      </c>
      <c r="D175" s="2"/>
      <c r="E175" s="2"/>
      <c r="F175" s="2"/>
      <c r="G175" s="2"/>
      <c r="H175" s="2"/>
      <c r="I175" s="2"/>
      <c r="J175" s="2"/>
      <c r="K175" s="2"/>
      <c r="L175" s="12" t="s">
        <v>365</v>
      </c>
      <c r="M175" s="2">
        <v>180</v>
      </c>
      <c r="N175" s="20" t="s">
        <v>308</v>
      </c>
      <c r="O175" s="12" t="s">
        <v>366</v>
      </c>
      <c r="P175" s="12" t="s">
        <v>368</v>
      </c>
      <c r="Q175" s="12"/>
      <c r="R175" s="208"/>
      <c r="S175" s="2"/>
      <c r="V175" s="38">
        <v>175</v>
      </c>
    </row>
    <row r="176" spans="1:22" ht="15" customHeight="1">
      <c r="A176" s="200">
        <v>29</v>
      </c>
      <c r="B176" s="59">
        <v>4</v>
      </c>
      <c r="C176" s="20" t="s">
        <v>361</v>
      </c>
      <c r="D176" s="2"/>
      <c r="E176" s="2"/>
      <c r="F176" s="2"/>
      <c r="G176" s="2"/>
      <c r="H176" s="2"/>
      <c r="I176" s="2"/>
      <c r="J176" s="2"/>
      <c r="K176" s="2"/>
      <c r="L176" s="12" t="s">
        <v>365</v>
      </c>
      <c r="M176" s="2">
        <v>180</v>
      </c>
      <c r="N176" s="20" t="s">
        <v>308</v>
      </c>
      <c r="O176" s="12" t="s">
        <v>366</v>
      </c>
      <c r="P176" s="12" t="s">
        <v>368</v>
      </c>
      <c r="Q176" s="12"/>
      <c r="R176" s="208"/>
      <c r="S176" s="2"/>
      <c r="V176" s="38">
        <v>176</v>
      </c>
    </row>
    <row r="177" spans="1:22" ht="15" customHeight="1">
      <c r="A177" s="200">
        <v>29</v>
      </c>
      <c r="B177" s="59">
        <v>5</v>
      </c>
      <c r="C177" s="20" t="s">
        <v>361</v>
      </c>
      <c r="D177" s="2"/>
      <c r="E177" s="2"/>
      <c r="F177" s="2"/>
      <c r="G177" s="2"/>
      <c r="H177" s="2"/>
      <c r="I177" s="2"/>
      <c r="J177" s="2"/>
      <c r="K177" s="2"/>
      <c r="L177" s="12" t="s">
        <v>365</v>
      </c>
      <c r="M177" s="2">
        <v>180</v>
      </c>
      <c r="N177" s="20" t="s">
        <v>308</v>
      </c>
      <c r="O177" s="12" t="s">
        <v>366</v>
      </c>
      <c r="P177" s="12" t="s">
        <v>368</v>
      </c>
      <c r="Q177" s="12"/>
      <c r="R177" s="208"/>
      <c r="S177" s="2"/>
      <c r="V177" s="38">
        <v>177</v>
      </c>
    </row>
    <row r="178" spans="1:22" ht="15" customHeight="1">
      <c r="A178" s="201">
        <v>30</v>
      </c>
      <c r="B178" s="58">
        <v>1</v>
      </c>
      <c r="C178" s="194" t="s">
        <v>370</v>
      </c>
      <c r="D178" s="194"/>
      <c r="E178" s="194"/>
      <c r="F178" s="194"/>
      <c r="G178" s="194"/>
      <c r="H178" s="194"/>
      <c r="I178" s="194"/>
      <c r="J178" s="194"/>
      <c r="K178" s="194"/>
      <c r="L178" s="194" t="s">
        <v>369</v>
      </c>
      <c r="M178" s="194"/>
      <c r="N178" s="194" t="s">
        <v>308</v>
      </c>
      <c r="O178" s="194"/>
      <c r="P178" s="194" t="s">
        <v>377</v>
      </c>
      <c r="Q178" s="194"/>
      <c r="R178" s="197">
        <v>1</v>
      </c>
      <c r="S178" s="2"/>
      <c r="V178" s="38">
        <v>178</v>
      </c>
    </row>
    <row r="179" spans="1:22" ht="15" customHeight="1">
      <c r="A179" s="200">
        <v>30</v>
      </c>
      <c r="B179" s="59">
        <v>2</v>
      </c>
      <c r="C179" s="20" t="s">
        <v>370</v>
      </c>
      <c r="D179" s="20"/>
      <c r="E179" s="20"/>
      <c r="F179" s="20"/>
      <c r="G179" s="20"/>
      <c r="H179" s="20"/>
      <c r="I179" s="20"/>
      <c r="J179" s="20"/>
      <c r="K179" s="20"/>
      <c r="L179" s="20" t="s">
        <v>369</v>
      </c>
      <c r="M179" s="20"/>
      <c r="N179" s="20" t="s">
        <v>308</v>
      </c>
      <c r="O179" s="20"/>
      <c r="P179" s="20" t="s">
        <v>377</v>
      </c>
      <c r="Q179" s="20"/>
      <c r="R179" s="198">
        <v>1</v>
      </c>
      <c r="S179" s="2"/>
      <c r="V179" s="38">
        <v>179</v>
      </c>
    </row>
    <row r="180" spans="1:22" ht="15" customHeight="1">
      <c r="A180" s="202">
        <v>30</v>
      </c>
      <c r="B180" s="203">
        <v>3</v>
      </c>
      <c r="C180" s="20" t="s">
        <v>370</v>
      </c>
      <c r="D180" s="20"/>
      <c r="E180" s="20"/>
      <c r="F180" s="20"/>
      <c r="G180" s="20"/>
      <c r="H180" s="20"/>
      <c r="I180" s="20"/>
      <c r="J180" s="20"/>
      <c r="K180" s="20"/>
      <c r="L180" s="20" t="s">
        <v>369</v>
      </c>
      <c r="M180" s="20"/>
      <c r="N180" s="20" t="s">
        <v>308</v>
      </c>
      <c r="O180" s="20"/>
      <c r="P180" s="20" t="s">
        <v>377</v>
      </c>
      <c r="Q180" s="20"/>
      <c r="R180" s="198">
        <v>1</v>
      </c>
      <c r="S180" s="2"/>
      <c r="V180" s="38">
        <v>180</v>
      </c>
    </row>
    <row r="181" spans="1:22" ht="15" customHeight="1">
      <c r="A181" s="201">
        <v>31</v>
      </c>
      <c r="B181" s="58">
        <v>1</v>
      </c>
      <c r="C181" s="194" t="s">
        <v>370</v>
      </c>
      <c r="D181" s="194"/>
      <c r="E181" s="194"/>
      <c r="F181" s="194"/>
      <c r="G181" s="194"/>
      <c r="H181" s="194"/>
      <c r="I181" s="194"/>
      <c r="J181" s="194"/>
      <c r="K181" s="194"/>
      <c r="L181" s="194" t="s">
        <v>369</v>
      </c>
      <c r="M181" s="194"/>
      <c r="N181" s="194" t="s">
        <v>308</v>
      </c>
      <c r="O181" s="194"/>
      <c r="P181" s="194" t="s">
        <v>377</v>
      </c>
      <c r="Q181" s="194"/>
      <c r="R181" s="197">
        <v>1</v>
      </c>
      <c r="S181" s="2"/>
      <c r="V181" s="38">
        <v>181</v>
      </c>
    </row>
    <row r="182" spans="1:22" ht="15" customHeight="1">
      <c r="A182" s="200">
        <v>31</v>
      </c>
      <c r="B182" s="59">
        <v>2</v>
      </c>
      <c r="C182" s="20" t="s">
        <v>370</v>
      </c>
      <c r="D182" s="20"/>
      <c r="E182" s="20"/>
      <c r="F182" s="20"/>
      <c r="G182" s="20"/>
      <c r="H182" s="20"/>
      <c r="I182" s="20"/>
      <c r="J182" s="20"/>
      <c r="K182" s="20"/>
      <c r="L182" s="20" t="s">
        <v>369</v>
      </c>
      <c r="M182" s="20"/>
      <c r="N182" s="20" t="s">
        <v>308</v>
      </c>
      <c r="O182" s="20"/>
      <c r="P182" s="20" t="s">
        <v>377</v>
      </c>
      <c r="Q182" s="20"/>
      <c r="R182" s="198">
        <v>1</v>
      </c>
      <c r="S182" s="2"/>
      <c r="V182" s="38">
        <v>182</v>
      </c>
    </row>
    <row r="183" spans="1:22" ht="15" customHeight="1">
      <c r="A183" s="200">
        <v>31</v>
      </c>
      <c r="B183" s="59">
        <v>3</v>
      </c>
      <c r="C183" s="20" t="s">
        <v>370</v>
      </c>
      <c r="D183" s="20"/>
      <c r="E183" s="20"/>
      <c r="F183" s="20"/>
      <c r="G183" s="20"/>
      <c r="H183" s="20"/>
      <c r="I183" s="20"/>
      <c r="J183" s="20"/>
      <c r="K183" s="20"/>
      <c r="L183" s="20" t="s">
        <v>369</v>
      </c>
      <c r="M183" s="20"/>
      <c r="N183" s="20" t="s">
        <v>308</v>
      </c>
      <c r="O183" s="20"/>
      <c r="P183" s="20" t="s">
        <v>377</v>
      </c>
      <c r="Q183" s="20"/>
      <c r="R183" s="198">
        <v>1</v>
      </c>
      <c r="S183" s="2"/>
      <c r="V183" s="38">
        <v>183</v>
      </c>
    </row>
    <row r="184" spans="1:22" ht="15" customHeight="1">
      <c r="A184" s="200">
        <v>31</v>
      </c>
      <c r="B184" s="59">
        <v>4</v>
      </c>
      <c r="C184" s="20" t="s">
        <v>370</v>
      </c>
      <c r="D184" s="20"/>
      <c r="E184" s="20"/>
      <c r="F184" s="20"/>
      <c r="G184" s="20"/>
      <c r="H184" s="20"/>
      <c r="I184" s="20"/>
      <c r="J184" s="20"/>
      <c r="K184" s="20"/>
      <c r="L184" s="20" t="s">
        <v>369</v>
      </c>
      <c r="M184" s="20"/>
      <c r="N184" s="20" t="s">
        <v>308</v>
      </c>
      <c r="O184" s="20"/>
      <c r="P184" s="20" t="s">
        <v>377</v>
      </c>
      <c r="Q184" s="20"/>
      <c r="R184" s="198">
        <v>1</v>
      </c>
      <c r="S184" s="2"/>
      <c r="V184" s="38">
        <v>184</v>
      </c>
    </row>
    <row r="185" spans="1:22" ht="15" customHeight="1">
      <c r="A185" s="200">
        <v>31</v>
      </c>
      <c r="B185" s="59">
        <v>5</v>
      </c>
      <c r="C185" s="20" t="s">
        <v>370</v>
      </c>
      <c r="D185" s="20"/>
      <c r="E185" s="20"/>
      <c r="F185" s="20"/>
      <c r="G185" s="20"/>
      <c r="H185" s="20"/>
      <c r="I185" s="20"/>
      <c r="J185" s="20"/>
      <c r="K185" s="20"/>
      <c r="L185" s="20" t="s">
        <v>369</v>
      </c>
      <c r="M185" s="20"/>
      <c r="N185" s="20" t="s">
        <v>308</v>
      </c>
      <c r="O185" s="20"/>
      <c r="P185" s="20" t="s">
        <v>377</v>
      </c>
      <c r="Q185" s="20"/>
      <c r="R185" s="198">
        <v>1</v>
      </c>
      <c r="S185" s="2"/>
      <c r="V185" s="38">
        <v>185</v>
      </c>
    </row>
    <row r="186" spans="1:22" ht="15" customHeight="1">
      <c r="A186" s="177">
        <v>32</v>
      </c>
      <c r="B186" s="178">
        <v>1</v>
      </c>
      <c r="C186" s="194" t="s">
        <v>370</v>
      </c>
      <c r="D186" s="206"/>
      <c r="E186" s="206"/>
      <c r="F186" s="206"/>
      <c r="G186" s="206"/>
      <c r="H186" s="206"/>
      <c r="I186" s="206"/>
      <c r="J186" s="206"/>
      <c r="K186" s="206"/>
      <c r="L186" s="194" t="s">
        <v>369</v>
      </c>
      <c r="M186" s="206"/>
      <c r="N186" s="194" t="s">
        <v>308</v>
      </c>
      <c r="O186" s="206"/>
      <c r="P186" s="194" t="s">
        <v>377</v>
      </c>
      <c r="Q186" s="194"/>
      <c r="R186" s="197">
        <v>1</v>
      </c>
      <c r="S186" s="2"/>
      <c r="V186" s="38">
        <v>186</v>
      </c>
    </row>
    <row r="187" spans="1:22" ht="15" customHeight="1">
      <c r="A187" s="174">
        <v>32</v>
      </c>
      <c r="B187" s="179">
        <v>2</v>
      </c>
      <c r="C187" s="20" t="s">
        <v>370</v>
      </c>
      <c r="D187" s="2"/>
      <c r="E187" s="2"/>
      <c r="F187" s="2"/>
      <c r="G187" s="2"/>
      <c r="H187" s="2"/>
      <c r="I187" s="2"/>
      <c r="J187" s="2"/>
      <c r="K187" s="2"/>
      <c r="L187" s="20" t="s">
        <v>369</v>
      </c>
      <c r="M187" s="2"/>
      <c r="N187" s="20" t="s">
        <v>308</v>
      </c>
      <c r="O187" s="2"/>
      <c r="P187" s="20" t="s">
        <v>377</v>
      </c>
      <c r="Q187" s="20"/>
      <c r="R187" s="198">
        <v>1</v>
      </c>
      <c r="S187" s="2"/>
      <c r="V187" s="38">
        <v>187</v>
      </c>
    </row>
    <row r="188" spans="1:22" ht="15" customHeight="1">
      <c r="A188" s="201">
        <v>33</v>
      </c>
      <c r="B188" s="178">
        <v>1</v>
      </c>
      <c r="C188" s="194" t="s">
        <v>361</v>
      </c>
      <c r="D188" s="194"/>
      <c r="E188" s="194" t="s">
        <v>378</v>
      </c>
      <c r="F188" s="194">
        <v>20</v>
      </c>
      <c r="G188" s="194"/>
      <c r="H188" s="194"/>
      <c r="I188" s="194"/>
      <c r="J188" s="194"/>
      <c r="K188" s="194" t="s">
        <v>379</v>
      </c>
      <c r="L188" s="194" t="s">
        <v>369</v>
      </c>
      <c r="M188" s="194">
        <v>180</v>
      </c>
      <c r="N188" s="194" t="s">
        <v>308</v>
      </c>
      <c r="O188" s="199" t="s">
        <v>366</v>
      </c>
      <c r="P188" s="199" t="s">
        <v>368</v>
      </c>
      <c r="Q188" s="199">
        <v>5</v>
      </c>
      <c r="R188" s="197"/>
      <c r="S188" s="2"/>
      <c r="V188" s="38">
        <v>188</v>
      </c>
    </row>
    <row r="189" spans="1:22" ht="15" customHeight="1">
      <c r="A189" s="200">
        <v>33</v>
      </c>
      <c r="B189" s="179">
        <v>2</v>
      </c>
      <c r="C189" s="20" t="s">
        <v>361</v>
      </c>
      <c r="D189" s="20"/>
      <c r="E189" s="20" t="s">
        <v>378</v>
      </c>
      <c r="F189" s="20">
        <v>20</v>
      </c>
      <c r="G189" s="20"/>
      <c r="H189" s="20"/>
      <c r="I189" s="20"/>
      <c r="J189" s="20"/>
      <c r="K189" s="20" t="s">
        <v>379</v>
      </c>
      <c r="L189" s="20" t="s">
        <v>369</v>
      </c>
      <c r="M189" s="20">
        <v>180</v>
      </c>
      <c r="N189" s="20" t="s">
        <v>308</v>
      </c>
      <c r="O189" s="12" t="s">
        <v>366</v>
      </c>
      <c r="P189" s="12" t="s">
        <v>368</v>
      </c>
      <c r="Q189" s="12">
        <v>5</v>
      </c>
      <c r="R189" s="198"/>
      <c r="S189" s="2"/>
      <c r="V189" s="38">
        <v>189</v>
      </c>
    </row>
    <row r="190" spans="1:22" ht="15" customHeight="1">
      <c r="A190" s="200">
        <v>33</v>
      </c>
      <c r="B190" s="179">
        <v>3</v>
      </c>
      <c r="C190" s="20" t="s">
        <v>361</v>
      </c>
      <c r="D190" s="20"/>
      <c r="E190" s="20" t="s">
        <v>378</v>
      </c>
      <c r="F190" s="20">
        <v>20</v>
      </c>
      <c r="G190" s="20"/>
      <c r="H190" s="20"/>
      <c r="I190" s="20"/>
      <c r="J190" s="20"/>
      <c r="K190" s="20" t="s">
        <v>379</v>
      </c>
      <c r="L190" s="20" t="s">
        <v>369</v>
      </c>
      <c r="M190" s="20">
        <v>180</v>
      </c>
      <c r="N190" s="20" t="s">
        <v>308</v>
      </c>
      <c r="O190" s="12" t="s">
        <v>366</v>
      </c>
      <c r="P190" s="12" t="s">
        <v>368</v>
      </c>
      <c r="Q190" s="12">
        <v>5</v>
      </c>
      <c r="R190" s="198"/>
      <c r="S190" s="2"/>
      <c r="V190" s="38">
        <v>190</v>
      </c>
    </row>
    <row r="191" spans="1:22" ht="15" customHeight="1">
      <c r="A191" s="200">
        <v>33</v>
      </c>
      <c r="B191" s="179">
        <v>4</v>
      </c>
      <c r="C191" s="20" t="s">
        <v>361</v>
      </c>
      <c r="D191" s="20"/>
      <c r="E191" s="20" t="s">
        <v>378</v>
      </c>
      <c r="F191" s="20">
        <v>20</v>
      </c>
      <c r="G191" s="20"/>
      <c r="H191" s="20"/>
      <c r="I191" s="20"/>
      <c r="J191" s="20"/>
      <c r="K191" s="20" t="s">
        <v>379</v>
      </c>
      <c r="L191" s="20" t="s">
        <v>369</v>
      </c>
      <c r="M191" s="20">
        <v>180</v>
      </c>
      <c r="N191" s="20" t="s">
        <v>308</v>
      </c>
      <c r="O191" s="12" t="s">
        <v>366</v>
      </c>
      <c r="P191" s="12" t="s">
        <v>368</v>
      </c>
      <c r="Q191" s="12">
        <v>5</v>
      </c>
      <c r="R191" s="198"/>
      <c r="S191" s="2"/>
      <c r="V191" s="38">
        <v>191</v>
      </c>
    </row>
    <row r="192" spans="1:22" ht="15" customHeight="1">
      <c r="A192" s="177">
        <v>34</v>
      </c>
      <c r="B192" s="178">
        <v>1</v>
      </c>
      <c r="C192" s="194" t="s">
        <v>361</v>
      </c>
      <c r="D192" s="206"/>
      <c r="E192" s="206"/>
      <c r="F192" s="206"/>
      <c r="G192" s="206"/>
      <c r="H192" s="206"/>
      <c r="I192" s="206"/>
      <c r="J192" s="206"/>
      <c r="K192" s="206"/>
      <c r="L192" s="194" t="s">
        <v>369</v>
      </c>
      <c r="M192" s="206"/>
      <c r="N192" s="206"/>
      <c r="O192" s="199" t="s">
        <v>366</v>
      </c>
      <c r="P192" s="199" t="s">
        <v>368</v>
      </c>
      <c r="Q192" s="199">
        <v>1</v>
      </c>
      <c r="R192" s="207"/>
      <c r="S192" s="2"/>
      <c r="V192" s="38">
        <v>192</v>
      </c>
    </row>
    <row r="193" spans="1:22" ht="15" customHeight="1">
      <c r="A193" s="174">
        <v>34</v>
      </c>
      <c r="B193" s="179">
        <v>2</v>
      </c>
      <c r="C193" s="20" t="s">
        <v>361</v>
      </c>
      <c r="D193" s="2"/>
      <c r="E193" s="2"/>
      <c r="F193" s="2"/>
      <c r="G193" s="2"/>
      <c r="H193" s="2"/>
      <c r="I193" s="2"/>
      <c r="J193" s="2"/>
      <c r="K193" s="2"/>
      <c r="L193" s="20" t="s">
        <v>369</v>
      </c>
      <c r="M193" s="2"/>
      <c r="N193" s="2"/>
      <c r="O193" s="12" t="s">
        <v>366</v>
      </c>
      <c r="P193" s="12" t="s">
        <v>368</v>
      </c>
      <c r="Q193" s="12">
        <v>1</v>
      </c>
      <c r="R193" s="208"/>
      <c r="S193" s="2"/>
      <c r="V193" s="38">
        <v>193</v>
      </c>
    </row>
    <row r="194" spans="1:22" ht="15" customHeight="1">
      <c r="A194" s="174">
        <v>34</v>
      </c>
      <c r="B194" s="179">
        <v>3</v>
      </c>
      <c r="C194" s="20" t="s">
        <v>361</v>
      </c>
      <c r="D194" s="2"/>
      <c r="E194" s="2"/>
      <c r="F194" s="2"/>
      <c r="G194" s="2"/>
      <c r="H194" s="2"/>
      <c r="I194" s="2"/>
      <c r="J194" s="2"/>
      <c r="K194" s="2"/>
      <c r="L194" s="20" t="s">
        <v>369</v>
      </c>
      <c r="M194" s="2"/>
      <c r="N194" s="2"/>
      <c r="O194" s="12" t="s">
        <v>366</v>
      </c>
      <c r="P194" s="12" t="s">
        <v>368</v>
      </c>
      <c r="Q194" s="12">
        <v>1</v>
      </c>
      <c r="R194" s="208"/>
      <c r="S194" s="2"/>
      <c r="V194" s="38">
        <v>194</v>
      </c>
    </row>
    <row r="195" spans="1:22" ht="15" customHeight="1">
      <c r="A195" s="174">
        <v>34</v>
      </c>
      <c r="B195" s="179">
        <v>4</v>
      </c>
      <c r="C195" s="20" t="s">
        <v>361</v>
      </c>
      <c r="D195" s="2"/>
      <c r="E195" s="2"/>
      <c r="F195" s="2"/>
      <c r="G195" s="2"/>
      <c r="H195" s="2"/>
      <c r="I195" s="2"/>
      <c r="J195" s="2"/>
      <c r="K195" s="2"/>
      <c r="L195" s="20" t="s">
        <v>369</v>
      </c>
      <c r="M195" s="2"/>
      <c r="N195" s="2"/>
      <c r="O195" s="12" t="s">
        <v>366</v>
      </c>
      <c r="P195" s="12" t="s">
        <v>368</v>
      </c>
      <c r="Q195" s="12">
        <v>1</v>
      </c>
      <c r="R195" s="208"/>
      <c r="S195" s="2"/>
      <c r="V195" s="38">
        <v>195</v>
      </c>
    </row>
    <row r="196" spans="1:22" ht="15" customHeight="1">
      <c r="A196" s="201">
        <v>35</v>
      </c>
      <c r="B196" s="58">
        <v>1</v>
      </c>
      <c r="C196" s="194" t="s">
        <v>361</v>
      </c>
      <c r="D196" s="206"/>
      <c r="E196" s="194" t="s">
        <v>378</v>
      </c>
      <c r="F196" s="194">
        <v>50</v>
      </c>
      <c r="G196" s="194"/>
      <c r="H196" s="194"/>
      <c r="I196" s="194"/>
      <c r="J196" s="194"/>
      <c r="K196" s="194" t="s">
        <v>379</v>
      </c>
      <c r="L196" s="199" t="s">
        <v>365</v>
      </c>
      <c r="M196" s="206">
        <v>180</v>
      </c>
      <c r="N196" s="194" t="s">
        <v>308</v>
      </c>
      <c r="O196" s="199" t="s">
        <v>366</v>
      </c>
      <c r="P196" s="199" t="s">
        <v>368</v>
      </c>
      <c r="Q196" s="206"/>
      <c r="R196" s="207"/>
      <c r="S196" s="2"/>
      <c r="V196" s="38">
        <v>196</v>
      </c>
    </row>
    <row r="197" spans="1:22" ht="15" customHeight="1">
      <c r="A197" s="200">
        <v>35</v>
      </c>
      <c r="B197" s="59">
        <v>2</v>
      </c>
      <c r="C197" s="20" t="s">
        <v>361</v>
      </c>
      <c r="D197" s="2"/>
      <c r="E197" s="20" t="s">
        <v>378</v>
      </c>
      <c r="F197" s="20">
        <v>50</v>
      </c>
      <c r="G197" s="20"/>
      <c r="H197" s="20"/>
      <c r="I197" s="20"/>
      <c r="J197" s="20"/>
      <c r="K197" s="20" t="s">
        <v>379</v>
      </c>
      <c r="L197" s="12" t="s">
        <v>365</v>
      </c>
      <c r="M197" s="2">
        <v>180</v>
      </c>
      <c r="N197" s="20" t="s">
        <v>308</v>
      </c>
      <c r="O197" s="12" t="s">
        <v>366</v>
      </c>
      <c r="P197" s="12" t="s">
        <v>368</v>
      </c>
      <c r="Q197" s="2"/>
      <c r="R197" s="208"/>
      <c r="S197" s="2"/>
      <c r="V197" s="38">
        <v>197</v>
      </c>
    </row>
    <row r="198" spans="1:22" ht="15" customHeight="1">
      <c r="A198" s="200">
        <v>35</v>
      </c>
      <c r="B198" s="59">
        <v>3</v>
      </c>
      <c r="C198" s="20" t="s">
        <v>361</v>
      </c>
      <c r="D198" s="2"/>
      <c r="E198" s="20" t="s">
        <v>378</v>
      </c>
      <c r="F198" s="20">
        <v>50</v>
      </c>
      <c r="G198" s="20"/>
      <c r="H198" s="20"/>
      <c r="I198" s="20"/>
      <c r="J198" s="20"/>
      <c r="K198" s="20" t="s">
        <v>379</v>
      </c>
      <c r="L198" s="12" t="s">
        <v>365</v>
      </c>
      <c r="M198" s="2">
        <v>180</v>
      </c>
      <c r="N198" s="20" t="s">
        <v>308</v>
      </c>
      <c r="O198" s="12" t="s">
        <v>366</v>
      </c>
      <c r="P198" s="12" t="s">
        <v>368</v>
      </c>
      <c r="Q198" s="2"/>
      <c r="R198" s="208"/>
      <c r="S198" s="2"/>
      <c r="V198" s="38">
        <v>198</v>
      </c>
    </row>
    <row r="199" spans="1:22" ht="15" customHeight="1">
      <c r="A199" s="202">
        <v>35</v>
      </c>
      <c r="B199" s="203">
        <v>4</v>
      </c>
      <c r="C199" s="26" t="s">
        <v>361</v>
      </c>
      <c r="D199" s="30"/>
      <c r="E199" s="26" t="s">
        <v>378</v>
      </c>
      <c r="F199" s="26">
        <v>50</v>
      </c>
      <c r="G199" s="26"/>
      <c r="H199" s="26"/>
      <c r="I199" s="26"/>
      <c r="J199" s="26"/>
      <c r="K199" s="26" t="s">
        <v>379</v>
      </c>
      <c r="L199" s="24" t="s">
        <v>365</v>
      </c>
      <c r="M199" s="30">
        <v>180</v>
      </c>
      <c r="N199" s="26" t="s">
        <v>308</v>
      </c>
      <c r="O199" s="24" t="s">
        <v>366</v>
      </c>
      <c r="P199" s="12" t="s">
        <v>368</v>
      </c>
      <c r="Q199" s="30"/>
      <c r="R199" s="209"/>
      <c r="S199" s="2"/>
      <c r="V199" s="38">
        <v>199</v>
      </c>
    </row>
    <row r="200" spans="1:22" ht="15" customHeight="1">
      <c r="A200" s="205">
        <v>36</v>
      </c>
      <c r="B200" s="59">
        <v>1</v>
      </c>
      <c r="C200" s="194" t="s">
        <v>370</v>
      </c>
      <c r="D200" s="2"/>
      <c r="E200" s="2"/>
      <c r="F200" s="2"/>
      <c r="G200" s="2"/>
      <c r="H200" s="2"/>
      <c r="I200" s="2"/>
      <c r="J200" s="2"/>
      <c r="K200" s="2"/>
      <c r="L200" s="20" t="s">
        <v>369</v>
      </c>
      <c r="M200" s="2"/>
      <c r="N200" s="20" t="s">
        <v>308</v>
      </c>
      <c r="O200" s="2"/>
      <c r="P200" s="199" t="s">
        <v>374</v>
      </c>
      <c r="Q200" s="2"/>
      <c r="R200" s="198">
        <v>1</v>
      </c>
      <c r="S200" s="2"/>
      <c r="V200" s="38">
        <v>200</v>
      </c>
    </row>
    <row r="201" spans="1:22" ht="15" customHeight="1">
      <c r="A201" s="205">
        <v>36</v>
      </c>
      <c r="B201" s="59">
        <v>2</v>
      </c>
      <c r="C201" s="20" t="s">
        <v>370</v>
      </c>
      <c r="L201" s="20" t="s">
        <v>369</v>
      </c>
      <c r="N201" s="20" t="s">
        <v>308</v>
      </c>
      <c r="O201" s="2"/>
      <c r="P201" s="12" t="s">
        <v>374</v>
      </c>
      <c r="Q201" s="2"/>
      <c r="R201" s="198">
        <v>1</v>
      </c>
      <c r="S201" s="2"/>
      <c r="V201" s="38">
        <v>201</v>
      </c>
    </row>
    <row r="202" spans="1:22" ht="15" customHeight="1">
      <c r="A202" s="205">
        <v>36</v>
      </c>
      <c r="B202" s="59">
        <v>3</v>
      </c>
      <c r="C202" s="20" t="s">
        <v>370</v>
      </c>
      <c r="L202" s="20" t="s">
        <v>369</v>
      </c>
      <c r="N202" s="20" t="s">
        <v>308</v>
      </c>
      <c r="O202" s="2"/>
      <c r="P202" s="12" t="s">
        <v>374</v>
      </c>
      <c r="Q202" s="2"/>
      <c r="R202" s="198">
        <v>1</v>
      </c>
      <c r="S202" s="2"/>
      <c r="V202" s="38">
        <v>202</v>
      </c>
    </row>
    <row r="203" spans="1:22" ht="15" customHeight="1">
      <c r="A203" s="205">
        <v>36</v>
      </c>
      <c r="B203" s="59">
        <v>4</v>
      </c>
      <c r="C203" s="20" t="s">
        <v>370</v>
      </c>
      <c r="D203" s="2"/>
      <c r="E203" s="2"/>
      <c r="F203" s="2"/>
      <c r="G203" s="2"/>
      <c r="H203" s="2"/>
      <c r="I203" s="2"/>
      <c r="J203" s="2"/>
      <c r="K203" s="2"/>
      <c r="L203" s="20" t="s">
        <v>369</v>
      </c>
      <c r="M203" s="2"/>
      <c r="N203" s="20" t="s">
        <v>308</v>
      </c>
      <c r="O203" s="2"/>
      <c r="P203" s="12" t="s">
        <v>374</v>
      </c>
      <c r="Q203" s="2"/>
      <c r="R203" s="198">
        <v>1</v>
      </c>
      <c r="S203" s="2"/>
      <c r="V203" s="38">
        <v>203</v>
      </c>
    </row>
    <row r="204" spans="1:22" ht="15" customHeight="1">
      <c r="A204" s="201">
        <v>37</v>
      </c>
      <c r="B204" s="178">
        <v>1</v>
      </c>
      <c r="C204" s="194" t="s">
        <v>370</v>
      </c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194" t="s">
        <v>308</v>
      </c>
      <c r="O204" s="206"/>
      <c r="P204" s="199" t="s">
        <v>377</v>
      </c>
      <c r="Q204" s="206"/>
      <c r="R204" s="207"/>
      <c r="S204" s="2"/>
      <c r="V204" s="38">
        <v>204</v>
      </c>
    </row>
    <row r="205" spans="1:22" ht="15" customHeight="1">
      <c r="A205" s="200">
        <v>37</v>
      </c>
      <c r="B205" s="179">
        <v>2</v>
      </c>
      <c r="C205" s="20" t="s">
        <v>370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0" t="s">
        <v>308</v>
      </c>
      <c r="O205" s="2"/>
      <c r="P205" s="12" t="s">
        <v>377</v>
      </c>
      <c r="Q205" s="2"/>
      <c r="R205" s="208"/>
      <c r="S205" s="2"/>
      <c r="V205" s="38">
        <v>205</v>
      </c>
    </row>
    <row r="206" spans="1:22" ht="15" customHeight="1">
      <c r="A206" s="200">
        <v>37</v>
      </c>
      <c r="B206" s="179">
        <v>3</v>
      </c>
      <c r="C206" s="20" t="s">
        <v>370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0" t="s">
        <v>308</v>
      </c>
      <c r="O206" s="2"/>
      <c r="P206" s="12" t="s">
        <v>377</v>
      </c>
      <c r="Q206" s="2"/>
      <c r="R206" s="208"/>
      <c r="S206" s="2"/>
      <c r="V206" s="38">
        <v>206</v>
      </c>
    </row>
    <row r="207" spans="1:22" ht="15" customHeight="1">
      <c r="A207" s="200">
        <v>37</v>
      </c>
      <c r="B207" s="179">
        <v>4</v>
      </c>
      <c r="C207" s="20" t="s">
        <v>370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0" t="s">
        <v>308</v>
      </c>
      <c r="O207" s="2"/>
      <c r="P207" s="12" t="s">
        <v>377</v>
      </c>
      <c r="Q207" s="2"/>
      <c r="R207" s="208"/>
      <c r="S207" s="2"/>
      <c r="V207" s="38">
        <v>207</v>
      </c>
    </row>
    <row r="208" spans="1:22" ht="15" customHeight="1">
      <c r="A208" s="200">
        <v>37</v>
      </c>
      <c r="B208" s="179">
        <v>5</v>
      </c>
      <c r="C208" s="20" t="s">
        <v>370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0" t="s">
        <v>308</v>
      </c>
      <c r="O208" s="2"/>
      <c r="P208" s="12" t="s">
        <v>377</v>
      </c>
      <c r="Q208" s="2"/>
      <c r="R208" s="208"/>
      <c r="S208" s="2"/>
      <c r="V208" s="38">
        <v>208</v>
      </c>
    </row>
    <row r="209" spans="1:22" ht="15" customHeight="1">
      <c r="A209" s="200">
        <v>37</v>
      </c>
      <c r="B209" s="179">
        <v>6</v>
      </c>
      <c r="C209" s="20" t="s">
        <v>370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0" t="s">
        <v>308</v>
      </c>
      <c r="O209" s="2"/>
      <c r="P209" s="12" t="s">
        <v>377</v>
      </c>
      <c r="Q209" s="2"/>
      <c r="R209" s="208"/>
      <c r="S209" s="2"/>
      <c r="V209" s="38">
        <v>209</v>
      </c>
    </row>
    <row r="210" spans="1:22" ht="15" customHeight="1">
      <c r="A210" s="200">
        <v>37</v>
      </c>
      <c r="B210" s="179">
        <v>7</v>
      </c>
      <c r="C210" s="20" t="s">
        <v>370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0" t="s">
        <v>308</v>
      </c>
      <c r="O210" s="2"/>
      <c r="P210" s="12" t="s">
        <v>377</v>
      </c>
      <c r="Q210" s="2"/>
      <c r="R210" s="208"/>
      <c r="S210" s="2"/>
      <c r="V210" s="38">
        <v>210</v>
      </c>
    </row>
    <row r="211" spans="1:22" ht="15" customHeight="1">
      <c r="A211" s="201">
        <v>38</v>
      </c>
      <c r="B211" s="58">
        <v>1</v>
      </c>
      <c r="C211" s="194" t="s">
        <v>361</v>
      </c>
      <c r="D211" s="199" t="s">
        <v>362</v>
      </c>
      <c r="E211" s="194"/>
      <c r="F211" s="194"/>
      <c r="G211" s="194"/>
      <c r="H211" s="194"/>
      <c r="I211" s="194"/>
      <c r="J211" s="194"/>
      <c r="K211" s="194"/>
      <c r="L211" s="194" t="s">
        <v>369</v>
      </c>
      <c r="M211" s="194">
        <v>180</v>
      </c>
      <c r="N211" s="194" t="s">
        <v>308</v>
      </c>
      <c r="O211" s="199" t="s">
        <v>366</v>
      </c>
      <c r="P211" s="194"/>
      <c r="Q211" s="194">
        <v>0.5</v>
      </c>
      <c r="R211" s="197"/>
      <c r="S211" s="2"/>
      <c r="V211" s="38">
        <v>211</v>
      </c>
    </row>
    <row r="212" spans="1:22" ht="15" customHeight="1">
      <c r="A212" s="200">
        <v>38</v>
      </c>
      <c r="B212" s="59">
        <v>2</v>
      </c>
      <c r="C212" s="20" t="s">
        <v>361</v>
      </c>
      <c r="D212" s="12" t="s">
        <v>362</v>
      </c>
      <c r="E212" s="20"/>
      <c r="F212" s="20"/>
      <c r="G212" s="20"/>
      <c r="H212" s="20"/>
      <c r="I212" s="20"/>
      <c r="J212" s="20"/>
      <c r="K212" s="20"/>
      <c r="L212" s="20" t="s">
        <v>369</v>
      </c>
      <c r="M212" s="20">
        <v>180</v>
      </c>
      <c r="N212" s="20" t="s">
        <v>308</v>
      </c>
      <c r="O212" s="12" t="s">
        <v>366</v>
      </c>
      <c r="P212" s="20"/>
      <c r="Q212" s="20">
        <v>0.5</v>
      </c>
      <c r="R212" s="198"/>
      <c r="S212" s="2"/>
      <c r="V212" s="38">
        <v>212</v>
      </c>
    </row>
    <row r="213" spans="1:22" ht="15" customHeight="1">
      <c r="A213" s="200">
        <v>38</v>
      </c>
      <c r="B213" s="59">
        <v>3</v>
      </c>
      <c r="C213" s="20" t="s">
        <v>361</v>
      </c>
      <c r="D213" s="12" t="s">
        <v>362</v>
      </c>
      <c r="E213" s="20"/>
      <c r="F213" s="20"/>
      <c r="G213" s="20"/>
      <c r="H213" s="20"/>
      <c r="I213" s="20"/>
      <c r="J213" s="20"/>
      <c r="K213" s="20"/>
      <c r="L213" s="20" t="s">
        <v>369</v>
      </c>
      <c r="M213" s="20">
        <v>180</v>
      </c>
      <c r="N213" s="20" t="s">
        <v>308</v>
      </c>
      <c r="O213" s="12" t="s">
        <v>366</v>
      </c>
      <c r="P213" s="20"/>
      <c r="Q213" s="20">
        <v>0.5</v>
      </c>
      <c r="R213" s="198"/>
      <c r="S213" s="2"/>
      <c r="V213" s="38">
        <v>213</v>
      </c>
    </row>
    <row r="214" spans="1:22" ht="15" customHeight="1">
      <c r="A214" s="200">
        <v>38</v>
      </c>
      <c r="B214" s="59">
        <v>4</v>
      </c>
      <c r="C214" s="20" t="s">
        <v>361</v>
      </c>
      <c r="D214" s="12" t="s">
        <v>362</v>
      </c>
      <c r="E214" s="20"/>
      <c r="F214" s="20"/>
      <c r="G214" s="20"/>
      <c r="H214" s="20"/>
      <c r="I214" s="20"/>
      <c r="J214" s="20"/>
      <c r="K214" s="20"/>
      <c r="L214" s="20" t="s">
        <v>369</v>
      </c>
      <c r="M214" s="20">
        <v>185</v>
      </c>
      <c r="N214" s="20" t="s">
        <v>308</v>
      </c>
      <c r="O214" s="12" t="s">
        <v>366</v>
      </c>
      <c r="P214" s="20"/>
      <c r="Q214" s="20">
        <v>0.5</v>
      </c>
      <c r="R214" s="198"/>
      <c r="S214" s="2"/>
      <c r="V214" s="38">
        <v>214</v>
      </c>
    </row>
    <row r="215" spans="1:22" ht="15" customHeight="1">
      <c r="A215" s="200">
        <v>38</v>
      </c>
      <c r="B215" s="59">
        <v>5</v>
      </c>
      <c r="C215" s="20" t="s">
        <v>361</v>
      </c>
      <c r="D215" s="12" t="s">
        <v>362</v>
      </c>
      <c r="E215" s="20"/>
      <c r="F215" s="20"/>
      <c r="G215" s="20"/>
      <c r="H215" s="20"/>
      <c r="I215" s="20"/>
      <c r="J215" s="20"/>
      <c r="K215" s="20"/>
      <c r="L215" s="20" t="s">
        <v>369</v>
      </c>
      <c r="M215" s="20">
        <v>185</v>
      </c>
      <c r="N215" s="20" t="s">
        <v>308</v>
      </c>
      <c r="O215" s="12" t="s">
        <v>366</v>
      </c>
      <c r="P215" s="20"/>
      <c r="Q215" s="20">
        <v>0.5</v>
      </c>
      <c r="R215" s="198"/>
      <c r="S215" s="2"/>
      <c r="V215" s="38">
        <v>215</v>
      </c>
    </row>
    <row r="216" spans="1:22" ht="15" customHeight="1">
      <c r="A216" s="202">
        <v>38</v>
      </c>
      <c r="B216" s="203">
        <v>6</v>
      </c>
      <c r="C216" s="20" t="s">
        <v>361</v>
      </c>
      <c r="D216" s="12" t="s">
        <v>362</v>
      </c>
      <c r="E216" s="26"/>
      <c r="F216" s="26"/>
      <c r="G216" s="26"/>
      <c r="H216" s="26"/>
      <c r="I216" s="26"/>
      <c r="J216" s="26"/>
      <c r="K216" s="26"/>
      <c r="L216" s="26" t="s">
        <v>369</v>
      </c>
      <c r="M216" s="26">
        <v>185</v>
      </c>
      <c r="N216" s="26" t="s">
        <v>308</v>
      </c>
      <c r="O216" s="24" t="s">
        <v>366</v>
      </c>
      <c r="P216" s="26"/>
      <c r="Q216" s="20">
        <v>0.5</v>
      </c>
      <c r="R216" s="204"/>
      <c r="S216" s="2"/>
      <c r="V216" s="38">
        <v>216</v>
      </c>
    </row>
    <row r="217" spans="1:22" ht="15" customHeight="1">
      <c r="A217" s="205">
        <v>39</v>
      </c>
      <c r="B217" s="59">
        <v>1</v>
      </c>
      <c r="C217" s="194" t="s">
        <v>361</v>
      </c>
      <c r="D217" s="199" t="s">
        <v>362</v>
      </c>
      <c r="E217" s="2"/>
      <c r="F217" s="2"/>
      <c r="G217" s="2"/>
      <c r="H217" s="2"/>
      <c r="I217" s="2"/>
      <c r="J217" s="2"/>
      <c r="K217" s="2"/>
      <c r="L217" s="12" t="s">
        <v>365</v>
      </c>
      <c r="M217" s="20">
        <v>190</v>
      </c>
      <c r="N217" s="12" t="s">
        <v>308</v>
      </c>
      <c r="O217" s="12" t="s">
        <v>366</v>
      </c>
      <c r="P217" s="2"/>
      <c r="Q217" s="194">
        <v>1</v>
      </c>
      <c r="R217" s="208"/>
      <c r="S217" s="2"/>
      <c r="V217" s="38">
        <v>217</v>
      </c>
    </row>
    <row r="218" spans="1:22" ht="15" customHeight="1">
      <c r="A218" s="205">
        <v>39</v>
      </c>
      <c r="B218" s="59">
        <v>2</v>
      </c>
      <c r="C218" s="20" t="s">
        <v>361</v>
      </c>
      <c r="D218" s="12" t="s">
        <v>362</v>
      </c>
      <c r="L218" s="12" t="s">
        <v>365</v>
      </c>
      <c r="M218" s="20">
        <v>190</v>
      </c>
      <c r="N218" s="12" t="s">
        <v>308</v>
      </c>
      <c r="O218" s="12" t="s">
        <v>366</v>
      </c>
      <c r="P218" s="2"/>
      <c r="Q218" s="20">
        <v>1</v>
      </c>
      <c r="R218" s="208"/>
      <c r="S218" s="2"/>
      <c r="V218" s="38">
        <v>218</v>
      </c>
    </row>
    <row r="219" spans="1:22" ht="15" customHeight="1">
      <c r="A219" s="205">
        <v>39</v>
      </c>
      <c r="B219" s="59">
        <v>3</v>
      </c>
      <c r="C219" s="20" t="s">
        <v>361</v>
      </c>
      <c r="D219" s="12" t="s">
        <v>362</v>
      </c>
      <c r="L219" s="12" t="s">
        <v>365</v>
      </c>
      <c r="M219" s="20">
        <v>190</v>
      </c>
      <c r="N219" s="12" t="s">
        <v>308</v>
      </c>
      <c r="O219" s="12" t="s">
        <v>366</v>
      </c>
      <c r="P219" s="2"/>
      <c r="Q219" s="20">
        <v>1</v>
      </c>
      <c r="R219" s="208"/>
      <c r="S219" s="2"/>
      <c r="V219" s="38">
        <v>219</v>
      </c>
    </row>
    <row r="220" spans="1:22" ht="15" customHeight="1">
      <c r="A220" s="205">
        <v>39</v>
      </c>
      <c r="B220" s="59">
        <v>4</v>
      </c>
      <c r="C220" s="20" t="s">
        <v>361</v>
      </c>
      <c r="D220" s="12" t="s">
        <v>362</v>
      </c>
      <c r="L220" s="12" t="s">
        <v>365</v>
      </c>
      <c r="M220" s="20">
        <v>190</v>
      </c>
      <c r="N220" s="12" t="s">
        <v>308</v>
      </c>
      <c r="O220" s="12" t="s">
        <v>366</v>
      </c>
      <c r="P220" s="2"/>
      <c r="Q220" s="20">
        <v>1</v>
      </c>
      <c r="R220" s="208"/>
      <c r="S220" s="2"/>
      <c r="V220" s="38">
        <v>220</v>
      </c>
    </row>
    <row r="221" spans="1:22" ht="15" customHeight="1">
      <c r="A221" s="205">
        <v>39</v>
      </c>
      <c r="B221" s="59">
        <v>5</v>
      </c>
      <c r="C221" s="20" t="s">
        <v>361</v>
      </c>
      <c r="D221" s="12" t="s">
        <v>362</v>
      </c>
      <c r="L221" s="12" t="s">
        <v>365</v>
      </c>
      <c r="M221" s="20">
        <v>190</v>
      </c>
      <c r="N221" s="12" t="s">
        <v>308</v>
      </c>
      <c r="O221" s="12" t="s">
        <v>366</v>
      </c>
      <c r="P221" s="2"/>
      <c r="Q221" s="20">
        <v>1</v>
      </c>
      <c r="R221" s="208"/>
      <c r="S221" s="2"/>
      <c r="V221" s="38">
        <v>221</v>
      </c>
    </row>
    <row r="222" spans="1:22" ht="15" customHeight="1">
      <c r="A222" s="205">
        <v>39</v>
      </c>
      <c r="B222" s="59">
        <v>6</v>
      </c>
      <c r="C222" s="20" t="s">
        <v>361</v>
      </c>
      <c r="D222" s="12" t="s">
        <v>362</v>
      </c>
      <c r="L222" s="12" t="s">
        <v>365</v>
      </c>
      <c r="M222" s="20">
        <v>190</v>
      </c>
      <c r="N222" s="12" t="s">
        <v>308</v>
      </c>
      <c r="O222" s="12" t="s">
        <v>366</v>
      </c>
      <c r="P222" s="2"/>
      <c r="Q222" s="20">
        <v>1</v>
      </c>
      <c r="R222" s="208"/>
      <c r="S222" s="2"/>
      <c r="V222" s="38">
        <v>222</v>
      </c>
    </row>
    <row r="223" spans="1:22" ht="15" customHeight="1">
      <c r="A223" s="205">
        <v>39</v>
      </c>
      <c r="B223" s="59">
        <v>7</v>
      </c>
      <c r="C223" s="20" t="s">
        <v>361</v>
      </c>
      <c r="D223" s="12" t="s">
        <v>362</v>
      </c>
      <c r="L223" s="12" t="s">
        <v>365</v>
      </c>
      <c r="M223" s="20">
        <v>190</v>
      </c>
      <c r="N223" s="12" t="s">
        <v>308</v>
      </c>
      <c r="O223" s="12" t="s">
        <v>366</v>
      </c>
      <c r="P223" s="2"/>
      <c r="Q223" s="20">
        <v>1</v>
      </c>
      <c r="R223" s="208"/>
      <c r="S223" s="2"/>
      <c r="V223" s="38">
        <v>223</v>
      </c>
    </row>
    <row r="224" spans="1:22" ht="15" customHeight="1">
      <c r="A224" s="205">
        <v>39</v>
      </c>
      <c r="B224" s="59">
        <v>8</v>
      </c>
      <c r="C224" s="20" t="s">
        <v>361</v>
      </c>
      <c r="D224" s="12" t="s">
        <v>362</v>
      </c>
      <c r="E224" s="2"/>
      <c r="F224" s="2"/>
      <c r="G224" s="2"/>
      <c r="H224" s="2"/>
      <c r="I224" s="2"/>
      <c r="J224" s="2"/>
      <c r="K224" s="2"/>
      <c r="L224" s="12" t="s">
        <v>365</v>
      </c>
      <c r="M224" s="20">
        <v>190</v>
      </c>
      <c r="N224" s="24" t="s">
        <v>308</v>
      </c>
      <c r="O224" s="12" t="s">
        <v>366</v>
      </c>
      <c r="P224" s="2"/>
      <c r="Q224" s="26">
        <v>1</v>
      </c>
      <c r="R224" s="208"/>
      <c r="S224" s="2"/>
      <c r="V224" s="38">
        <v>224</v>
      </c>
    </row>
    <row r="225" spans="1:22" ht="15" customHeight="1">
      <c r="A225" s="177">
        <v>41</v>
      </c>
      <c r="B225" s="178">
        <v>1</v>
      </c>
      <c r="C225" s="199" t="s">
        <v>361</v>
      </c>
      <c r="D225" s="199" t="s">
        <v>362</v>
      </c>
      <c r="E225" s="199" t="s">
        <v>363</v>
      </c>
      <c r="F225" s="199">
        <v>25</v>
      </c>
      <c r="G225" s="199">
        <v>0.9</v>
      </c>
      <c r="H225" s="199"/>
      <c r="I225" s="199"/>
      <c r="J225" s="199">
        <v>1</v>
      </c>
      <c r="K225" s="199" t="s">
        <v>364</v>
      </c>
      <c r="L225" s="199" t="s">
        <v>365</v>
      </c>
      <c r="M225" s="199">
        <v>180</v>
      </c>
      <c r="N225" s="12" t="s">
        <v>308</v>
      </c>
      <c r="O225" s="199" t="s">
        <v>366</v>
      </c>
      <c r="P225" s="199" t="s">
        <v>377</v>
      </c>
      <c r="Q225" s="199">
        <v>1.25</v>
      </c>
      <c r="R225" s="189"/>
      <c r="S225" s="2"/>
      <c r="V225" s="38">
        <v>230</v>
      </c>
    </row>
    <row r="226" spans="1:22" ht="15" customHeight="1">
      <c r="A226" s="174">
        <v>41</v>
      </c>
      <c r="B226" s="179">
        <v>2</v>
      </c>
      <c r="C226" s="12" t="s">
        <v>361</v>
      </c>
      <c r="D226" s="12" t="s">
        <v>362</v>
      </c>
      <c r="E226" s="12" t="s">
        <v>363</v>
      </c>
      <c r="F226" s="12">
        <v>25</v>
      </c>
      <c r="G226" s="12">
        <v>0.9</v>
      </c>
      <c r="H226" s="12"/>
      <c r="I226" s="12"/>
      <c r="J226" s="12">
        <v>1</v>
      </c>
      <c r="K226" s="12" t="s">
        <v>364</v>
      </c>
      <c r="L226" s="12" t="s">
        <v>365</v>
      </c>
      <c r="M226" s="12">
        <v>180</v>
      </c>
      <c r="N226" s="12" t="s">
        <v>308</v>
      </c>
      <c r="O226" s="12" t="s">
        <v>366</v>
      </c>
      <c r="P226" s="12" t="s">
        <v>377</v>
      </c>
      <c r="Q226" s="12">
        <v>1.25</v>
      </c>
      <c r="R226" s="192"/>
      <c r="S226" s="2"/>
      <c r="V226" s="38">
        <v>231</v>
      </c>
    </row>
    <row r="227" spans="1:22" ht="15" customHeight="1">
      <c r="A227" s="174">
        <v>41</v>
      </c>
      <c r="B227" s="179">
        <v>3</v>
      </c>
      <c r="C227" s="12" t="s">
        <v>361</v>
      </c>
      <c r="D227" s="12" t="s">
        <v>362</v>
      </c>
      <c r="E227" s="12" t="s">
        <v>363</v>
      </c>
      <c r="F227" s="12">
        <v>25</v>
      </c>
      <c r="G227" s="12">
        <v>0.9</v>
      </c>
      <c r="H227" s="12"/>
      <c r="I227" s="12"/>
      <c r="J227" s="12">
        <v>1</v>
      </c>
      <c r="K227" s="12" t="s">
        <v>364</v>
      </c>
      <c r="L227" s="12" t="s">
        <v>365</v>
      </c>
      <c r="M227" s="12">
        <v>180</v>
      </c>
      <c r="N227" s="12" t="s">
        <v>308</v>
      </c>
      <c r="O227" s="12" t="s">
        <v>366</v>
      </c>
      <c r="P227" s="12" t="s">
        <v>377</v>
      </c>
      <c r="Q227" s="12">
        <v>1.25</v>
      </c>
      <c r="R227" s="192"/>
      <c r="S227" s="2"/>
      <c r="V227" s="38">
        <v>232</v>
      </c>
    </row>
    <row r="228" spans="1:22" ht="15" customHeight="1">
      <c r="A228" s="174">
        <v>41</v>
      </c>
      <c r="B228" s="179">
        <v>4</v>
      </c>
      <c r="C228" s="12" t="s">
        <v>361</v>
      </c>
      <c r="D228" s="12" t="s">
        <v>362</v>
      </c>
      <c r="E228" s="12" t="s">
        <v>363</v>
      </c>
      <c r="F228" s="12">
        <v>25</v>
      </c>
      <c r="G228" s="12">
        <v>0.9</v>
      </c>
      <c r="H228" s="12"/>
      <c r="I228" s="12"/>
      <c r="J228" s="12">
        <v>1</v>
      </c>
      <c r="K228" s="12" t="s">
        <v>364</v>
      </c>
      <c r="L228" s="12" t="s">
        <v>365</v>
      </c>
      <c r="M228" s="12">
        <v>180</v>
      </c>
      <c r="N228" s="12" t="s">
        <v>308</v>
      </c>
      <c r="O228" s="12" t="s">
        <v>366</v>
      </c>
      <c r="P228" s="12" t="s">
        <v>377</v>
      </c>
      <c r="Q228" s="12">
        <v>1.25</v>
      </c>
      <c r="R228" s="192"/>
      <c r="S228" s="2"/>
      <c r="V228" s="38">
        <v>233</v>
      </c>
    </row>
    <row r="229" spans="1:22" ht="15" customHeight="1">
      <c r="A229" s="174">
        <v>41</v>
      </c>
      <c r="B229" s="179">
        <v>5</v>
      </c>
      <c r="C229" s="12" t="s">
        <v>361</v>
      </c>
      <c r="D229" s="12" t="s">
        <v>362</v>
      </c>
      <c r="E229" s="12" t="s">
        <v>363</v>
      </c>
      <c r="F229" s="12">
        <v>25</v>
      </c>
      <c r="G229" s="12">
        <v>0.9</v>
      </c>
      <c r="H229" s="12"/>
      <c r="I229" s="12"/>
      <c r="J229" s="12">
        <v>1</v>
      </c>
      <c r="K229" s="12" t="s">
        <v>364</v>
      </c>
      <c r="L229" s="12" t="s">
        <v>365</v>
      </c>
      <c r="M229" s="12">
        <v>180</v>
      </c>
      <c r="N229" s="12" t="s">
        <v>308</v>
      </c>
      <c r="O229" s="12" t="s">
        <v>366</v>
      </c>
      <c r="P229" s="12" t="s">
        <v>377</v>
      </c>
      <c r="Q229" s="12">
        <v>1.25</v>
      </c>
      <c r="R229" s="192"/>
      <c r="S229" s="2"/>
      <c r="V229" s="38">
        <v>234</v>
      </c>
    </row>
    <row r="230" spans="1:22" ht="15" customHeight="1">
      <c r="A230" s="174">
        <v>41</v>
      </c>
      <c r="B230" s="179">
        <v>6</v>
      </c>
      <c r="C230" s="12" t="s">
        <v>361</v>
      </c>
      <c r="D230" s="12" t="s">
        <v>362</v>
      </c>
      <c r="E230" s="12" t="s">
        <v>363</v>
      </c>
      <c r="F230" s="12">
        <v>25</v>
      </c>
      <c r="G230" s="12">
        <v>0.9</v>
      </c>
      <c r="H230" s="12"/>
      <c r="I230" s="12"/>
      <c r="J230" s="12">
        <v>1</v>
      </c>
      <c r="K230" s="24" t="s">
        <v>364</v>
      </c>
      <c r="L230" s="12" t="s">
        <v>365</v>
      </c>
      <c r="M230" s="12">
        <v>180</v>
      </c>
      <c r="N230" s="12" t="s">
        <v>308</v>
      </c>
      <c r="O230" s="12" t="s">
        <v>366</v>
      </c>
      <c r="P230" s="12" t="s">
        <v>377</v>
      </c>
      <c r="Q230" s="12">
        <v>1.25</v>
      </c>
      <c r="R230" s="192"/>
      <c r="S230" s="2"/>
      <c r="V230" s="38">
        <v>235</v>
      </c>
    </row>
    <row r="231" spans="1:22" ht="15" customHeight="1">
      <c r="A231" s="177">
        <v>42</v>
      </c>
      <c r="B231" s="178" t="s">
        <v>220</v>
      </c>
      <c r="C231" s="199" t="s">
        <v>361</v>
      </c>
      <c r="D231" s="199" t="s">
        <v>362</v>
      </c>
      <c r="E231" s="199" t="s">
        <v>363</v>
      </c>
      <c r="F231" s="199">
        <v>25</v>
      </c>
      <c r="G231" s="199">
        <v>1.5</v>
      </c>
      <c r="H231" s="206"/>
      <c r="I231" s="206"/>
      <c r="J231" s="206"/>
      <c r="K231" s="12" t="s">
        <v>364</v>
      </c>
      <c r="L231" s="194" t="s">
        <v>369</v>
      </c>
      <c r="M231" s="199">
        <v>180</v>
      </c>
      <c r="N231" s="199" t="s">
        <v>308</v>
      </c>
      <c r="O231" s="199" t="s">
        <v>366</v>
      </c>
      <c r="P231" s="199" t="s">
        <v>368</v>
      </c>
      <c r="Q231" s="206"/>
      <c r="R231" s="207"/>
      <c r="S231" s="2"/>
      <c r="V231" s="38">
        <v>236</v>
      </c>
    </row>
    <row r="232" spans="1:22" ht="15" customHeight="1">
      <c r="A232" s="174">
        <v>42</v>
      </c>
      <c r="B232" s="179" t="s">
        <v>221</v>
      </c>
      <c r="C232" s="12" t="s">
        <v>361</v>
      </c>
      <c r="D232" s="12" t="s">
        <v>362</v>
      </c>
      <c r="E232" s="12" t="s">
        <v>363</v>
      </c>
      <c r="F232" s="12">
        <v>25</v>
      </c>
      <c r="G232" s="12">
        <v>1.5</v>
      </c>
      <c r="H232" s="2"/>
      <c r="I232" s="2"/>
      <c r="J232" s="2"/>
      <c r="K232" s="12" t="s">
        <v>364</v>
      </c>
      <c r="L232" s="20" t="s">
        <v>369</v>
      </c>
      <c r="M232" s="12">
        <v>180</v>
      </c>
      <c r="N232" s="12" t="s">
        <v>308</v>
      </c>
      <c r="O232" s="12" t="s">
        <v>366</v>
      </c>
      <c r="P232" s="12" t="s">
        <v>368</v>
      </c>
      <c r="Q232" s="2"/>
      <c r="R232" s="208"/>
      <c r="S232" s="2"/>
      <c r="V232" s="38">
        <v>237</v>
      </c>
    </row>
    <row r="233" spans="1:22" ht="15" customHeight="1">
      <c r="A233" s="174">
        <v>42</v>
      </c>
      <c r="B233" s="179" t="s">
        <v>222</v>
      </c>
      <c r="C233" s="12" t="s">
        <v>361</v>
      </c>
      <c r="D233" s="12" t="s">
        <v>362</v>
      </c>
      <c r="E233" s="12" t="s">
        <v>363</v>
      </c>
      <c r="F233" s="12">
        <v>25</v>
      </c>
      <c r="G233" s="12">
        <v>1.5</v>
      </c>
      <c r="H233" s="2"/>
      <c r="I233" s="2"/>
      <c r="J233" s="2"/>
      <c r="K233" s="12" t="s">
        <v>364</v>
      </c>
      <c r="L233" s="20" t="s">
        <v>369</v>
      </c>
      <c r="M233" s="12">
        <v>180</v>
      </c>
      <c r="N233" s="12" t="s">
        <v>308</v>
      </c>
      <c r="O233" s="12" t="s">
        <v>366</v>
      </c>
      <c r="P233" s="12" t="s">
        <v>368</v>
      </c>
      <c r="Q233" s="2"/>
      <c r="R233" s="208"/>
      <c r="S233" s="2"/>
      <c r="V233" s="38">
        <v>238</v>
      </c>
    </row>
    <row r="234" spans="1:22" ht="15" customHeight="1">
      <c r="A234" s="174">
        <v>42</v>
      </c>
      <c r="B234" s="179" t="s">
        <v>224</v>
      </c>
      <c r="C234" s="20" t="s">
        <v>370</v>
      </c>
      <c r="D234" s="100" t="s">
        <v>371</v>
      </c>
      <c r="E234" s="12" t="s">
        <v>363</v>
      </c>
      <c r="F234" s="12">
        <v>25</v>
      </c>
      <c r="G234" s="12">
        <v>1.5</v>
      </c>
      <c r="H234" s="2"/>
      <c r="I234" s="2"/>
      <c r="J234" s="2"/>
      <c r="K234" s="12" t="s">
        <v>364</v>
      </c>
      <c r="L234" s="20" t="s">
        <v>369</v>
      </c>
      <c r="M234" s="2"/>
      <c r="N234" s="12" t="s">
        <v>308</v>
      </c>
      <c r="O234" s="2"/>
      <c r="P234" s="12" t="s">
        <v>368</v>
      </c>
      <c r="Q234" s="2"/>
      <c r="R234" s="208"/>
      <c r="S234" s="2"/>
      <c r="V234" s="38">
        <v>239</v>
      </c>
    </row>
    <row r="235" spans="1:22" ht="15" customHeight="1">
      <c r="A235" s="174">
        <v>42</v>
      </c>
      <c r="B235" s="179" t="s">
        <v>225</v>
      </c>
      <c r="C235" s="20" t="s">
        <v>370</v>
      </c>
      <c r="D235" s="100" t="s">
        <v>371</v>
      </c>
      <c r="E235" s="12" t="s">
        <v>363</v>
      </c>
      <c r="F235" s="12">
        <v>25</v>
      </c>
      <c r="G235" s="12">
        <v>1.5</v>
      </c>
      <c r="H235" s="2"/>
      <c r="I235" s="2"/>
      <c r="J235" s="2"/>
      <c r="K235" s="12" t="s">
        <v>364</v>
      </c>
      <c r="L235" s="20" t="s">
        <v>369</v>
      </c>
      <c r="M235" s="2"/>
      <c r="N235" s="12" t="s">
        <v>308</v>
      </c>
      <c r="O235" s="2"/>
      <c r="P235" s="12" t="s">
        <v>368</v>
      </c>
      <c r="Q235" s="2"/>
      <c r="R235" s="208"/>
      <c r="S235" s="2"/>
      <c r="V235" s="38">
        <v>240</v>
      </c>
    </row>
    <row r="236" spans="1:22" ht="15" customHeight="1">
      <c r="A236" s="174">
        <v>42</v>
      </c>
      <c r="B236" s="179" t="s">
        <v>226</v>
      </c>
      <c r="C236" s="20" t="s">
        <v>370</v>
      </c>
      <c r="D236" s="100" t="s">
        <v>371</v>
      </c>
      <c r="E236" s="12" t="s">
        <v>363</v>
      </c>
      <c r="F236" s="12">
        <v>25</v>
      </c>
      <c r="G236" s="12">
        <v>1.5</v>
      </c>
      <c r="H236" s="2"/>
      <c r="I236" s="2"/>
      <c r="J236" s="2"/>
      <c r="K236" s="24" t="s">
        <v>364</v>
      </c>
      <c r="L236" s="20" t="s">
        <v>369</v>
      </c>
      <c r="M236" s="2"/>
      <c r="N236" s="12" t="s">
        <v>308</v>
      </c>
      <c r="O236" s="2"/>
      <c r="P236" s="24" t="s">
        <v>368</v>
      </c>
      <c r="Q236" s="2"/>
      <c r="R236" s="208"/>
      <c r="S236" s="2"/>
      <c r="V236" s="38">
        <v>241</v>
      </c>
    </row>
    <row r="237" spans="1:22" ht="15" customHeight="1">
      <c r="A237" s="201">
        <v>43</v>
      </c>
      <c r="B237" s="58">
        <v>1</v>
      </c>
      <c r="C237" s="199" t="s">
        <v>361</v>
      </c>
      <c r="D237" s="199" t="s">
        <v>362</v>
      </c>
      <c r="E237" s="199" t="s">
        <v>363</v>
      </c>
      <c r="F237" s="199">
        <v>25</v>
      </c>
      <c r="G237" s="199">
        <v>1</v>
      </c>
      <c r="H237" s="194"/>
      <c r="I237" s="194"/>
      <c r="J237" s="194"/>
      <c r="K237" s="12" t="s">
        <v>364</v>
      </c>
      <c r="L237" s="199" t="s">
        <v>365</v>
      </c>
      <c r="M237" s="199">
        <v>180</v>
      </c>
      <c r="N237" s="199" t="s">
        <v>308</v>
      </c>
      <c r="O237" s="199" t="s">
        <v>366</v>
      </c>
      <c r="P237" s="12" t="s">
        <v>368</v>
      </c>
      <c r="Q237" s="194"/>
      <c r="R237" s="197"/>
      <c r="S237" s="2"/>
      <c r="V237" s="38">
        <v>242</v>
      </c>
    </row>
    <row r="238" spans="1:22" ht="15" customHeight="1">
      <c r="A238" s="200">
        <v>43</v>
      </c>
      <c r="B238" s="59">
        <v>2</v>
      </c>
      <c r="C238" s="12" t="s">
        <v>361</v>
      </c>
      <c r="D238" s="12" t="s">
        <v>362</v>
      </c>
      <c r="E238" s="12" t="s">
        <v>363</v>
      </c>
      <c r="F238" s="12">
        <v>25</v>
      </c>
      <c r="G238" s="12">
        <v>1</v>
      </c>
      <c r="H238" s="20"/>
      <c r="I238" s="20"/>
      <c r="J238" s="20"/>
      <c r="K238" s="12" t="s">
        <v>364</v>
      </c>
      <c r="L238" s="12" t="s">
        <v>365</v>
      </c>
      <c r="M238" s="12">
        <v>180</v>
      </c>
      <c r="N238" s="20" t="s">
        <v>308</v>
      </c>
      <c r="O238" s="12" t="s">
        <v>366</v>
      </c>
      <c r="P238" s="12" t="s">
        <v>368</v>
      </c>
      <c r="Q238" s="20"/>
      <c r="R238" s="198"/>
      <c r="S238" s="2"/>
      <c r="V238" s="38">
        <v>243</v>
      </c>
    </row>
    <row r="239" spans="1:22" ht="15" customHeight="1">
      <c r="A239" s="202">
        <v>43</v>
      </c>
      <c r="B239" s="203">
        <v>3</v>
      </c>
      <c r="C239" s="24" t="s">
        <v>361</v>
      </c>
      <c r="D239" s="24" t="s">
        <v>362</v>
      </c>
      <c r="E239" s="24" t="s">
        <v>363</v>
      </c>
      <c r="F239" s="24">
        <v>25</v>
      </c>
      <c r="G239" s="24">
        <v>1</v>
      </c>
      <c r="H239" s="26"/>
      <c r="I239" s="26"/>
      <c r="J239" s="26"/>
      <c r="K239" s="24" t="s">
        <v>364</v>
      </c>
      <c r="L239" s="24" t="s">
        <v>365</v>
      </c>
      <c r="M239" s="24">
        <v>180</v>
      </c>
      <c r="N239" s="24" t="s">
        <v>308</v>
      </c>
      <c r="O239" s="24" t="s">
        <v>366</v>
      </c>
      <c r="P239" s="24" t="s">
        <v>368</v>
      </c>
      <c r="Q239" s="26"/>
      <c r="R239" s="204"/>
      <c r="S239" s="2"/>
      <c r="V239" s="38">
        <v>244</v>
      </c>
    </row>
    <row r="240" spans="1:22" ht="15" customHeight="1">
      <c r="A240" s="201">
        <v>44</v>
      </c>
      <c r="B240" s="58" t="s">
        <v>220</v>
      </c>
      <c r="C240" s="12" t="s">
        <v>361</v>
      </c>
      <c r="D240" s="12" t="s">
        <v>362</v>
      </c>
      <c r="E240" s="12" t="s">
        <v>363</v>
      </c>
      <c r="F240" s="12">
        <v>25</v>
      </c>
      <c r="G240" s="12">
        <v>2</v>
      </c>
      <c r="H240" s="2"/>
      <c r="I240" s="2"/>
      <c r="J240" s="2"/>
      <c r="K240" s="12" t="s">
        <v>364</v>
      </c>
      <c r="L240" s="199" t="s">
        <v>365</v>
      </c>
      <c r="M240" s="199">
        <v>190</v>
      </c>
      <c r="N240" s="12" t="s">
        <v>308</v>
      </c>
      <c r="O240" s="199" t="s">
        <v>366</v>
      </c>
      <c r="P240" s="2"/>
      <c r="Q240" s="199">
        <v>15</v>
      </c>
      <c r="R240" s="208"/>
      <c r="S240" s="2"/>
      <c r="V240" s="38">
        <v>245</v>
      </c>
    </row>
    <row r="241" spans="1:22" ht="15" customHeight="1">
      <c r="A241" s="200">
        <v>44</v>
      </c>
      <c r="B241" s="59" t="s">
        <v>221</v>
      </c>
      <c r="C241" s="12" t="s">
        <v>361</v>
      </c>
      <c r="D241" s="12" t="s">
        <v>362</v>
      </c>
      <c r="E241" s="12" t="s">
        <v>363</v>
      </c>
      <c r="F241" s="12">
        <v>25</v>
      </c>
      <c r="G241" s="12">
        <v>2</v>
      </c>
      <c r="K241" s="12" t="s">
        <v>364</v>
      </c>
      <c r="L241" s="12" t="s">
        <v>365</v>
      </c>
      <c r="M241" s="12">
        <v>190</v>
      </c>
      <c r="N241" s="12" t="s">
        <v>308</v>
      </c>
      <c r="O241" s="12" t="s">
        <v>366</v>
      </c>
      <c r="Q241" s="12">
        <v>15</v>
      </c>
      <c r="R241" s="208"/>
      <c r="S241" s="2"/>
      <c r="V241" s="38">
        <v>246</v>
      </c>
    </row>
    <row r="242" spans="1:22" ht="15" customHeight="1">
      <c r="A242" s="200">
        <v>44</v>
      </c>
      <c r="B242" s="59" t="s">
        <v>222</v>
      </c>
      <c r="C242" s="12" t="s">
        <v>361</v>
      </c>
      <c r="D242" s="12" t="s">
        <v>362</v>
      </c>
      <c r="E242" s="12" t="s">
        <v>363</v>
      </c>
      <c r="F242" s="12">
        <v>25</v>
      </c>
      <c r="G242" s="12">
        <v>2</v>
      </c>
      <c r="K242" s="12" t="s">
        <v>364</v>
      </c>
      <c r="L242" s="12" t="s">
        <v>365</v>
      </c>
      <c r="M242" s="12">
        <v>190</v>
      </c>
      <c r="N242" s="12" t="s">
        <v>308</v>
      </c>
      <c r="O242" s="12" t="s">
        <v>366</v>
      </c>
      <c r="Q242" s="12">
        <v>15</v>
      </c>
      <c r="R242" s="208"/>
      <c r="S242" s="2"/>
      <c r="V242" s="38">
        <v>247</v>
      </c>
    </row>
    <row r="243" spans="1:22" ht="15" customHeight="1">
      <c r="A243" s="200">
        <v>44</v>
      </c>
      <c r="B243" s="59" t="s">
        <v>223</v>
      </c>
      <c r="C243" s="12" t="s">
        <v>361</v>
      </c>
      <c r="D243" s="12" t="s">
        <v>362</v>
      </c>
      <c r="E243" s="12" t="s">
        <v>363</v>
      </c>
      <c r="F243" s="12">
        <v>25</v>
      </c>
      <c r="G243" s="12">
        <v>2</v>
      </c>
      <c r="K243" s="12" t="s">
        <v>364</v>
      </c>
      <c r="L243" s="12" t="s">
        <v>365</v>
      </c>
      <c r="M243" s="12">
        <v>190</v>
      </c>
      <c r="N243" s="12" t="s">
        <v>308</v>
      </c>
      <c r="O243" s="12" t="s">
        <v>366</v>
      </c>
      <c r="Q243" s="12">
        <v>15</v>
      </c>
      <c r="R243" s="208"/>
      <c r="S243" s="2"/>
      <c r="V243" s="38">
        <v>248</v>
      </c>
    </row>
    <row r="244" spans="1:22" ht="15" customHeight="1">
      <c r="A244" s="200">
        <v>44</v>
      </c>
      <c r="B244" s="59" t="s">
        <v>228</v>
      </c>
      <c r="C244" s="12" t="s">
        <v>361</v>
      </c>
      <c r="D244" s="12" t="s">
        <v>362</v>
      </c>
      <c r="E244" s="12" t="s">
        <v>363</v>
      </c>
      <c r="F244" s="12">
        <v>25</v>
      </c>
      <c r="G244" s="12">
        <v>2</v>
      </c>
      <c r="K244" s="12" t="s">
        <v>364</v>
      </c>
      <c r="L244" s="12" t="s">
        <v>365</v>
      </c>
      <c r="M244" s="12">
        <v>190</v>
      </c>
      <c r="N244" s="12" t="s">
        <v>308</v>
      </c>
      <c r="O244" s="12" t="s">
        <v>366</v>
      </c>
      <c r="Q244" s="12">
        <v>15</v>
      </c>
      <c r="R244" s="208"/>
      <c r="S244" s="2"/>
      <c r="V244" s="38">
        <v>249</v>
      </c>
    </row>
    <row r="245" spans="1:22" ht="15" customHeight="1">
      <c r="A245" s="200">
        <v>44</v>
      </c>
      <c r="B245" s="59" t="s">
        <v>224</v>
      </c>
      <c r="C245" s="12" t="s">
        <v>370</v>
      </c>
      <c r="D245" s="100" t="s">
        <v>373</v>
      </c>
      <c r="E245" s="12" t="s">
        <v>363</v>
      </c>
      <c r="F245" s="12">
        <v>25</v>
      </c>
      <c r="G245" s="12">
        <v>2</v>
      </c>
      <c r="K245" s="12" t="s">
        <v>364</v>
      </c>
      <c r="L245" s="12" t="s">
        <v>365</v>
      </c>
      <c r="N245" s="12" t="s">
        <v>308</v>
      </c>
      <c r="O245" s="12" t="s">
        <v>366</v>
      </c>
      <c r="P245" s="2"/>
      <c r="Q245" s="12">
        <v>2</v>
      </c>
      <c r="R245" s="192">
        <v>1</v>
      </c>
      <c r="S245" s="2"/>
      <c r="V245" s="38">
        <v>250</v>
      </c>
    </row>
    <row r="246" spans="1:22" ht="15" customHeight="1">
      <c r="A246" s="200">
        <v>44</v>
      </c>
      <c r="B246" s="59" t="s">
        <v>225</v>
      </c>
      <c r="C246" s="12" t="s">
        <v>370</v>
      </c>
      <c r="D246" s="100" t="s">
        <v>373</v>
      </c>
      <c r="E246" s="12" t="s">
        <v>363</v>
      </c>
      <c r="F246" s="12">
        <v>25</v>
      </c>
      <c r="G246" s="12">
        <v>2</v>
      </c>
      <c r="K246" s="12" t="s">
        <v>364</v>
      </c>
      <c r="L246" s="12" t="s">
        <v>365</v>
      </c>
      <c r="N246" s="12" t="s">
        <v>308</v>
      </c>
      <c r="O246" s="12" t="s">
        <v>366</v>
      </c>
      <c r="P246" s="2"/>
      <c r="Q246" s="12">
        <v>2</v>
      </c>
      <c r="R246" s="192">
        <v>1</v>
      </c>
      <c r="S246" s="2"/>
      <c r="V246" s="38">
        <v>251</v>
      </c>
    </row>
    <row r="247" spans="1:22" ht="15" customHeight="1">
      <c r="A247" s="200">
        <v>44</v>
      </c>
      <c r="B247" s="59" t="s">
        <v>226</v>
      </c>
      <c r="C247" s="12" t="s">
        <v>370</v>
      </c>
      <c r="D247" s="100" t="s">
        <v>373</v>
      </c>
      <c r="E247" s="12" t="s">
        <v>363</v>
      </c>
      <c r="F247" s="12">
        <v>25</v>
      </c>
      <c r="G247" s="12">
        <v>2</v>
      </c>
      <c r="K247" s="12" t="s">
        <v>364</v>
      </c>
      <c r="L247" s="12" t="s">
        <v>365</v>
      </c>
      <c r="N247" s="12" t="s">
        <v>308</v>
      </c>
      <c r="O247" s="12" t="s">
        <v>366</v>
      </c>
      <c r="P247" s="2"/>
      <c r="Q247" s="12">
        <v>2</v>
      </c>
      <c r="R247" s="192">
        <v>1</v>
      </c>
      <c r="S247" s="2"/>
      <c r="V247" s="38">
        <v>252</v>
      </c>
    </row>
    <row r="248" spans="1:22" ht="15" customHeight="1">
      <c r="A248" s="200">
        <v>44</v>
      </c>
      <c r="B248" s="59" t="s">
        <v>227</v>
      </c>
      <c r="C248" s="12" t="s">
        <v>370</v>
      </c>
      <c r="D248" s="100" t="s">
        <v>373</v>
      </c>
      <c r="E248" s="12" t="s">
        <v>363</v>
      </c>
      <c r="F248" s="12">
        <v>25</v>
      </c>
      <c r="G248" s="12">
        <v>2</v>
      </c>
      <c r="K248" s="12" t="s">
        <v>364</v>
      </c>
      <c r="L248" s="12" t="s">
        <v>365</v>
      </c>
      <c r="N248" s="12" t="s">
        <v>308</v>
      </c>
      <c r="O248" s="12" t="s">
        <v>366</v>
      </c>
      <c r="P248" s="2"/>
      <c r="Q248" s="12">
        <v>2</v>
      </c>
      <c r="R248" s="192">
        <v>1</v>
      </c>
      <c r="S248" s="2"/>
      <c r="V248" s="38">
        <v>253</v>
      </c>
    </row>
    <row r="249" spans="1:22" ht="15" customHeight="1">
      <c r="A249" s="200">
        <v>44</v>
      </c>
      <c r="B249" s="59" t="s">
        <v>229</v>
      </c>
      <c r="C249" s="12" t="s">
        <v>370</v>
      </c>
      <c r="D249" s="100" t="s">
        <v>373</v>
      </c>
      <c r="E249" s="12" t="s">
        <v>363</v>
      </c>
      <c r="F249" s="12">
        <v>25</v>
      </c>
      <c r="G249" s="12">
        <v>2</v>
      </c>
      <c r="H249" s="2"/>
      <c r="I249" s="2"/>
      <c r="J249" s="2"/>
      <c r="K249" s="24" t="s">
        <v>364</v>
      </c>
      <c r="L249" s="12" t="s">
        <v>365</v>
      </c>
      <c r="M249" s="2"/>
      <c r="N249" s="12" t="s">
        <v>308</v>
      </c>
      <c r="O249" s="12" t="s">
        <v>366</v>
      </c>
      <c r="P249" s="2"/>
      <c r="Q249" s="24">
        <v>2</v>
      </c>
      <c r="R249" s="192">
        <v>1</v>
      </c>
      <c r="S249" s="2"/>
      <c r="V249" s="38">
        <v>254</v>
      </c>
    </row>
    <row r="250" spans="1:22" ht="15" customHeight="1">
      <c r="A250" s="177">
        <v>45</v>
      </c>
      <c r="B250" s="178" t="s">
        <v>220</v>
      </c>
      <c r="C250" s="199" t="s">
        <v>361</v>
      </c>
      <c r="D250" s="199" t="s">
        <v>362</v>
      </c>
      <c r="E250" s="199" t="s">
        <v>363</v>
      </c>
      <c r="F250" s="199">
        <v>25</v>
      </c>
      <c r="G250" s="199"/>
      <c r="H250" s="199" t="s">
        <v>367</v>
      </c>
      <c r="I250" s="199">
        <v>25</v>
      </c>
      <c r="J250" s="199">
        <v>2</v>
      </c>
      <c r="K250" s="12" t="s">
        <v>364</v>
      </c>
      <c r="L250" s="199" t="s">
        <v>365</v>
      </c>
      <c r="M250" s="199">
        <v>180</v>
      </c>
      <c r="N250" s="199" t="s">
        <v>308</v>
      </c>
      <c r="O250" s="199" t="s">
        <v>366</v>
      </c>
      <c r="P250" s="199" t="s">
        <v>368</v>
      </c>
      <c r="Q250" s="12">
        <v>0.5</v>
      </c>
      <c r="R250" s="189"/>
      <c r="S250" s="2"/>
      <c r="V250" s="38">
        <v>255</v>
      </c>
    </row>
    <row r="251" spans="1:22" ht="15" customHeight="1">
      <c r="A251" s="174">
        <v>45</v>
      </c>
      <c r="B251" s="179" t="s">
        <v>221</v>
      </c>
      <c r="C251" s="12" t="s">
        <v>361</v>
      </c>
      <c r="D251" s="12" t="s">
        <v>362</v>
      </c>
      <c r="E251" s="12" t="s">
        <v>363</v>
      </c>
      <c r="F251" s="12">
        <v>25</v>
      </c>
      <c r="G251" s="12"/>
      <c r="H251" s="12" t="s">
        <v>367</v>
      </c>
      <c r="I251" s="12">
        <v>25</v>
      </c>
      <c r="J251" s="12">
        <v>2</v>
      </c>
      <c r="K251" s="12" t="s">
        <v>364</v>
      </c>
      <c r="L251" s="12" t="s">
        <v>365</v>
      </c>
      <c r="M251" s="12">
        <v>180</v>
      </c>
      <c r="N251" s="12" t="s">
        <v>308</v>
      </c>
      <c r="O251" s="12" t="s">
        <v>366</v>
      </c>
      <c r="P251" s="12" t="s">
        <v>368</v>
      </c>
      <c r="Q251" s="12">
        <v>0.5</v>
      </c>
      <c r="R251" s="192"/>
      <c r="S251" s="2"/>
      <c r="V251" s="38">
        <v>256</v>
      </c>
    </row>
    <row r="252" spans="1:22" ht="15" customHeight="1">
      <c r="A252" s="174">
        <v>45</v>
      </c>
      <c r="B252" s="179" t="s">
        <v>222</v>
      </c>
      <c r="C252" s="12" t="s">
        <v>361</v>
      </c>
      <c r="D252" s="12" t="s">
        <v>362</v>
      </c>
      <c r="E252" s="12" t="s">
        <v>363</v>
      </c>
      <c r="F252" s="12">
        <v>25</v>
      </c>
      <c r="G252" s="12"/>
      <c r="H252" s="12" t="s">
        <v>367</v>
      </c>
      <c r="I252" s="12">
        <v>25</v>
      </c>
      <c r="J252" s="12">
        <v>2</v>
      </c>
      <c r="K252" s="12" t="s">
        <v>364</v>
      </c>
      <c r="L252" s="12" t="s">
        <v>365</v>
      </c>
      <c r="M252" s="12">
        <v>180</v>
      </c>
      <c r="N252" s="12" t="s">
        <v>308</v>
      </c>
      <c r="O252" s="12" t="s">
        <v>366</v>
      </c>
      <c r="P252" s="12" t="s">
        <v>368</v>
      </c>
      <c r="Q252" s="12">
        <v>0.5</v>
      </c>
      <c r="R252" s="192"/>
      <c r="S252" s="2"/>
      <c r="V252" s="38">
        <v>257</v>
      </c>
    </row>
    <row r="253" spans="1:22" ht="15" customHeight="1">
      <c r="A253" s="174">
        <v>45</v>
      </c>
      <c r="B253" s="179" t="s">
        <v>223</v>
      </c>
      <c r="C253" s="12" t="s">
        <v>361</v>
      </c>
      <c r="D253" s="12" t="s">
        <v>362</v>
      </c>
      <c r="E253" s="12" t="s">
        <v>363</v>
      </c>
      <c r="F253" s="12">
        <v>25</v>
      </c>
      <c r="G253" s="12"/>
      <c r="H253" s="12" t="s">
        <v>367</v>
      </c>
      <c r="I253" s="12">
        <v>25</v>
      </c>
      <c r="J253" s="12">
        <v>2</v>
      </c>
      <c r="K253" s="12" t="s">
        <v>364</v>
      </c>
      <c r="L253" s="12" t="s">
        <v>365</v>
      </c>
      <c r="M253" s="12">
        <v>180</v>
      </c>
      <c r="N253" s="12" t="s">
        <v>308</v>
      </c>
      <c r="O253" s="12" t="s">
        <v>366</v>
      </c>
      <c r="P253" s="12" t="s">
        <v>368</v>
      </c>
      <c r="Q253" s="12">
        <v>0.5</v>
      </c>
      <c r="R253" s="192"/>
      <c r="S253" s="2"/>
      <c r="V253" s="38">
        <v>258</v>
      </c>
    </row>
    <row r="254" spans="1:22" ht="15" customHeight="1">
      <c r="A254" s="174">
        <v>45</v>
      </c>
      <c r="B254" s="179" t="s">
        <v>224</v>
      </c>
      <c r="C254" s="12" t="s">
        <v>370</v>
      </c>
      <c r="D254" s="100" t="s">
        <v>373</v>
      </c>
      <c r="E254" s="12" t="s">
        <v>363</v>
      </c>
      <c r="F254" s="12">
        <v>25</v>
      </c>
      <c r="G254" s="12"/>
      <c r="H254" s="12" t="s">
        <v>367</v>
      </c>
      <c r="I254" s="12">
        <v>25</v>
      </c>
      <c r="J254" s="12">
        <v>2</v>
      </c>
      <c r="K254" s="12" t="s">
        <v>364</v>
      </c>
      <c r="L254" s="12" t="s">
        <v>369</v>
      </c>
      <c r="M254" s="12"/>
      <c r="N254" s="12" t="s">
        <v>308</v>
      </c>
      <c r="O254" s="12" t="s">
        <v>366</v>
      </c>
      <c r="P254" s="12" t="s">
        <v>372</v>
      </c>
      <c r="Q254" s="12">
        <v>0.5</v>
      </c>
      <c r="R254" s="192">
        <v>1</v>
      </c>
      <c r="S254" s="2"/>
      <c r="V254" s="38">
        <v>259</v>
      </c>
    </row>
    <row r="255" spans="1:22" ht="15" customHeight="1">
      <c r="A255" s="174">
        <v>45</v>
      </c>
      <c r="B255" s="179" t="s">
        <v>225</v>
      </c>
      <c r="C255" s="12" t="s">
        <v>370</v>
      </c>
      <c r="D255" s="100" t="s">
        <v>373</v>
      </c>
      <c r="E255" s="12" t="s">
        <v>363</v>
      </c>
      <c r="F255" s="12">
        <v>25</v>
      </c>
      <c r="G255" s="12"/>
      <c r="H255" s="12" t="s">
        <v>367</v>
      </c>
      <c r="I255" s="12">
        <v>25</v>
      </c>
      <c r="J255" s="12">
        <v>2</v>
      </c>
      <c r="K255" s="12" t="s">
        <v>364</v>
      </c>
      <c r="L255" s="12" t="s">
        <v>369</v>
      </c>
      <c r="M255" s="12"/>
      <c r="N255" s="12" t="s">
        <v>308</v>
      </c>
      <c r="O255" s="12" t="s">
        <v>366</v>
      </c>
      <c r="P255" s="12" t="s">
        <v>372</v>
      </c>
      <c r="Q255" s="12">
        <v>0.5</v>
      </c>
      <c r="R255" s="192">
        <v>1</v>
      </c>
      <c r="S255" s="2"/>
      <c r="V255" s="38">
        <v>260</v>
      </c>
    </row>
    <row r="256" spans="1:22" ht="15" customHeight="1">
      <c r="A256" s="174">
        <v>45</v>
      </c>
      <c r="B256" s="179" t="s">
        <v>226</v>
      </c>
      <c r="C256" s="12" t="s">
        <v>370</v>
      </c>
      <c r="D256" s="100" t="s">
        <v>373</v>
      </c>
      <c r="E256" s="12" t="s">
        <v>363</v>
      </c>
      <c r="F256" s="12">
        <v>25</v>
      </c>
      <c r="G256" s="12"/>
      <c r="H256" s="12" t="s">
        <v>367</v>
      </c>
      <c r="I256" s="12">
        <v>25</v>
      </c>
      <c r="J256" s="12">
        <v>2</v>
      </c>
      <c r="K256" s="12" t="s">
        <v>364</v>
      </c>
      <c r="L256" s="12" t="s">
        <v>369</v>
      </c>
      <c r="M256" s="12"/>
      <c r="N256" s="12" t="s">
        <v>308</v>
      </c>
      <c r="O256" s="12" t="s">
        <v>366</v>
      </c>
      <c r="P256" s="12" t="s">
        <v>372</v>
      </c>
      <c r="Q256" s="12">
        <v>0.5</v>
      </c>
      <c r="R256" s="192">
        <v>1</v>
      </c>
      <c r="S256" s="2"/>
      <c r="V256" s="38">
        <v>261</v>
      </c>
    </row>
    <row r="257" spans="1:22" ht="15" customHeight="1">
      <c r="A257" s="174">
        <v>45</v>
      </c>
      <c r="B257" s="179" t="s">
        <v>227</v>
      </c>
      <c r="C257" s="12" t="s">
        <v>370</v>
      </c>
      <c r="D257" s="100" t="s">
        <v>373</v>
      </c>
      <c r="E257" s="12" t="s">
        <v>363</v>
      </c>
      <c r="F257" s="12">
        <v>25</v>
      </c>
      <c r="G257" s="12"/>
      <c r="H257" s="12" t="s">
        <v>367</v>
      </c>
      <c r="I257" s="12">
        <v>25</v>
      </c>
      <c r="J257" s="12">
        <v>2</v>
      </c>
      <c r="K257" s="12" t="s">
        <v>364</v>
      </c>
      <c r="L257" s="12" t="s">
        <v>369</v>
      </c>
      <c r="M257" s="12"/>
      <c r="N257" s="12" t="s">
        <v>308</v>
      </c>
      <c r="O257" s="12" t="s">
        <v>366</v>
      </c>
      <c r="P257" s="12" t="s">
        <v>372</v>
      </c>
      <c r="Q257" s="12">
        <v>0.5</v>
      </c>
      <c r="R257" s="192">
        <v>1</v>
      </c>
      <c r="S257" s="2"/>
      <c r="V257" s="38">
        <v>262</v>
      </c>
    </row>
    <row r="258" spans="1:22" ht="15" customHeight="1">
      <c r="A258" s="177">
        <v>46</v>
      </c>
      <c r="B258" s="178">
        <v>1</v>
      </c>
      <c r="C258" s="199" t="s">
        <v>361</v>
      </c>
      <c r="D258" s="199" t="s">
        <v>362</v>
      </c>
      <c r="E258" s="199" t="s">
        <v>363</v>
      </c>
      <c r="F258" s="199">
        <v>25</v>
      </c>
      <c r="G258" s="199"/>
      <c r="H258" s="199" t="s">
        <v>367</v>
      </c>
      <c r="I258" s="199">
        <v>25</v>
      </c>
      <c r="J258" s="199">
        <v>1</v>
      </c>
      <c r="K258" s="199" t="s">
        <v>364</v>
      </c>
      <c r="L258" s="199" t="s">
        <v>365</v>
      </c>
      <c r="M258" s="199">
        <v>190</v>
      </c>
      <c r="N258" s="199" t="s">
        <v>308</v>
      </c>
      <c r="O258" s="199" t="s">
        <v>366</v>
      </c>
      <c r="P258" s="199" t="s">
        <v>368</v>
      </c>
      <c r="Q258" s="199">
        <v>0.5</v>
      </c>
      <c r="R258" s="189"/>
      <c r="S258" s="2"/>
      <c r="V258" s="38">
        <v>263</v>
      </c>
    </row>
    <row r="259" spans="1:22" ht="15" customHeight="1">
      <c r="A259" s="174">
        <v>46</v>
      </c>
      <c r="B259" s="179">
        <v>2</v>
      </c>
      <c r="C259" s="12" t="s">
        <v>361</v>
      </c>
      <c r="D259" s="12" t="s">
        <v>362</v>
      </c>
      <c r="E259" s="12" t="s">
        <v>363</v>
      </c>
      <c r="F259" s="12">
        <v>25</v>
      </c>
      <c r="G259" s="12"/>
      <c r="H259" s="12" t="s">
        <v>367</v>
      </c>
      <c r="I259" s="12">
        <v>25</v>
      </c>
      <c r="J259" s="12">
        <v>1</v>
      </c>
      <c r="K259" s="12" t="s">
        <v>364</v>
      </c>
      <c r="L259" s="12" t="s">
        <v>365</v>
      </c>
      <c r="M259" s="12">
        <v>190</v>
      </c>
      <c r="N259" s="12" t="s">
        <v>308</v>
      </c>
      <c r="O259" s="12" t="s">
        <v>366</v>
      </c>
      <c r="P259" s="12" t="s">
        <v>368</v>
      </c>
      <c r="Q259" s="12">
        <v>0.5</v>
      </c>
      <c r="R259" s="192"/>
      <c r="S259" s="2"/>
      <c r="V259" s="38">
        <v>264</v>
      </c>
    </row>
    <row r="260" spans="1:22" ht="15" customHeight="1">
      <c r="A260" s="174">
        <v>46</v>
      </c>
      <c r="B260" s="179">
        <v>3</v>
      </c>
      <c r="C260" s="12" t="s">
        <v>361</v>
      </c>
      <c r="D260" s="12" t="s">
        <v>362</v>
      </c>
      <c r="E260" s="12" t="s">
        <v>363</v>
      </c>
      <c r="F260" s="12">
        <v>25</v>
      </c>
      <c r="G260" s="12"/>
      <c r="H260" s="12" t="s">
        <v>367</v>
      </c>
      <c r="I260" s="12">
        <v>25</v>
      </c>
      <c r="J260" s="12">
        <v>1</v>
      </c>
      <c r="K260" s="12" t="s">
        <v>364</v>
      </c>
      <c r="L260" s="12" t="s">
        <v>365</v>
      </c>
      <c r="M260" s="12">
        <v>190</v>
      </c>
      <c r="N260" s="12" t="s">
        <v>308</v>
      </c>
      <c r="O260" s="12" t="s">
        <v>366</v>
      </c>
      <c r="P260" s="12" t="s">
        <v>368</v>
      </c>
      <c r="Q260" s="12">
        <v>0.5</v>
      </c>
      <c r="R260" s="192"/>
      <c r="S260" s="2"/>
      <c r="V260" s="38">
        <v>265</v>
      </c>
    </row>
    <row r="261" spans="1:22" ht="15" customHeight="1">
      <c r="A261" s="174">
        <v>46</v>
      </c>
      <c r="B261" s="179">
        <v>4</v>
      </c>
      <c r="C261" s="12" t="s">
        <v>361</v>
      </c>
      <c r="D261" s="12" t="s">
        <v>362</v>
      </c>
      <c r="E261" s="12" t="s">
        <v>363</v>
      </c>
      <c r="F261" s="12">
        <v>25</v>
      </c>
      <c r="G261" s="12"/>
      <c r="H261" s="12" t="s">
        <v>367</v>
      </c>
      <c r="I261" s="12">
        <v>25</v>
      </c>
      <c r="J261" s="12">
        <v>1</v>
      </c>
      <c r="K261" s="12" t="s">
        <v>364</v>
      </c>
      <c r="L261" s="12" t="s">
        <v>365</v>
      </c>
      <c r="M261" s="12">
        <v>190</v>
      </c>
      <c r="N261" s="12" t="s">
        <v>308</v>
      </c>
      <c r="O261" s="12" t="s">
        <v>366</v>
      </c>
      <c r="P261" s="12" t="s">
        <v>368</v>
      </c>
      <c r="Q261" s="12">
        <v>0.5</v>
      </c>
      <c r="R261" s="192"/>
      <c r="S261" s="2"/>
      <c r="V261" s="38">
        <v>266</v>
      </c>
    </row>
    <row r="262" spans="1:22" ht="15" customHeight="1">
      <c r="A262" s="174">
        <v>46</v>
      </c>
      <c r="B262" s="179">
        <v>5</v>
      </c>
      <c r="C262" s="12" t="s">
        <v>361</v>
      </c>
      <c r="D262" s="12" t="s">
        <v>362</v>
      </c>
      <c r="E262" s="12" t="s">
        <v>363</v>
      </c>
      <c r="F262" s="12">
        <v>25</v>
      </c>
      <c r="G262" s="12"/>
      <c r="H262" s="12" t="s">
        <v>367</v>
      </c>
      <c r="I262" s="12">
        <v>25</v>
      </c>
      <c r="J262" s="12">
        <v>1</v>
      </c>
      <c r="K262" s="12" t="s">
        <v>364</v>
      </c>
      <c r="L262" s="12" t="s">
        <v>365</v>
      </c>
      <c r="M262" s="12">
        <v>190</v>
      </c>
      <c r="N262" s="12" t="s">
        <v>308</v>
      </c>
      <c r="O262" s="12" t="s">
        <v>366</v>
      </c>
      <c r="P262" s="12" t="s">
        <v>368</v>
      </c>
      <c r="Q262" s="12">
        <v>0.5</v>
      </c>
      <c r="R262" s="192"/>
      <c r="S262" s="2"/>
      <c r="V262" s="38">
        <v>267</v>
      </c>
    </row>
    <row r="263" spans="1:22" ht="15" customHeight="1">
      <c r="A263" s="174">
        <v>46</v>
      </c>
      <c r="B263" s="179">
        <v>6</v>
      </c>
      <c r="C263" s="12" t="s">
        <v>361</v>
      </c>
      <c r="D263" s="12" t="s">
        <v>362</v>
      </c>
      <c r="E263" s="12" t="s">
        <v>363</v>
      </c>
      <c r="F263" s="12">
        <v>25</v>
      </c>
      <c r="G263" s="12"/>
      <c r="H263" s="12" t="s">
        <v>367</v>
      </c>
      <c r="I263" s="12">
        <v>25</v>
      </c>
      <c r="J263" s="12">
        <v>1</v>
      </c>
      <c r="K263" s="12" t="s">
        <v>364</v>
      </c>
      <c r="L263" s="12" t="s">
        <v>365</v>
      </c>
      <c r="M263" s="12">
        <v>190</v>
      </c>
      <c r="N263" s="12" t="s">
        <v>308</v>
      </c>
      <c r="O263" s="12" t="s">
        <v>366</v>
      </c>
      <c r="P263" s="12" t="s">
        <v>368</v>
      </c>
      <c r="Q263" s="12">
        <v>0.5</v>
      </c>
      <c r="R263" s="192"/>
      <c r="S263" s="2"/>
      <c r="V263" s="38">
        <v>268</v>
      </c>
    </row>
    <row r="264" spans="1:22" ht="15" customHeight="1">
      <c r="A264" s="177">
        <v>47</v>
      </c>
      <c r="B264" s="178" t="s">
        <v>220</v>
      </c>
      <c r="C264" s="199" t="s">
        <v>361</v>
      </c>
      <c r="D264" s="199" t="s">
        <v>362</v>
      </c>
      <c r="E264" s="199" t="s">
        <v>363</v>
      </c>
      <c r="F264" s="199"/>
      <c r="G264" s="199"/>
      <c r="H264" s="199"/>
      <c r="I264" s="199"/>
      <c r="J264" s="199"/>
      <c r="K264" s="199"/>
      <c r="L264" s="199" t="s">
        <v>369</v>
      </c>
      <c r="M264" s="199">
        <v>180</v>
      </c>
      <c r="N264" s="199" t="s">
        <v>308</v>
      </c>
      <c r="O264" s="199"/>
      <c r="P264" s="199" t="s">
        <v>368</v>
      </c>
      <c r="Q264" s="199">
        <v>0.1</v>
      </c>
      <c r="R264" s="189"/>
      <c r="S264" s="2"/>
      <c r="V264" s="38">
        <v>269</v>
      </c>
    </row>
    <row r="265" spans="1:22" ht="15" customHeight="1">
      <c r="A265" s="174">
        <v>47</v>
      </c>
      <c r="B265" s="179">
        <v>2</v>
      </c>
      <c r="C265" s="12" t="s">
        <v>361</v>
      </c>
      <c r="D265" s="12" t="s">
        <v>362</v>
      </c>
      <c r="E265" s="12" t="s">
        <v>363</v>
      </c>
      <c r="F265" s="12"/>
      <c r="G265" s="12"/>
      <c r="H265" s="12"/>
      <c r="I265" s="12"/>
      <c r="J265" s="12"/>
      <c r="K265" s="12"/>
      <c r="L265" s="12" t="s">
        <v>369</v>
      </c>
      <c r="M265" s="12">
        <v>180</v>
      </c>
      <c r="N265" s="12" t="s">
        <v>308</v>
      </c>
      <c r="O265" s="12"/>
      <c r="P265" s="12" t="s">
        <v>368</v>
      </c>
      <c r="Q265" s="12">
        <v>0.1</v>
      </c>
      <c r="R265" s="192"/>
      <c r="S265" s="2"/>
      <c r="V265" s="38">
        <v>270</v>
      </c>
    </row>
    <row r="266" spans="1:22" ht="15" customHeight="1">
      <c r="A266" s="174">
        <v>47</v>
      </c>
      <c r="B266" s="179">
        <v>3</v>
      </c>
      <c r="C266" s="12" t="s">
        <v>361</v>
      </c>
      <c r="D266" s="12" t="s">
        <v>362</v>
      </c>
      <c r="E266" s="12" t="s">
        <v>363</v>
      </c>
      <c r="F266" s="12"/>
      <c r="G266" s="12"/>
      <c r="H266" s="12"/>
      <c r="I266" s="12"/>
      <c r="J266" s="12"/>
      <c r="K266" s="12"/>
      <c r="L266" s="12" t="s">
        <v>369</v>
      </c>
      <c r="M266" s="12">
        <v>180</v>
      </c>
      <c r="N266" s="12" t="s">
        <v>308</v>
      </c>
      <c r="O266" s="12"/>
      <c r="P266" s="12" t="s">
        <v>368</v>
      </c>
      <c r="Q266" s="12">
        <v>0.1</v>
      </c>
      <c r="R266" s="192"/>
      <c r="S266" s="2"/>
      <c r="V266" s="38">
        <v>271</v>
      </c>
    </row>
    <row r="267" spans="1:22" ht="15" customHeight="1">
      <c r="A267" s="174">
        <v>47</v>
      </c>
      <c r="B267" s="179" t="s">
        <v>223</v>
      </c>
      <c r="C267" s="12" t="s">
        <v>361</v>
      </c>
      <c r="D267" s="12" t="s">
        <v>362</v>
      </c>
      <c r="E267" s="12" t="s">
        <v>363</v>
      </c>
      <c r="F267" s="12"/>
      <c r="G267" s="12"/>
      <c r="H267" s="12"/>
      <c r="I267" s="12"/>
      <c r="J267" s="12"/>
      <c r="K267" s="12"/>
      <c r="L267" s="12" t="s">
        <v>369</v>
      </c>
      <c r="M267" s="12">
        <v>180</v>
      </c>
      <c r="N267" s="12" t="s">
        <v>308</v>
      </c>
      <c r="O267" s="12"/>
      <c r="P267" s="12" t="s">
        <v>368</v>
      </c>
      <c r="Q267" s="12">
        <v>0.1</v>
      </c>
      <c r="R267" s="192"/>
      <c r="S267" s="2"/>
      <c r="V267" s="38">
        <v>272</v>
      </c>
    </row>
    <row r="268" spans="1:22" ht="15" customHeight="1">
      <c r="A268" s="174">
        <v>47</v>
      </c>
      <c r="B268" s="179">
        <v>5</v>
      </c>
      <c r="C268" s="12" t="s">
        <v>361</v>
      </c>
      <c r="D268" s="12" t="s">
        <v>362</v>
      </c>
      <c r="E268" s="12" t="s">
        <v>363</v>
      </c>
      <c r="F268" s="12"/>
      <c r="G268" s="12"/>
      <c r="H268" s="12"/>
      <c r="I268" s="12"/>
      <c r="J268" s="12"/>
      <c r="K268" s="12"/>
      <c r="L268" s="12" t="s">
        <v>369</v>
      </c>
      <c r="M268" s="12">
        <v>180</v>
      </c>
      <c r="N268" s="12" t="s">
        <v>308</v>
      </c>
      <c r="O268" s="12"/>
      <c r="P268" s="12" t="s">
        <v>368</v>
      </c>
      <c r="Q268" s="12">
        <v>0.1</v>
      </c>
      <c r="R268" s="192"/>
      <c r="S268" s="2"/>
      <c r="V268" s="38">
        <v>273</v>
      </c>
    </row>
    <row r="269" spans="1:22" ht="15" customHeight="1">
      <c r="A269" s="174">
        <v>47</v>
      </c>
      <c r="B269" s="179" t="s">
        <v>224</v>
      </c>
      <c r="C269" s="12" t="s">
        <v>370</v>
      </c>
      <c r="D269" s="100" t="s">
        <v>373</v>
      </c>
      <c r="E269" s="12" t="s">
        <v>363</v>
      </c>
      <c r="F269" s="12"/>
      <c r="G269" s="12"/>
      <c r="H269" s="12"/>
      <c r="I269" s="12"/>
      <c r="J269" s="12"/>
      <c r="K269" s="12"/>
      <c r="L269" s="12"/>
      <c r="M269" s="12"/>
      <c r="N269" s="12" t="s">
        <v>308</v>
      </c>
      <c r="O269" s="12"/>
      <c r="P269" s="12" t="s">
        <v>380</v>
      </c>
      <c r="Q269" s="12">
        <v>0.02</v>
      </c>
      <c r="R269" s="192">
        <v>1</v>
      </c>
      <c r="S269" s="2"/>
      <c r="V269" s="38">
        <v>274</v>
      </c>
    </row>
    <row r="270" spans="1:22" ht="15" customHeight="1">
      <c r="A270" s="174">
        <v>47</v>
      </c>
      <c r="B270" s="179" t="s">
        <v>227</v>
      </c>
      <c r="C270" s="12" t="s">
        <v>370</v>
      </c>
      <c r="D270" s="100" t="s">
        <v>373</v>
      </c>
      <c r="E270" s="12" t="s">
        <v>363</v>
      </c>
      <c r="F270" s="24"/>
      <c r="G270" s="24"/>
      <c r="H270" s="24"/>
      <c r="I270" s="24"/>
      <c r="J270" s="24"/>
      <c r="K270" s="24"/>
      <c r="L270" s="24"/>
      <c r="M270" s="24"/>
      <c r="N270" s="12" t="s">
        <v>308</v>
      </c>
      <c r="O270" s="12"/>
      <c r="P270" s="12" t="s">
        <v>380</v>
      </c>
      <c r="Q270" s="24">
        <v>0.02</v>
      </c>
      <c r="R270" s="192">
        <v>1</v>
      </c>
      <c r="S270" s="2"/>
      <c r="V270" s="38">
        <v>275</v>
      </c>
    </row>
    <row r="271" spans="1:22" ht="15" customHeight="1">
      <c r="A271" s="177">
        <v>48</v>
      </c>
      <c r="B271" s="178">
        <v>1</v>
      </c>
      <c r="C271" s="199" t="s">
        <v>361</v>
      </c>
      <c r="D271" s="199" t="s">
        <v>362</v>
      </c>
      <c r="E271" s="199" t="s">
        <v>363</v>
      </c>
      <c r="F271" s="12">
        <v>25</v>
      </c>
      <c r="G271" s="12">
        <v>1</v>
      </c>
      <c r="H271" s="20"/>
      <c r="I271" s="20"/>
      <c r="J271" s="20"/>
      <c r="K271" s="12" t="s">
        <v>364</v>
      </c>
      <c r="L271" s="12" t="s">
        <v>365</v>
      </c>
      <c r="M271" s="12">
        <v>180</v>
      </c>
      <c r="N271" s="199" t="s">
        <v>308</v>
      </c>
      <c r="O271" s="199" t="s">
        <v>366</v>
      </c>
      <c r="P271" s="206"/>
      <c r="Q271" s="12">
        <v>5</v>
      </c>
      <c r="R271" s="207"/>
      <c r="S271" s="2"/>
      <c r="V271" s="38">
        <v>276</v>
      </c>
    </row>
    <row r="272" spans="1:22" ht="15" customHeight="1">
      <c r="A272" s="174">
        <v>48</v>
      </c>
      <c r="B272" s="179">
        <v>2</v>
      </c>
      <c r="C272" s="12" t="s">
        <v>361</v>
      </c>
      <c r="D272" s="12" t="s">
        <v>362</v>
      </c>
      <c r="E272" s="12" t="s">
        <v>363</v>
      </c>
      <c r="F272" s="12">
        <v>25</v>
      </c>
      <c r="G272" s="12">
        <v>1</v>
      </c>
      <c r="H272" s="20"/>
      <c r="I272" s="20"/>
      <c r="J272" s="20"/>
      <c r="K272" s="12" t="s">
        <v>364</v>
      </c>
      <c r="L272" s="12" t="s">
        <v>365</v>
      </c>
      <c r="M272" s="12">
        <v>180</v>
      </c>
      <c r="N272" s="12" t="s">
        <v>308</v>
      </c>
      <c r="O272" s="12" t="s">
        <v>366</v>
      </c>
      <c r="P272" s="2"/>
      <c r="Q272" s="12">
        <v>5</v>
      </c>
      <c r="R272" s="208"/>
      <c r="S272" s="2"/>
      <c r="V272" s="38">
        <v>277</v>
      </c>
    </row>
    <row r="273" spans="1:22" ht="15" customHeight="1">
      <c r="A273" s="174">
        <v>48</v>
      </c>
      <c r="B273" s="179">
        <v>3</v>
      </c>
      <c r="C273" s="12" t="s">
        <v>361</v>
      </c>
      <c r="D273" s="12" t="s">
        <v>362</v>
      </c>
      <c r="E273" s="12" t="s">
        <v>363</v>
      </c>
      <c r="F273" s="12">
        <v>25</v>
      </c>
      <c r="G273" s="12">
        <v>1</v>
      </c>
      <c r="H273" s="20"/>
      <c r="I273" s="20"/>
      <c r="J273" s="20"/>
      <c r="K273" s="12" t="s">
        <v>364</v>
      </c>
      <c r="L273" s="12" t="s">
        <v>365</v>
      </c>
      <c r="M273" s="12">
        <v>180</v>
      </c>
      <c r="N273" s="12" t="s">
        <v>308</v>
      </c>
      <c r="O273" s="12" t="s">
        <v>366</v>
      </c>
      <c r="P273" s="2"/>
      <c r="Q273" s="12">
        <v>5</v>
      </c>
      <c r="R273" s="208"/>
      <c r="S273" s="2"/>
      <c r="V273" s="38">
        <v>278</v>
      </c>
    </row>
    <row r="274" spans="1:22" ht="15" customHeight="1">
      <c r="A274" s="174">
        <v>48</v>
      </c>
      <c r="B274" s="179">
        <v>4</v>
      </c>
      <c r="C274" s="12" t="s">
        <v>361</v>
      </c>
      <c r="D274" s="12" t="s">
        <v>362</v>
      </c>
      <c r="E274" s="12" t="s">
        <v>363</v>
      </c>
      <c r="F274" s="12">
        <v>25</v>
      </c>
      <c r="G274" s="12">
        <v>1</v>
      </c>
      <c r="H274" s="20"/>
      <c r="I274" s="20"/>
      <c r="J274" s="20"/>
      <c r="K274" s="12" t="s">
        <v>364</v>
      </c>
      <c r="L274" s="12" t="s">
        <v>365</v>
      </c>
      <c r="M274" s="12">
        <v>180</v>
      </c>
      <c r="N274" s="12" t="s">
        <v>308</v>
      </c>
      <c r="O274" s="12" t="s">
        <v>366</v>
      </c>
      <c r="P274" s="2"/>
      <c r="Q274" s="12">
        <v>5</v>
      </c>
      <c r="R274" s="208"/>
      <c r="S274" s="2"/>
      <c r="V274" s="38">
        <v>279</v>
      </c>
    </row>
    <row r="275" spans="1:22" ht="15" customHeight="1">
      <c r="A275" s="174">
        <v>48</v>
      </c>
      <c r="B275" s="179">
        <v>5</v>
      </c>
      <c r="C275" s="12" t="s">
        <v>361</v>
      </c>
      <c r="D275" s="12" t="s">
        <v>362</v>
      </c>
      <c r="E275" s="12" t="s">
        <v>363</v>
      </c>
      <c r="F275" s="12">
        <v>25</v>
      </c>
      <c r="G275" s="12">
        <v>1</v>
      </c>
      <c r="H275" s="20"/>
      <c r="I275" s="20"/>
      <c r="J275" s="20"/>
      <c r="K275" s="12" t="s">
        <v>364</v>
      </c>
      <c r="L275" s="12" t="s">
        <v>365</v>
      </c>
      <c r="M275" s="12">
        <v>180</v>
      </c>
      <c r="N275" s="12" t="s">
        <v>308</v>
      </c>
      <c r="O275" s="12" t="s">
        <v>366</v>
      </c>
      <c r="P275" s="2"/>
      <c r="Q275" s="12">
        <v>5</v>
      </c>
      <c r="R275" s="208"/>
      <c r="S275" s="2"/>
      <c r="V275" s="38">
        <v>280</v>
      </c>
    </row>
    <row r="276" spans="1:22" ht="15" customHeight="1">
      <c r="A276" s="174">
        <v>48</v>
      </c>
      <c r="B276" s="179">
        <v>6</v>
      </c>
      <c r="C276" s="12" t="s">
        <v>361</v>
      </c>
      <c r="D276" s="12" t="s">
        <v>362</v>
      </c>
      <c r="E276" s="12" t="s">
        <v>363</v>
      </c>
      <c r="F276" s="12">
        <v>25</v>
      </c>
      <c r="G276" s="12">
        <v>1</v>
      </c>
      <c r="H276" s="20"/>
      <c r="I276" s="20"/>
      <c r="J276" s="20"/>
      <c r="K276" s="12" t="s">
        <v>364</v>
      </c>
      <c r="L276" s="12" t="s">
        <v>365</v>
      </c>
      <c r="M276" s="12">
        <v>180</v>
      </c>
      <c r="N276" s="12" t="s">
        <v>308</v>
      </c>
      <c r="O276" s="12" t="s">
        <v>366</v>
      </c>
      <c r="P276" s="2"/>
      <c r="Q276" s="12">
        <v>5</v>
      </c>
      <c r="R276" s="208"/>
      <c r="S276" s="2"/>
      <c r="V276" s="38">
        <v>281</v>
      </c>
    </row>
    <row r="277" spans="1:22" ht="15" customHeight="1">
      <c r="A277" s="174">
        <v>48</v>
      </c>
      <c r="B277" s="179">
        <v>7</v>
      </c>
      <c r="C277" s="12" t="s">
        <v>361</v>
      </c>
      <c r="D277" s="12" t="s">
        <v>362</v>
      </c>
      <c r="E277" s="12" t="s">
        <v>363</v>
      </c>
      <c r="F277" s="12">
        <v>25</v>
      </c>
      <c r="G277" s="12">
        <v>1</v>
      </c>
      <c r="H277" s="20"/>
      <c r="I277" s="20"/>
      <c r="J277" s="20"/>
      <c r="K277" s="12" t="s">
        <v>364</v>
      </c>
      <c r="L277" s="12" t="s">
        <v>365</v>
      </c>
      <c r="M277" s="12">
        <v>180</v>
      </c>
      <c r="N277" s="12" t="s">
        <v>308</v>
      </c>
      <c r="O277" s="12" t="s">
        <v>366</v>
      </c>
      <c r="P277" s="2"/>
      <c r="Q277" s="12">
        <v>5</v>
      </c>
      <c r="R277" s="208"/>
      <c r="S277" s="2"/>
      <c r="V277" s="38">
        <v>282</v>
      </c>
    </row>
    <row r="278" spans="1:22" ht="15" customHeight="1">
      <c r="A278" s="174">
        <v>48</v>
      </c>
      <c r="B278" s="179">
        <v>8</v>
      </c>
      <c r="C278" s="12" t="s">
        <v>361</v>
      </c>
      <c r="D278" s="12" t="s">
        <v>362</v>
      </c>
      <c r="E278" s="12" t="s">
        <v>363</v>
      </c>
      <c r="F278" s="12">
        <v>25</v>
      </c>
      <c r="G278" s="12">
        <v>1</v>
      </c>
      <c r="H278" s="20"/>
      <c r="I278" s="20"/>
      <c r="J278" s="20"/>
      <c r="K278" s="12" t="s">
        <v>364</v>
      </c>
      <c r="L278" s="12" t="s">
        <v>365</v>
      </c>
      <c r="M278" s="12">
        <v>180</v>
      </c>
      <c r="N278" s="12" t="s">
        <v>308</v>
      </c>
      <c r="O278" s="12" t="s">
        <v>366</v>
      </c>
      <c r="P278" s="2"/>
      <c r="Q278" s="12">
        <v>5</v>
      </c>
      <c r="R278" s="208"/>
      <c r="S278" s="2"/>
      <c r="V278" s="38">
        <v>283</v>
      </c>
    </row>
    <row r="279" spans="1:22" ht="15" customHeight="1">
      <c r="A279" s="174">
        <v>48</v>
      </c>
      <c r="B279" s="179">
        <v>9</v>
      </c>
      <c r="C279" s="12" t="s">
        <v>361</v>
      </c>
      <c r="D279" s="12" t="s">
        <v>362</v>
      </c>
      <c r="E279" s="12" t="s">
        <v>363</v>
      </c>
      <c r="F279" s="12">
        <v>25</v>
      </c>
      <c r="G279" s="12">
        <v>1</v>
      </c>
      <c r="H279" s="20"/>
      <c r="I279" s="20"/>
      <c r="J279" s="20"/>
      <c r="K279" s="12" t="s">
        <v>364</v>
      </c>
      <c r="L279" s="12" t="s">
        <v>365</v>
      </c>
      <c r="M279" s="12">
        <v>180</v>
      </c>
      <c r="N279" s="12" t="s">
        <v>308</v>
      </c>
      <c r="O279" s="12" t="s">
        <v>366</v>
      </c>
      <c r="P279" s="2"/>
      <c r="Q279" s="12">
        <v>5</v>
      </c>
      <c r="R279" s="208"/>
      <c r="S279" s="2"/>
      <c r="V279" s="38">
        <v>284</v>
      </c>
    </row>
    <row r="280" spans="1:22" ht="15" customHeight="1">
      <c r="A280" s="174">
        <v>48</v>
      </c>
      <c r="B280" s="179">
        <v>10</v>
      </c>
      <c r="C280" s="12" t="s">
        <v>361</v>
      </c>
      <c r="D280" s="12" t="s">
        <v>362</v>
      </c>
      <c r="E280" s="12" t="s">
        <v>363</v>
      </c>
      <c r="F280" s="12">
        <v>25</v>
      </c>
      <c r="G280" s="12">
        <v>1</v>
      </c>
      <c r="H280" s="20"/>
      <c r="I280" s="20"/>
      <c r="J280" s="20"/>
      <c r="K280" s="12" t="s">
        <v>364</v>
      </c>
      <c r="L280" s="12" t="s">
        <v>365</v>
      </c>
      <c r="M280" s="12">
        <v>180</v>
      </c>
      <c r="N280" s="12" t="s">
        <v>308</v>
      </c>
      <c r="O280" s="12" t="s">
        <v>366</v>
      </c>
      <c r="P280" s="2"/>
      <c r="Q280" s="12">
        <v>5</v>
      </c>
      <c r="R280" s="208"/>
      <c r="S280" s="2"/>
      <c r="V280" s="38">
        <v>285</v>
      </c>
    </row>
    <row r="281" spans="1:22" ht="15" customHeight="1">
      <c r="A281" s="174">
        <v>48</v>
      </c>
      <c r="B281" s="179">
        <v>11</v>
      </c>
      <c r="C281" s="12" t="s">
        <v>361</v>
      </c>
      <c r="D281" s="12" t="s">
        <v>362</v>
      </c>
      <c r="E281" s="12" t="s">
        <v>363</v>
      </c>
      <c r="F281" s="12">
        <v>25</v>
      </c>
      <c r="G281" s="12">
        <v>1</v>
      </c>
      <c r="H281" s="20"/>
      <c r="I281" s="20"/>
      <c r="J281" s="20"/>
      <c r="K281" s="12" t="s">
        <v>364</v>
      </c>
      <c r="L281" s="12" t="s">
        <v>365</v>
      </c>
      <c r="M281" s="12">
        <v>180</v>
      </c>
      <c r="N281" s="12" t="s">
        <v>308</v>
      </c>
      <c r="O281" s="12" t="s">
        <v>366</v>
      </c>
      <c r="P281" s="2"/>
      <c r="Q281" s="12">
        <v>5</v>
      </c>
      <c r="R281" s="208"/>
      <c r="S281" s="2"/>
      <c r="V281" s="38">
        <v>286</v>
      </c>
    </row>
    <row r="282" spans="1:22" ht="15" customHeight="1">
      <c r="A282" s="174">
        <v>48</v>
      </c>
      <c r="B282" s="179">
        <v>12</v>
      </c>
      <c r="C282" s="12" t="s">
        <v>361</v>
      </c>
      <c r="D282" s="12" t="s">
        <v>362</v>
      </c>
      <c r="E282" s="12" t="s">
        <v>363</v>
      </c>
      <c r="F282" s="12">
        <v>25</v>
      </c>
      <c r="G282" s="12">
        <v>1</v>
      </c>
      <c r="H282" s="20"/>
      <c r="I282" s="20"/>
      <c r="J282" s="20"/>
      <c r="K282" s="12" t="s">
        <v>364</v>
      </c>
      <c r="L282" s="12" t="s">
        <v>365</v>
      </c>
      <c r="M282" s="12">
        <v>180</v>
      </c>
      <c r="N282" s="12" t="s">
        <v>308</v>
      </c>
      <c r="O282" s="12" t="s">
        <v>366</v>
      </c>
      <c r="P282" s="2"/>
      <c r="Q282" s="12">
        <v>5</v>
      </c>
      <c r="R282" s="208"/>
      <c r="S282" s="2"/>
      <c r="V282" s="38">
        <v>287</v>
      </c>
    </row>
    <row r="283" spans="1:22" ht="15" customHeight="1">
      <c r="A283" s="266">
        <v>49</v>
      </c>
      <c r="B283" s="58">
        <v>1</v>
      </c>
      <c r="C283" s="199" t="s">
        <v>361</v>
      </c>
      <c r="D283" s="199" t="s">
        <v>362</v>
      </c>
      <c r="E283" s="206"/>
      <c r="F283" s="206"/>
      <c r="G283" s="206"/>
      <c r="H283" s="206"/>
      <c r="I283" s="206"/>
      <c r="J283" s="206"/>
      <c r="K283" s="206"/>
      <c r="L283" s="194" t="s">
        <v>369</v>
      </c>
      <c r="M283" s="194">
        <v>185</v>
      </c>
      <c r="N283" s="199" t="s">
        <v>308</v>
      </c>
      <c r="O283" s="199" t="s">
        <v>366</v>
      </c>
      <c r="P283" s="199" t="s">
        <v>368</v>
      </c>
      <c r="Q283" s="206"/>
      <c r="R283" s="207"/>
      <c r="S283" s="2"/>
      <c r="V283" s="38">
        <v>288</v>
      </c>
    </row>
    <row r="284" spans="1:22" ht="15" customHeight="1">
      <c r="A284" s="210">
        <v>49</v>
      </c>
      <c r="B284" s="59">
        <v>2</v>
      </c>
      <c r="C284" s="12" t="s">
        <v>361</v>
      </c>
      <c r="D284" s="12" t="s">
        <v>362</v>
      </c>
      <c r="E284" s="2"/>
      <c r="F284" s="2"/>
      <c r="G284" s="2"/>
      <c r="H284" s="2"/>
      <c r="I284" s="2"/>
      <c r="J284" s="2"/>
      <c r="K284" s="2"/>
      <c r="L284" s="20" t="s">
        <v>369</v>
      </c>
      <c r="M284" s="20">
        <v>185</v>
      </c>
      <c r="N284" s="12" t="s">
        <v>308</v>
      </c>
      <c r="O284" s="12" t="s">
        <v>366</v>
      </c>
      <c r="P284" s="12" t="s">
        <v>368</v>
      </c>
      <c r="Q284" s="2"/>
      <c r="R284" s="208"/>
      <c r="S284" s="2"/>
      <c r="V284" s="38">
        <v>289</v>
      </c>
    </row>
    <row r="285" spans="1:22" ht="15" customHeight="1">
      <c r="A285" s="210">
        <v>49</v>
      </c>
      <c r="B285" s="59">
        <v>3</v>
      </c>
      <c r="C285" s="12" t="s">
        <v>361</v>
      </c>
      <c r="D285" s="12" t="s">
        <v>362</v>
      </c>
      <c r="E285" s="2"/>
      <c r="F285" s="2"/>
      <c r="G285" s="2"/>
      <c r="H285" s="2"/>
      <c r="I285" s="2"/>
      <c r="J285" s="2"/>
      <c r="K285" s="2"/>
      <c r="L285" s="20" t="s">
        <v>369</v>
      </c>
      <c r="M285" s="20">
        <v>185</v>
      </c>
      <c r="N285" s="12" t="s">
        <v>308</v>
      </c>
      <c r="O285" s="12" t="s">
        <v>366</v>
      </c>
      <c r="P285" s="12" t="s">
        <v>368</v>
      </c>
      <c r="Q285" s="2"/>
      <c r="R285" s="208"/>
      <c r="S285" s="2"/>
      <c r="V285" s="38">
        <v>290</v>
      </c>
    </row>
    <row r="286" spans="1:22" ht="15" customHeight="1">
      <c r="A286" s="201">
        <v>50</v>
      </c>
      <c r="B286" s="58">
        <v>1</v>
      </c>
      <c r="C286" s="12" t="s">
        <v>370</v>
      </c>
      <c r="D286" s="100" t="s">
        <v>373</v>
      </c>
      <c r="E286" s="12" t="s">
        <v>363</v>
      </c>
      <c r="F286" s="206"/>
      <c r="G286" s="206"/>
      <c r="H286" s="206"/>
      <c r="I286" s="206"/>
      <c r="J286" s="206"/>
      <c r="K286" s="206"/>
      <c r="L286" s="194" t="s">
        <v>369</v>
      </c>
      <c r="M286" s="206"/>
      <c r="N286" s="199" t="s">
        <v>308</v>
      </c>
      <c r="O286" s="206"/>
      <c r="P286" s="194" t="s">
        <v>377</v>
      </c>
      <c r="Q286" s="199">
        <v>0.1</v>
      </c>
      <c r="R286" s="197">
        <v>1</v>
      </c>
      <c r="S286" s="2"/>
      <c r="V286" s="38">
        <v>292</v>
      </c>
    </row>
    <row r="287" spans="1:22" ht="15" customHeight="1">
      <c r="A287" s="200">
        <v>50</v>
      </c>
      <c r="B287" s="59">
        <v>2</v>
      </c>
      <c r="C287" s="12" t="s">
        <v>370</v>
      </c>
      <c r="D287" s="100" t="s">
        <v>373</v>
      </c>
      <c r="E287" s="12" t="s">
        <v>363</v>
      </c>
      <c r="F287" s="2"/>
      <c r="G287" s="2"/>
      <c r="H287" s="2"/>
      <c r="I287" s="2"/>
      <c r="J287" s="2"/>
      <c r="K287" s="2"/>
      <c r="L287" s="20" t="s">
        <v>369</v>
      </c>
      <c r="M287" s="2"/>
      <c r="N287" s="12" t="s">
        <v>308</v>
      </c>
      <c r="O287" s="2"/>
      <c r="P287" s="20" t="s">
        <v>377</v>
      </c>
      <c r="Q287" s="12">
        <v>0.1</v>
      </c>
      <c r="R287" s="198">
        <v>1</v>
      </c>
      <c r="S287" s="2"/>
      <c r="V287" s="38">
        <v>293</v>
      </c>
    </row>
    <row r="288" spans="1:22" ht="15" customHeight="1">
      <c r="A288" s="200">
        <v>50</v>
      </c>
      <c r="B288" s="59">
        <v>3</v>
      </c>
      <c r="C288" s="12" t="s">
        <v>370</v>
      </c>
      <c r="D288" s="100" t="s">
        <v>373</v>
      </c>
      <c r="E288" s="12" t="s">
        <v>363</v>
      </c>
      <c r="F288" s="2"/>
      <c r="G288" s="2"/>
      <c r="H288" s="2"/>
      <c r="I288" s="2"/>
      <c r="J288" s="2"/>
      <c r="K288" s="2"/>
      <c r="L288" s="20" t="s">
        <v>369</v>
      </c>
      <c r="M288" s="2"/>
      <c r="N288" s="12" t="s">
        <v>308</v>
      </c>
      <c r="O288" s="2"/>
      <c r="P288" s="20" t="s">
        <v>377</v>
      </c>
      <c r="Q288" s="12">
        <v>0.1</v>
      </c>
      <c r="R288" s="198">
        <v>1</v>
      </c>
      <c r="S288" s="2"/>
      <c r="V288" s="38">
        <v>294</v>
      </c>
    </row>
    <row r="289" spans="1:37" ht="15" customHeight="1">
      <c r="A289" s="200">
        <v>50</v>
      </c>
      <c r="B289" s="59">
        <v>4</v>
      </c>
      <c r="C289" s="12" t="s">
        <v>370</v>
      </c>
      <c r="D289" s="100" t="s">
        <v>373</v>
      </c>
      <c r="E289" s="12" t="s">
        <v>363</v>
      </c>
      <c r="F289" s="2"/>
      <c r="G289" s="2"/>
      <c r="H289" s="2"/>
      <c r="I289" s="2"/>
      <c r="J289" s="2"/>
      <c r="K289" s="2"/>
      <c r="L289" s="20" t="s">
        <v>369</v>
      </c>
      <c r="M289" s="2"/>
      <c r="N289" s="12" t="s">
        <v>308</v>
      </c>
      <c r="O289" s="2"/>
      <c r="P289" s="20" t="s">
        <v>377</v>
      </c>
      <c r="Q289" s="12">
        <v>0.1</v>
      </c>
      <c r="R289" s="198">
        <v>1</v>
      </c>
      <c r="S289" s="2"/>
      <c r="V289" s="38">
        <v>295</v>
      </c>
    </row>
    <row r="290" spans="1:37" ht="15" customHeight="1">
      <c r="A290" s="201">
        <v>51</v>
      </c>
      <c r="B290" s="58">
        <v>1</v>
      </c>
      <c r="C290" s="199" t="s">
        <v>361</v>
      </c>
      <c r="D290" s="199" t="s">
        <v>362</v>
      </c>
      <c r="E290" s="206"/>
      <c r="F290" s="206"/>
      <c r="G290" s="206"/>
      <c r="H290" s="206"/>
      <c r="I290" s="206"/>
      <c r="J290" s="206"/>
      <c r="K290" s="206"/>
      <c r="L290" s="194" t="s">
        <v>369</v>
      </c>
      <c r="M290" s="206"/>
      <c r="N290" s="199" t="s">
        <v>308</v>
      </c>
      <c r="O290" s="206"/>
      <c r="P290" s="194" t="s">
        <v>377</v>
      </c>
      <c r="Q290" s="206"/>
      <c r="R290" s="197">
        <v>1</v>
      </c>
      <c r="S290" s="2"/>
      <c r="V290" s="38">
        <v>296</v>
      </c>
    </row>
    <row r="291" spans="1:37" ht="15" customHeight="1">
      <c r="A291" s="200">
        <v>51</v>
      </c>
      <c r="B291" s="59">
        <v>2</v>
      </c>
      <c r="C291" s="12" t="s">
        <v>361</v>
      </c>
      <c r="D291" s="12" t="s">
        <v>362</v>
      </c>
      <c r="E291" s="2"/>
      <c r="F291" s="2"/>
      <c r="G291" s="2"/>
      <c r="H291" s="2"/>
      <c r="I291" s="2"/>
      <c r="J291" s="2"/>
      <c r="K291" s="2"/>
      <c r="L291" s="20" t="s">
        <v>369</v>
      </c>
      <c r="M291" s="2"/>
      <c r="N291" s="12" t="s">
        <v>308</v>
      </c>
      <c r="O291" s="2"/>
      <c r="P291" s="20" t="s">
        <v>377</v>
      </c>
      <c r="Q291" s="2"/>
      <c r="R291" s="198">
        <v>1</v>
      </c>
      <c r="S291" s="2"/>
      <c r="V291" s="38">
        <v>297</v>
      </c>
    </row>
    <row r="292" spans="1:37" ht="15" customHeight="1">
      <c r="A292" s="200">
        <v>51</v>
      </c>
      <c r="B292" s="59">
        <v>3</v>
      </c>
      <c r="C292" s="12" t="s">
        <v>361</v>
      </c>
      <c r="D292" s="12" t="s">
        <v>362</v>
      </c>
      <c r="E292" s="2"/>
      <c r="F292" s="2"/>
      <c r="G292" s="2"/>
      <c r="H292" s="2"/>
      <c r="I292" s="2"/>
      <c r="J292" s="2"/>
      <c r="K292" s="2"/>
      <c r="L292" s="20" t="s">
        <v>369</v>
      </c>
      <c r="M292" s="2"/>
      <c r="N292" s="12" t="s">
        <v>308</v>
      </c>
      <c r="O292" s="2"/>
      <c r="P292" s="20" t="s">
        <v>377</v>
      </c>
      <c r="Q292" s="2"/>
      <c r="R292" s="198">
        <v>1</v>
      </c>
      <c r="S292" s="2"/>
      <c r="V292" s="38">
        <v>298</v>
      </c>
    </row>
    <row r="293" spans="1:37" ht="15" customHeight="1">
      <c r="A293" s="200">
        <v>51</v>
      </c>
      <c r="B293" s="59">
        <v>4</v>
      </c>
      <c r="C293" s="12" t="s">
        <v>361</v>
      </c>
      <c r="D293" s="12" t="s">
        <v>362</v>
      </c>
      <c r="E293" s="2"/>
      <c r="F293" s="2"/>
      <c r="G293" s="2"/>
      <c r="H293" s="2"/>
      <c r="I293" s="2"/>
      <c r="J293" s="2"/>
      <c r="K293" s="2"/>
      <c r="L293" s="20" t="s">
        <v>369</v>
      </c>
      <c r="M293" s="2"/>
      <c r="N293" s="12" t="s">
        <v>308</v>
      </c>
      <c r="O293" s="2"/>
      <c r="P293" s="20" t="s">
        <v>377</v>
      </c>
      <c r="Q293" s="2"/>
      <c r="R293" s="198">
        <v>1</v>
      </c>
      <c r="S293" s="2"/>
      <c r="V293" s="38">
        <v>299</v>
      </c>
    </row>
    <row r="294" spans="1:37" ht="15" customHeight="1">
      <c r="A294" s="200">
        <v>51</v>
      </c>
      <c r="B294" s="59">
        <v>5</v>
      </c>
      <c r="C294" s="12" t="s">
        <v>361</v>
      </c>
      <c r="D294" s="12" t="s">
        <v>362</v>
      </c>
      <c r="E294" s="2"/>
      <c r="F294" s="2"/>
      <c r="G294" s="2"/>
      <c r="H294" s="2"/>
      <c r="I294" s="2"/>
      <c r="J294" s="2"/>
      <c r="K294" s="2"/>
      <c r="L294" s="20" t="s">
        <v>369</v>
      </c>
      <c r="M294" s="2"/>
      <c r="N294" s="12" t="s">
        <v>308</v>
      </c>
      <c r="O294" s="2"/>
      <c r="P294" s="20" t="s">
        <v>377</v>
      </c>
      <c r="Q294" s="2"/>
      <c r="R294" s="198">
        <v>1</v>
      </c>
      <c r="S294" s="2"/>
      <c r="V294" s="38">
        <v>300</v>
      </c>
    </row>
    <row r="295" spans="1:37" ht="15" customHeight="1">
      <c r="A295" s="200">
        <v>51</v>
      </c>
      <c r="B295" s="59">
        <v>6</v>
      </c>
      <c r="C295" s="12" t="s">
        <v>361</v>
      </c>
      <c r="D295" s="12" t="s">
        <v>362</v>
      </c>
      <c r="E295" s="2"/>
      <c r="F295" s="2"/>
      <c r="G295" s="2"/>
      <c r="H295" s="2"/>
      <c r="I295" s="2"/>
      <c r="J295" s="2"/>
      <c r="K295" s="2"/>
      <c r="L295" s="20" t="s">
        <v>369</v>
      </c>
      <c r="M295" s="2"/>
      <c r="N295" s="12" t="s">
        <v>308</v>
      </c>
      <c r="O295" s="2"/>
      <c r="P295" s="20" t="s">
        <v>377</v>
      </c>
      <c r="Q295" s="2"/>
      <c r="R295" s="198">
        <v>1</v>
      </c>
      <c r="S295" s="2"/>
      <c r="V295" s="38">
        <v>301</v>
      </c>
    </row>
    <row r="296" spans="1:37" ht="15" customHeight="1">
      <c r="A296" s="200">
        <v>51</v>
      </c>
      <c r="B296" s="59">
        <v>7</v>
      </c>
      <c r="C296" s="24" t="s">
        <v>361</v>
      </c>
      <c r="D296" s="24" t="s">
        <v>362</v>
      </c>
      <c r="E296" s="2"/>
      <c r="F296" s="2"/>
      <c r="G296" s="2"/>
      <c r="H296" s="2"/>
      <c r="I296" s="2"/>
      <c r="J296" s="2"/>
      <c r="K296" s="2"/>
      <c r="L296" s="20" t="s">
        <v>369</v>
      </c>
      <c r="M296" s="2"/>
      <c r="N296" s="12" t="s">
        <v>308</v>
      </c>
      <c r="O296" s="2"/>
      <c r="P296" s="20" t="s">
        <v>377</v>
      </c>
      <c r="Q296" s="2"/>
      <c r="R296" s="198">
        <v>1</v>
      </c>
      <c r="S296" s="2"/>
      <c r="V296" s="38">
        <v>302</v>
      </c>
    </row>
    <row r="297" spans="1:37" ht="15" customHeight="1">
      <c r="A297" s="237">
        <v>52</v>
      </c>
      <c r="B297" s="178">
        <v>1</v>
      </c>
      <c r="C297" s="12" t="s">
        <v>370</v>
      </c>
      <c r="D297" s="100" t="s">
        <v>373</v>
      </c>
      <c r="E297" s="199"/>
      <c r="F297" s="199"/>
      <c r="G297" s="199"/>
      <c r="H297" s="199"/>
      <c r="I297" s="199"/>
      <c r="J297" s="199"/>
      <c r="K297" s="199"/>
      <c r="L297" s="199"/>
      <c r="M297" s="199"/>
      <c r="N297" s="199" t="s">
        <v>308</v>
      </c>
      <c r="O297" s="199"/>
      <c r="P297" s="199" t="s">
        <v>372</v>
      </c>
      <c r="Q297" s="206"/>
      <c r="R297" s="207"/>
      <c r="S297" s="2"/>
      <c r="V297" s="38">
        <v>303</v>
      </c>
    </row>
    <row r="298" spans="1:37" ht="15" customHeight="1">
      <c r="A298" s="205">
        <v>52</v>
      </c>
      <c r="B298" s="179">
        <v>2</v>
      </c>
      <c r="C298" s="12" t="s">
        <v>370</v>
      </c>
      <c r="D298" s="100" t="s">
        <v>373</v>
      </c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308</v>
      </c>
      <c r="O298" s="12"/>
      <c r="P298" s="12" t="s">
        <v>372</v>
      </c>
      <c r="Q298" s="2"/>
      <c r="R298" s="208"/>
      <c r="S298" s="2"/>
      <c r="V298" s="38">
        <v>304</v>
      </c>
    </row>
    <row r="299" spans="1:37" ht="15" customHeight="1">
      <c r="A299" s="205">
        <v>52</v>
      </c>
      <c r="B299" s="179">
        <v>3</v>
      </c>
      <c r="C299" s="12" t="s">
        <v>370</v>
      </c>
      <c r="D299" s="100" t="s">
        <v>373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 t="s">
        <v>308</v>
      </c>
      <c r="O299" s="12"/>
      <c r="P299" s="12" t="s">
        <v>372</v>
      </c>
      <c r="Q299" s="2"/>
      <c r="R299" s="208"/>
      <c r="S299" s="2"/>
      <c r="V299" s="38">
        <v>305</v>
      </c>
    </row>
    <row r="300" spans="1:37" ht="15" customHeight="1">
      <c r="A300" s="205">
        <v>52</v>
      </c>
      <c r="B300" s="180">
        <v>4</v>
      </c>
      <c r="C300" s="12" t="s">
        <v>370</v>
      </c>
      <c r="D300" s="100" t="s">
        <v>373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308</v>
      </c>
      <c r="O300" s="12"/>
      <c r="P300" s="12" t="s">
        <v>372</v>
      </c>
      <c r="Q300" s="2"/>
      <c r="R300" s="208"/>
      <c r="S300" s="2"/>
      <c r="V300" s="38">
        <v>306</v>
      </c>
    </row>
    <row r="301" spans="1:37" ht="15" customHeight="1">
      <c r="A301" s="177">
        <v>53</v>
      </c>
      <c r="B301" s="179">
        <v>1</v>
      </c>
      <c r="C301" s="199" t="s">
        <v>370</v>
      </c>
      <c r="D301" s="282" t="s">
        <v>381</v>
      </c>
      <c r="E301" s="199" t="s">
        <v>363</v>
      </c>
      <c r="F301" s="199">
        <v>25</v>
      </c>
      <c r="G301" s="199">
        <v>0.5</v>
      </c>
      <c r="H301" s="199" t="s">
        <v>367</v>
      </c>
      <c r="I301" s="199">
        <v>25</v>
      </c>
      <c r="J301" s="199">
        <v>1</v>
      </c>
      <c r="K301" s="199" t="s">
        <v>364</v>
      </c>
      <c r="L301" s="194" t="s">
        <v>369</v>
      </c>
      <c r="M301" s="199"/>
      <c r="N301" s="199" t="s">
        <v>308</v>
      </c>
      <c r="O301" s="199" t="s">
        <v>366</v>
      </c>
      <c r="P301" s="199"/>
      <c r="Q301" s="199"/>
      <c r="R301" s="197">
        <v>1</v>
      </c>
      <c r="S301" s="12"/>
      <c r="T301" s="12"/>
      <c r="U301" s="12"/>
      <c r="V301" s="38">
        <v>307</v>
      </c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spans="1:37" ht="15" customHeight="1">
      <c r="A302" s="174">
        <v>53</v>
      </c>
      <c r="B302" s="179">
        <v>2</v>
      </c>
      <c r="C302" s="12" t="s">
        <v>370</v>
      </c>
      <c r="D302" s="100" t="s">
        <v>381</v>
      </c>
      <c r="E302" s="12" t="s">
        <v>363</v>
      </c>
      <c r="F302" s="12">
        <v>25</v>
      </c>
      <c r="G302" s="12">
        <v>0.5</v>
      </c>
      <c r="H302" s="12" t="s">
        <v>367</v>
      </c>
      <c r="I302" s="12">
        <v>25</v>
      </c>
      <c r="J302" s="12">
        <v>1</v>
      </c>
      <c r="K302" s="12" t="s">
        <v>364</v>
      </c>
      <c r="L302" s="20" t="s">
        <v>369</v>
      </c>
      <c r="M302" s="12"/>
      <c r="N302" s="12" t="s">
        <v>308</v>
      </c>
      <c r="O302" s="12" t="s">
        <v>366</v>
      </c>
      <c r="P302" s="12"/>
      <c r="Q302" s="12"/>
      <c r="R302" s="198">
        <v>1</v>
      </c>
      <c r="S302" s="12"/>
      <c r="T302" s="12"/>
      <c r="U302" s="12"/>
      <c r="V302" s="38">
        <v>308</v>
      </c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spans="1:37" ht="15" customHeight="1">
      <c r="A303" s="174">
        <v>53</v>
      </c>
      <c r="B303" s="179">
        <v>3</v>
      </c>
      <c r="C303" s="12" t="s">
        <v>370</v>
      </c>
      <c r="D303" s="100" t="s">
        <v>381</v>
      </c>
      <c r="E303" s="12" t="s">
        <v>363</v>
      </c>
      <c r="F303" s="12">
        <v>25</v>
      </c>
      <c r="G303" s="12">
        <v>0.5</v>
      </c>
      <c r="H303" s="12" t="s">
        <v>367</v>
      </c>
      <c r="I303" s="12">
        <v>25</v>
      </c>
      <c r="J303" s="12">
        <v>1</v>
      </c>
      <c r="K303" s="12" t="s">
        <v>364</v>
      </c>
      <c r="L303" s="20" t="s">
        <v>369</v>
      </c>
      <c r="M303" s="12"/>
      <c r="N303" s="12" t="s">
        <v>308</v>
      </c>
      <c r="O303" s="12" t="s">
        <v>366</v>
      </c>
      <c r="P303" s="12"/>
      <c r="Q303" s="12"/>
      <c r="R303" s="198">
        <v>1</v>
      </c>
      <c r="S303" s="12"/>
      <c r="T303" s="12"/>
      <c r="U303" s="12"/>
      <c r="V303" s="38">
        <v>309</v>
      </c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spans="1:37" ht="15" customHeight="1">
      <c r="A304" s="174">
        <v>53</v>
      </c>
      <c r="B304" s="179">
        <v>4</v>
      </c>
      <c r="C304" s="12" t="s">
        <v>370</v>
      </c>
      <c r="D304" s="100" t="s">
        <v>381</v>
      </c>
      <c r="E304" s="12" t="s">
        <v>363</v>
      </c>
      <c r="F304" s="12">
        <v>25</v>
      </c>
      <c r="G304" s="12">
        <v>0.5</v>
      </c>
      <c r="H304" s="12" t="s">
        <v>367</v>
      </c>
      <c r="I304" s="12">
        <v>25</v>
      </c>
      <c r="J304" s="12">
        <v>1</v>
      </c>
      <c r="K304" s="12" t="s">
        <v>364</v>
      </c>
      <c r="L304" s="20" t="s">
        <v>369</v>
      </c>
      <c r="M304" s="12"/>
      <c r="N304" s="12" t="s">
        <v>308</v>
      </c>
      <c r="O304" s="12" t="s">
        <v>366</v>
      </c>
      <c r="P304" s="12"/>
      <c r="Q304" s="12"/>
      <c r="R304" s="198">
        <v>1</v>
      </c>
      <c r="S304" s="12"/>
      <c r="T304" s="12"/>
      <c r="U304" s="12"/>
      <c r="V304" s="38">
        <v>310</v>
      </c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spans="1:37" ht="15" customHeight="1">
      <c r="A305" s="174">
        <v>53</v>
      </c>
      <c r="B305" s="179">
        <v>5</v>
      </c>
      <c r="C305" s="12" t="s">
        <v>370</v>
      </c>
      <c r="D305" s="100" t="s">
        <v>381</v>
      </c>
      <c r="E305" s="12" t="s">
        <v>363</v>
      </c>
      <c r="F305" s="12">
        <v>25</v>
      </c>
      <c r="G305" s="12">
        <v>0.5</v>
      </c>
      <c r="H305" s="12" t="s">
        <v>367</v>
      </c>
      <c r="I305" s="12">
        <v>25</v>
      </c>
      <c r="J305" s="12">
        <v>1</v>
      </c>
      <c r="K305" s="12" t="s">
        <v>364</v>
      </c>
      <c r="L305" s="20" t="s">
        <v>369</v>
      </c>
      <c r="M305" s="12"/>
      <c r="N305" s="12" t="s">
        <v>308</v>
      </c>
      <c r="O305" s="12" t="s">
        <v>366</v>
      </c>
      <c r="P305" s="12"/>
      <c r="Q305" s="12"/>
      <c r="R305" s="198">
        <v>1</v>
      </c>
      <c r="S305" s="12"/>
      <c r="T305" s="12"/>
      <c r="U305" s="12"/>
      <c r="V305" s="38">
        <v>311</v>
      </c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spans="1:37" ht="15" customHeight="1">
      <c r="A306" s="201">
        <v>54</v>
      </c>
      <c r="B306" s="178">
        <v>1</v>
      </c>
      <c r="C306" s="199" t="s">
        <v>370</v>
      </c>
      <c r="D306" s="199"/>
      <c r="E306" s="199"/>
      <c r="F306" s="199"/>
      <c r="G306" s="199"/>
      <c r="H306" s="199"/>
      <c r="I306" s="199"/>
      <c r="J306" s="199"/>
      <c r="K306" s="199"/>
      <c r="L306" s="194" t="s">
        <v>369</v>
      </c>
      <c r="M306" s="199"/>
      <c r="N306" s="199" t="s">
        <v>308</v>
      </c>
      <c r="O306" s="199"/>
      <c r="P306" s="199" t="s">
        <v>377</v>
      </c>
      <c r="Q306" s="199"/>
      <c r="R306" s="189">
        <v>1</v>
      </c>
      <c r="S306" s="12"/>
      <c r="T306" s="12"/>
      <c r="U306" s="12"/>
      <c r="V306" s="38">
        <v>312</v>
      </c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spans="1:37" ht="15" customHeight="1">
      <c r="A307" s="200">
        <v>54</v>
      </c>
      <c r="B307" s="179">
        <v>2</v>
      </c>
      <c r="C307" s="12" t="s">
        <v>370</v>
      </c>
      <c r="D307" s="12"/>
      <c r="E307" s="12"/>
      <c r="F307" s="12"/>
      <c r="G307" s="12"/>
      <c r="H307" s="12"/>
      <c r="I307" s="12"/>
      <c r="J307" s="12"/>
      <c r="K307" s="12"/>
      <c r="L307" s="20" t="s">
        <v>369</v>
      </c>
      <c r="M307" s="12"/>
      <c r="N307" s="12" t="s">
        <v>308</v>
      </c>
      <c r="O307" s="12"/>
      <c r="P307" s="12" t="s">
        <v>377</v>
      </c>
      <c r="Q307" s="12"/>
      <c r="R307" s="192">
        <v>1</v>
      </c>
      <c r="S307" s="12"/>
      <c r="T307" s="12"/>
      <c r="U307" s="12"/>
      <c r="V307" s="38">
        <v>313</v>
      </c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spans="1:37" ht="15" customHeight="1">
      <c r="A308" s="200">
        <v>54</v>
      </c>
      <c r="B308" s="179">
        <v>3</v>
      </c>
      <c r="C308" s="12" t="s">
        <v>370</v>
      </c>
      <c r="D308" s="12"/>
      <c r="E308" s="12"/>
      <c r="F308" s="12"/>
      <c r="G308" s="12"/>
      <c r="H308" s="12"/>
      <c r="I308" s="12"/>
      <c r="J308" s="12"/>
      <c r="K308" s="12"/>
      <c r="L308" s="20" t="s">
        <v>369</v>
      </c>
      <c r="M308" s="12"/>
      <c r="N308" s="12" t="s">
        <v>308</v>
      </c>
      <c r="O308" s="12"/>
      <c r="P308" s="12" t="s">
        <v>377</v>
      </c>
      <c r="Q308" s="12"/>
      <c r="R308" s="192">
        <v>1</v>
      </c>
      <c r="S308" s="12"/>
      <c r="T308" s="12"/>
      <c r="U308" s="12"/>
      <c r="V308" s="38">
        <v>314</v>
      </c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ht="15" customHeight="1">
      <c r="A309" s="200">
        <v>54</v>
      </c>
      <c r="B309" s="179">
        <v>4</v>
      </c>
      <c r="C309" s="12" t="s">
        <v>370</v>
      </c>
      <c r="D309" s="12"/>
      <c r="E309" s="12"/>
      <c r="F309" s="12"/>
      <c r="G309" s="12"/>
      <c r="H309" s="12"/>
      <c r="I309" s="12"/>
      <c r="J309" s="12"/>
      <c r="K309" s="12"/>
      <c r="L309" s="20" t="s">
        <v>369</v>
      </c>
      <c r="M309" s="12"/>
      <c r="N309" s="12" t="s">
        <v>308</v>
      </c>
      <c r="O309" s="12"/>
      <c r="P309" s="12" t="s">
        <v>377</v>
      </c>
      <c r="Q309" s="12"/>
      <c r="R309" s="192">
        <v>1</v>
      </c>
      <c r="S309" s="12"/>
      <c r="T309" s="12"/>
      <c r="U309" s="12"/>
      <c r="V309" s="38">
        <v>315</v>
      </c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spans="1:37" ht="15" customHeight="1">
      <c r="A310" s="201">
        <v>55</v>
      </c>
      <c r="B310" s="178" t="s">
        <v>220</v>
      </c>
      <c r="C310" s="199" t="s">
        <v>361</v>
      </c>
      <c r="D310" s="199" t="s">
        <v>362</v>
      </c>
      <c r="E310" s="199" t="s">
        <v>363</v>
      </c>
      <c r="F310" s="199">
        <v>25</v>
      </c>
      <c r="G310" s="199">
        <v>2</v>
      </c>
      <c r="H310" s="199"/>
      <c r="I310" s="199"/>
      <c r="J310" s="199"/>
      <c r="K310" s="199"/>
      <c r="L310" s="199" t="s">
        <v>365</v>
      </c>
      <c r="M310" s="199">
        <v>190</v>
      </c>
      <c r="N310" s="199" t="s">
        <v>308</v>
      </c>
      <c r="O310" s="199" t="s">
        <v>366</v>
      </c>
      <c r="P310" s="199"/>
      <c r="Q310" s="199">
        <v>15</v>
      </c>
      <c r="R310" s="189"/>
      <c r="S310" s="12"/>
      <c r="T310" s="12"/>
      <c r="U310" s="12"/>
      <c r="V310" s="38">
        <v>316</v>
      </c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spans="1:37" ht="15" customHeight="1">
      <c r="A311" s="200">
        <v>55</v>
      </c>
      <c r="B311" s="179" t="s">
        <v>221</v>
      </c>
      <c r="C311" s="12" t="s">
        <v>361</v>
      </c>
      <c r="D311" s="12" t="s">
        <v>362</v>
      </c>
      <c r="E311" s="12" t="s">
        <v>363</v>
      </c>
      <c r="F311" s="12">
        <v>25</v>
      </c>
      <c r="G311" s="12">
        <v>2</v>
      </c>
      <c r="H311" s="12"/>
      <c r="I311" s="12"/>
      <c r="J311" s="12"/>
      <c r="K311" s="12"/>
      <c r="L311" s="12" t="s">
        <v>365</v>
      </c>
      <c r="M311" s="12">
        <v>190</v>
      </c>
      <c r="N311" s="12" t="s">
        <v>308</v>
      </c>
      <c r="O311" s="12" t="s">
        <v>366</v>
      </c>
      <c r="P311" s="12"/>
      <c r="Q311" s="12">
        <v>15</v>
      </c>
      <c r="R311" s="192"/>
      <c r="S311" s="12"/>
      <c r="T311" s="12"/>
      <c r="U311" s="12"/>
      <c r="V311" s="38">
        <v>317</v>
      </c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ht="15" customHeight="1">
      <c r="A312" s="200">
        <v>55</v>
      </c>
      <c r="B312" s="179" t="s">
        <v>222</v>
      </c>
      <c r="C312" s="12" t="s">
        <v>361</v>
      </c>
      <c r="D312" s="12" t="s">
        <v>362</v>
      </c>
      <c r="E312" s="12" t="s">
        <v>363</v>
      </c>
      <c r="F312" s="12">
        <v>25</v>
      </c>
      <c r="G312" s="12">
        <v>2</v>
      </c>
      <c r="H312" s="12"/>
      <c r="I312" s="12"/>
      <c r="J312" s="12"/>
      <c r="K312" s="12"/>
      <c r="L312" s="12" t="s">
        <v>365</v>
      </c>
      <c r="M312" s="12">
        <v>190</v>
      </c>
      <c r="N312" s="12" t="s">
        <v>308</v>
      </c>
      <c r="O312" s="12" t="s">
        <v>366</v>
      </c>
      <c r="P312" s="12"/>
      <c r="Q312" s="12">
        <v>15</v>
      </c>
      <c r="R312" s="192"/>
      <c r="S312" s="2"/>
      <c r="V312" s="38">
        <v>318</v>
      </c>
    </row>
    <row r="313" spans="1:37" ht="15" customHeight="1">
      <c r="A313" s="200">
        <v>55</v>
      </c>
      <c r="B313" s="179" t="s">
        <v>224</v>
      </c>
      <c r="C313" s="12" t="s">
        <v>361</v>
      </c>
      <c r="D313" s="12" t="s">
        <v>362</v>
      </c>
      <c r="E313" s="12" t="s">
        <v>363</v>
      </c>
      <c r="F313" s="12">
        <v>25</v>
      </c>
      <c r="G313" s="12">
        <v>2</v>
      </c>
      <c r="H313" s="12"/>
      <c r="I313" s="12"/>
      <c r="J313" s="12"/>
      <c r="K313" s="12"/>
      <c r="L313" s="12" t="s">
        <v>365</v>
      </c>
      <c r="M313" s="12">
        <v>195</v>
      </c>
      <c r="N313" s="12" t="s">
        <v>308</v>
      </c>
      <c r="O313" s="12" t="s">
        <v>366</v>
      </c>
      <c r="P313" s="12"/>
      <c r="Q313" s="12">
        <v>15</v>
      </c>
      <c r="R313" s="192"/>
      <c r="S313" s="2"/>
      <c r="V313" s="38">
        <v>319</v>
      </c>
    </row>
    <row r="314" spans="1:37" ht="15" customHeight="1">
      <c r="A314" s="200">
        <v>55</v>
      </c>
      <c r="B314" s="179" t="s">
        <v>225</v>
      </c>
      <c r="C314" s="12" t="s">
        <v>361</v>
      </c>
      <c r="D314" s="12" t="s">
        <v>362</v>
      </c>
      <c r="E314" s="12" t="s">
        <v>363</v>
      </c>
      <c r="F314" s="12">
        <v>25</v>
      </c>
      <c r="G314" s="12">
        <v>2</v>
      </c>
      <c r="H314" s="12"/>
      <c r="I314" s="12"/>
      <c r="J314" s="12"/>
      <c r="K314" s="12"/>
      <c r="L314" s="12" t="s">
        <v>365</v>
      </c>
      <c r="M314" s="12">
        <v>195</v>
      </c>
      <c r="N314" s="12" t="s">
        <v>308</v>
      </c>
      <c r="O314" s="12" t="s">
        <v>366</v>
      </c>
      <c r="P314" s="12"/>
      <c r="Q314" s="12">
        <v>15</v>
      </c>
      <c r="R314" s="192"/>
      <c r="S314" s="2"/>
      <c r="V314" s="38">
        <v>320</v>
      </c>
    </row>
    <row r="315" spans="1:37" ht="15" customHeight="1">
      <c r="A315" s="200">
        <v>55</v>
      </c>
      <c r="B315" s="179" t="s">
        <v>226</v>
      </c>
      <c r="C315" s="12" t="s">
        <v>361</v>
      </c>
      <c r="D315" s="12" t="s">
        <v>362</v>
      </c>
      <c r="E315" s="12" t="s">
        <v>363</v>
      </c>
      <c r="F315" s="12">
        <v>25</v>
      </c>
      <c r="G315" s="12">
        <v>2</v>
      </c>
      <c r="H315" s="12"/>
      <c r="I315" s="12"/>
      <c r="J315" s="12"/>
      <c r="K315" s="12"/>
      <c r="L315" s="12" t="s">
        <v>365</v>
      </c>
      <c r="M315" s="12">
        <v>195</v>
      </c>
      <c r="N315" s="12" t="s">
        <v>308</v>
      </c>
      <c r="O315" s="12" t="s">
        <v>366</v>
      </c>
      <c r="P315" s="12"/>
      <c r="Q315" s="12">
        <v>15</v>
      </c>
      <c r="R315" s="192"/>
      <c r="S315" s="2"/>
      <c r="V315" s="38">
        <v>321</v>
      </c>
    </row>
    <row r="316" spans="1:37" ht="15" customHeight="1">
      <c r="A316" s="200">
        <v>55</v>
      </c>
      <c r="B316" s="179" t="s">
        <v>230</v>
      </c>
      <c r="C316" s="12" t="s">
        <v>361</v>
      </c>
      <c r="D316" s="12" t="s">
        <v>362</v>
      </c>
      <c r="E316" s="12" t="s">
        <v>363</v>
      </c>
      <c r="F316" s="12">
        <v>25</v>
      </c>
      <c r="G316" s="12">
        <v>2</v>
      </c>
      <c r="H316" s="12"/>
      <c r="I316" s="12"/>
      <c r="J316" s="12"/>
      <c r="K316" s="12"/>
      <c r="L316" s="12" t="s">
        <v>365</v>
      </c>
      <c r="M316" s="12">
        <v>200</v>
      </c>
      <c r="N316" s="12" t="s">
        <v>308</v>
      </c>
      <c r="O316" s="12" t="s">
        <v>366</v>
      </c>
      <c r="P316" s="12"/>
      <c r="Q316" s="12">
        <v>15</v>
      </c>
      <c r="R316" s="192"/>
      <c r="S316" s="2"/>
      <c r="V316" s="38">
        <v>322</v>
      </c>
    </row>
    <row r="317" spans="1:37" ht="15" customHeight="1">
      <c r="A317" s="200">
        <v>55</v>
      </c>
      <c r="B317" s="179" t="s">
        <v>231</v>
      </c>
      <c r="C317" s="12" t="s">
        <v>361</v>
      </c>
      <c r="D317" s="12" t="s">
        <v>362</v>
      </c>
      <c r="E317" s="12" t="s">
        <v>363</v>
      </c>
      <c r="F317" s="12">
        <v>25</v>
      </c>
      <c r="G317" s="12">
        <v>2</v>
      </c>
      <c r="H317" s="12"/>
      <c r="I317" s="12"/>
      <c r="J317" s="12"/>
      <c r="K317" s="12"/>
      <c r="L317" s="12" t="s">
        <v>365</v>
      </c>
      <c r="M317" s="12">
        <v>200</v>
      </c>
      <c r="N317" s="12" t="s">
        <v>308</v>
      </c>
      <c r="O317" s="12" t="s">
        <v>366</v>
      </c>
      <c r="P317" s="12"/>
      <c r="Q317" s="12">
        <v>15</v>
      </c>
      <c r="R317" s="192"/>
      <c r="S317" s="2"/>
      <c r="V317" s="38">
        <v>323</v>
      </c>
    </row>
    <row r="318" spans="1:37" ht="15" customHeight="1">
      <c r="A318" s="200">
        <v>55</v>
      </c>
      <c r="B318" s="179" t="s">
        <v>232</v>
      </c>
      <c r="C318" s="12" t="s">
        <v>361</v>
      </c>
      <c r="D318" s="12" t="s">
        <v>362</v>
      </c>
      <c r="E318" s="12" t="s">
        <v>363</v>
      </c>
      <c r="F318" s="12">
        <v>25</v>
      </c>
      <c r="G318" s="12">
        <v>2</v>
      </c>
      <c r="H318" s="12"/>
      <c r="I318" s="12"/>
      <c r="J318" s="12"/>
      <c r="K318" s="12"/>
      <c r="L318" s="12" t="s">
        <v>365</v>
      </c>
      <c r="M318" s="12">
        <v>200</v>
      </c>
      <c r="N318" s="12" t="s">
        <v>308</v>
      </c>
      <c r="O318" s="12" t="s">
        <v>366</v>
      </c>
      <c r="P318" s="12"/>
      <c r="Q318" s="12">
        <v>15</v>
      </c>
      <c r="R318" s="192"/>
      <c r="S318" s="2"/>
      <c r="V318" s="38">
        <v>324</v>
      </c>
    </row>
    <row r="319" spans="1:37" ht="15" customHeight="1">
      <c r="A319" s="177">
        <v>56</v>
      </c>
      <c r="B319" s="178" t="s">
        <v>220</v>
      </c>
      <c r="C319" s="199" t="s">
        <v>370</v>
      </c>
      <c r="D319" s="282" t="s">
        <v>381</v>
      </c>
      <c r="E319" s="199" t="s">
        <v>363</v>
      </c>
      <c r="F319" s="199"/>
      <c r="G319" s="199"/>
      <c r="H319" s="199" t="s">
        <v>367</v>
      </c>
      <c r="I319" s="199">
        <v>25</v>
      </c>
      <c r="J319" s="199">
        <v>1</v>
      </c>
      <c r="K319" s="199" t="s">
        <v>364</v>
      </c>
      <c r="L319" s="194" t="s">
        <v>369</v>
      </c>
      <c r="M319" s="199"/>
      <c r="N319" s="199" t="s">
        <v>308</v>
      </c>
      <c r="O319" s="199"/>
      <c r="P319" s="199" t="s">
        <v>372</v>
      </c>
      <c r="Q319" s="194"/>
      <c r="R319" s="189">
        <v>1</v>
      </c>
      <c r="S319" s="2"/>
      <c r="V319" s="38">
        <v>325</v>
      </c>
    </row>
    <row r="320" spans="1:37" ht="15" customHeight="1">
      <c r="A320" s="174">
        <v>56</v>
      </c>
      <c r="B320" s="179" t="s">
        <v>224</v>
      </c>
      <c r="C320" s="12" t="s">
        <v>361</v>
      </c>
      <c r="D320" s="12" t="s">
        <v>362</v>
      </c>
      <c r="E320" s="12"/>
      <c r="F320" s="12"/>
      <c r="G320" s="12"/>
      <c r="H320" s="12"/>
      <c r="I320" s="12"/>
      <c r="J320" s="12"/>
      <c r="K320" s="12"/>
      <c r="L320" s="12" t="s">
        <v>365</v>
      </c>
      <c r="M320" s="12">
        <v>175</v>
      </c>
      <c r="N320" s="12" t="s">
        <v>308</v>
      </c>
      <c r="O320" s="12" t="s">
        <v>366</v>
      </c>
      <c r="P320" s="12"/>
      <c r="Q320" s="12">
        <v>1</v>
      </c>
      <c r="R320" s="192"/>
      <c r="S320" s="2"/>
      <c r="V320" s="38">
        <v>326</v>
      </c>
    </row>
    <row r="321" spans="1:22" ht="15" customHeight="1">
      <c r="A321" s="177">
        <v>57</v>
      </c>
      <c r="B321" s="178">
        <v>1</v>
      </c>
      <c r="C321" s="199" t="s">
        <v>370</v>
      </c>
      <c r="D321" s="282" t="s">
        <v>381</v>
      </c>
      <c r="E321" s="206"/>
      <c r="F321" s="206"/>
      <c r="G321" s="206"/>
      <c r="H321" s="206"/>
      <c r="I321" s="206"/>
      <c r="J321" s="206"/>
      <c r="K321" s="206"/>
      <c r="L321" s="194" t="s">
        <v>369</v>
      </c>
      <c r="M321" s="206"/>
      <c r="N321" s="199" t="s">
        <v>308</v>
      </c>
      <c r="O321" s="206"/>
      <c r="P321" s="199" t="s">
        <v>372</v>
      </c>
      <c r="Q321" s="206"/>
      <c r="R321" s="189">
        <v>1</v>
      </c>
      <c r="S321" s="2"/>
      <c r="V321" s="38">
        <v>327</v>
      </c>
    </row>
    <row r="322" spans="1:22" ht="15" customHeight="1">
      <c r="A322" s="174">
        <v>57</v>
      </c>
      <c r="B322" s="179">
        <v>2</v>
      </c>
      <c r="C322" s="12" t="s">
        <v>370</v>
      </c>
      <c r="D322" s="100" t="s">
        <v>381</v>
      </c>
      <c r="E322" s="2"/>
      <c r="F322" s="2"/>
      <c r="G322" s="2"/>
      <c r="H322" s="2"/>
      <c r="I322" s="2"/>
      <c r="J322" s="2"/>
      <c r="K322" s="2"/>
      <c r="L322" s="20" t="s">
        <v>369</v>
      </c>
      <c r="M322" s="2"/>
      <c r="N322" s="12" t="s">
        <v>308</v>
      </c>
      <c r="O322" s="2"/>
      <c r="P322" s="12" t="s">
        <v>372</v>
      </c>
      <c r="Q322" s="2"/>
      <c r="R322" s="192">
        <v>1</v>
      </c>
      <c r="S322" s="2"/>
      <c r="V322" s="38">
        <v>328</v>
      </c>
    </row>
    <row r="323" spans="1:22" ht="15" customHeight="1">
      <c r="A323" s="177">
        <v>58</v>
      </c>
      <c r="B323" s="178">
        <v>1</v>
      </c>
      <c r="C323" s="199" t="s">
        <v>361</v>
      </c>
      <c r="D323" s="199" t="s">
        <v>362</v>
      </c>
      <c r="E323" s="199" t="s">
        <v>363</v>
      </c>
      <c r="F323" s="199"/>
      <c r="G323" s="199"/>
      <c r="H323" s="199"/>
      <c r="I323" s="199">
        <v>5</v>
      </c>
      <c r="J323" s="199">
        <v>2</v>
      </c>
      <c r="K323" s="199" t="s">
        <v>364</v>
      </c>
      <c r="L323" s="199" t="s">
        <v>365</v>
      </c>
      <c r="M323" s="199">
        <v>180</v>
      </c>
      <c r="N323" s="199" t="s">
        <v>308</v>
      </c>
      <c r="O323" s="199"/>
      <c r="P323" s="285" t="s">
        <v>375</v>
      </c>
      <c r="Q323" s="199">
        <v>15</v>
      </c>
      <c r="R323" s="189"/>
      <c r="S323" s="2"/>
      <c r="V323" s="38">
        <v>329</v>
      </c>
    </row>
    <row r="324" spans="1:22" ht="15" customHeight="1">
      <c r="A324" s="174">
        <v>58</v>
      </c>
      <c r="B324" s="179">
        <v>2</v>
      </c>
      <c r="C324" s="12" t="s">
        <v>361</v>
      </c>
      <c r="D324" s="12" t="s">
        <v>362</v>
      </c>
      <c r="E324" s="12" t="s">
        <v>363</v>
      </c>
      <c r="F324" s="12"/>
      <c r="G324" s="12"/>
      <c r="H324" s="12"/>
      <c r="I324" s="12">
        <v>5</v>
      </c>
      <c r="J324" s="12">
        <v>2</v>
      </c>
      <c r="K324" s="12" t="s">
        <v>364</v>
      </c>
      <c r="L324" s="12" t="s">
        <v>365</v>
      </c>
      <c r="M324" s="12">
        <v>180</v>
      </c>
      <c r="N324" s="12" t="s">
        <v>308</v>
      </c>
      <c r="O324" s="12"/>
      <c r="P324" s="101" t="s">
        <v>375</v>
      </c>
      <c r="Q324" s="12">
        <v>15</v>
      </c>
      <c r="R324" s="192"/>
      <c r="S324" s="2"/>
      <c r="V324" s="38">
        <v>330</v>
      </c>
    </row>
    <row r="325" spans="1:22" ht="15" customHeight="1">
      <c r="A325" s="174">
        <v>58</v>
      </c>
      <c r="B325" s="179">
        <v>3</v>
      </c>
      <c r="C325" s="12" t="s">
        <v>361</v>
      </c>
      <c r="D325" s="12" t="s">
        <v>362</v>
      </c>
      <c r="E325" s="12" t="s">
        <v>363</v>
      </c>
      <c r="F325" s="12"/>
      <c r="G325" s="12"/>
      <c r="H325" s="12"/>
      <c r="I325" s="12">
        <v>5</v>
      </c>
      <c r="J325" s="12">
        <v>2</v>
      </c>
      <c r="K325" s="12" t="s">
        <v>364</v>
      </c>
      <c r="L325" s="12" t="s">
        <v>365</v>
      </c>
      <c r="M325" s="12">
        <v>180</v>
      </c>
      <c r="N325" s="12" t="s">
        <v>308</v>
      </c>
      <c r="O325" s="12"/>
      <c r="P325" s="101" t="s">
        <v>375</v>
      </c>
      <c r="Q325" s="12">
        <v>15</v>
      </c>
      <c r="R325" s="192"/>
      <c r="S325" s="2"/>
      <c r="V325" s="38">
        <v>331</v>
      </c>
    </row>
    <row r="326" spans="1:22" ht="15" customHeight="1">
      <c r="A326" s="201">
        <v>59</v>
      </c>
      <c r="B326" s="58">
        <v>1</v>
      </c>
      <c r="C326" s="199" t="s">
        <v>370</v>
      </c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199" t="s">
        <v>308</v>
      </c>
      <c r="O326" s="206"/>
      <c r="P326" s="199" t="s">
        <v>372</v>
      </c>
      <c r="Q326" s="206"/>
      <c r="R326" s="207"/>
      <c r="S326" s="2"/>
      <c r="V326" s="38">
        <v>334</v>
      </c>
    </row>
    <row r="327" spans="1:22" ht="15" customHeight="1">
      <c r="A327" s="200">
        <v>59</v>
      </c>
      <c r="B327" s="59">
        <v>2</v>
      </c>
      <c r="C327" s="12" t="s">
        <v>370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12" t="s">
        <v>308</v>
      </c>
      <c r="O327" s="2"/>
      <c r="P327" s="12" t="s">
        <v>372</v>
      </c>
      <c r="Q327" s="2"/>
      <c r="R327" s="208"/>
      <c r="S327" s="2"/>
      <c r="V327" s="38">
        <v>335</v>
      </c>
    </row>
    <row r="328" spans="1:22" ht="15" customHeight="1">
      <c r="A328" s="200">
        <v>59</v>
      </c>
      <c r="B328" s="59">
        <v>3</v>
      </c>
      <c r="C328" s="12" t="s">
        <v>370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12" t="s">
        <v>308</v>
      </c>
      <c r="O328" s="2"/>
      <c r="P328" s="12" t="s">
        <v>372</v>
      </c>
      <c r="Q328" s="2"/>
      <c r="R328" s="208"/>
      <c r="S328" s="2"/>
      <c r="V328" s="38">
        <v>336</v>
      </c>
    </row>
    <row r="329" spans="1:22" ht="15" customHeight="1">
      <c r="A329" s="200">
        <v>59</v>
      </c>
      <c r="B329" s="59">
        <v>4</v>
      </c>
      <c r="C329" s="12" t="s">
        <v>370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12" t="s">
        <v>308</v>
      </c>
      <c r="O329" s="2"/>
      <c r="P329" s="12" t="s">
        <v>372</v>
      </c>
      <c r="Q329" s="2"/>
      <c r="R329" s="208"/>
      <c r="S329" s="2"/>
      <c r="V329" s="38">
        <v>337</v>
      </c>
    </row>
    <row r="330" spans="1:22" ht="15" customHeight="1">
      <c r="A330" s="200">
        <v>59</v>
      </c>
      <c r="B330" s="59">
        <v>5</v>
      </c>
      <c r="C330" s="12" t="s">
        <v>370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12" t="s">
        <v>308</v>
      </c>
      <c r="O330" s="2"/>
      <c r="P330" s="12" t="s">
        <v>372</v>
      </c>
      <c r="Q330" s="2"/>
      <c r="R330" s="208"/>
      <c r="S330" s="2"/>
      <c r="V330" s="38">
        <v>338</v>
      </c>
    </row>
    <row r="331" spans="1:22" ht="15" customHeight="1">
      <c r="A331" s="200">
        <v>59</v>
      </c>
      <c r="B331" s="59">
        <v>6</v>
      </c>
      <c r="C331" s="12" t="s">
        <v>370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12" t="s">
        <v>308</v>
      </c>
      <c r="O331" s="2"/>
      <c r="P331" s="12" t="s">
        <v>372</v>
      </c>
      <c r="Q331" s="2"/>
      <c r="R331" s="208"/>
      <c r="S331" s="2"/>
      <c r="V331" s="38">
        <v>339</v>
      </c>
    </row>
    <row r="332" spans="1:22" ht="15" customHeight="1">
      <c r="A332" s="201">
        <v>60</v>
      </c>
      <c r="B332" s="58">
        <v>1</v>
      </c>
      <c r="C332" s="199" t="s">
        <v>370</v>
      </c>
      <c r="D332" s="282" t="s">
        <v>373</v>
      </c>
      <c r="E332" s="206"/>
      <c r="F332" s="206"/>
      <c r="G332" s="206"/>
      <c r="H332" s="206"/>
      <c r="I332" s="206"/>
      <c r="J332" s="206"/>
      <c r="K332" s="206"/>
      <c r="L332" s="194" t="s">
        <v>369</v>
      </c>
      <c r="M332" s="206"/>
      <c r="N332" s="199" t="s">
        <v>308</v>
      </c>
      <c r="O332" s="206"/>
      <c r="P332" s="199" t="s">
        <v>368</v>
      </c>
      <c r="Q332" s="206"/>
      <c r="R332" s="189">
        <v>1</v>
      </c>
      <c r="S332" s="2"/>
      <c r="V332" s="38">
        <v>340</v>
      </c>
    </row>
    <row r="333" spans="1:22" ht="15" customHeight="1">
      <c r="A333" s="200">
        <v>60</v>
      </c>
      <c r="B333" s="59">
        <v>2</v>
      </c>
      <c r="C333" s="12" t="s">
        <v>370</v>
      </c>
      <c r="D333" s="100" t="s">
        <v>373</v>
      </c>
      <c r="E333" s="2"/>
      <c r="F333" s="2"/>
      <c r="G333" s="2"/>
      <c r="H333" s="2"/>
      <c r="I333" s="2"/>
      <c r="J333" s="2"/>
      <c r="K333" s="2"/>
      <c r="L333" s="20" t="s">
        <v>369</v>
      </c>
      <c r="M333" s="2"/>
      <c r="N333" s="12" t="s">
        <v>308</v>
      </c>
      <c r="O333" s="2"/>
      <c r="P333" s="12" t="s">
        <v>368</v>
      </c>
      <c r="Q333" s="2"/>
      <c r="R333" s="192">
        <v>1</v>
      </c>
      <c r="S333" s="2"/>
      <c r="V333" s="38">
        <v>341</v>
      </c>
    </row>
    <row r="334" spans="1:22" ht="15" customHeight="1">
      <c r="A334" s="200">
        <v>60</v>
      </c>
      <c r="B334" s="59">
        <v>3</v>
      </c>
      <c r="C334" s="12" t="s">
        <v>370</v>
      </c>
      <c r="D334" s="100" t="s">
        <v>373</v>
      </c>
      <c r="E334" s="2"/>
      <c r="F334" s="2"/>
      <c r="G334" s="2"/>
      <c r="H334" s="2"/>
      <c r="I334" s="2"/>
      <c r="J334" s="2"/>
      <c r="K334" s="2"/>
      <c r="L334" s="20" t="s">
        <v>369</v>
      </c>
      <c r="M334" s="2"/>
      <c r="N334" s="12" t="s">
        <v>308</v>
      </c>
      <c r="O334" s="2"/>
      <c r="P334" s="12" t="s">
        <v>368</v>
      </c>
      <c r="Q334" s="2"/>
      <c r="R334" s="192">
        <v>1</v>
      </c>
      <c r="S334" s="2"/>
      <c r="V334" s="38">
        <v>342</v>
      </c>
    </row>
    <row r="335" spans="1:22" ht="15" customHeight="1">
      <c r="A335" s="200">
        <v>60</v>
      </c>
      <c r="B335" s="59">
        <v>4</v>
      </c>
      <c r="C335" s="12" t="s">
        <v>370</v>
      </c>
      <c r="D335" s="100" t="s">
        <v>373</v>
      </c>
      <c r="E335" s="2"/>
      <c r="F335" s="2"/>
      <c r="G335" s="2"/>
      <c r="H335" s="2"/>
      <c r="I335" s="2"/>
      <c r="J335" s="2"/>
      <c r="K335" s="2"/>
      <c r="L335" s="20" t="s">
        <v>369</v>
      </c>
      <c r="M335" s="2"/>
      <c r="N335" s="12" t="s">
        <v>308</v>
      </c>
      <c r="O335" s="2"/>
      <c r="P335" s="12" t="s">
        <v>368</v>
      </c>
      <c r="Q335" s="2"/>
      <c r="R335" s="192">
        <v>1</v>
      </c>
      <c r="S335" s="2"/>
      <c r="V335" s="38">
        <v>343</v>
      </c>
    </row>
    <row r="336" spans="1:22" ht="15" customHeight="1">
      <c r="A336" s="200">
        <v>60</v>
      </c>
      <c r="B336" s="59">
        <v>5</v>
      </c>
      <c r="C336" s="12" t="s">
        <v>370</v>
      </c>
      <c r="D336" s="100" t="s">
        <v>373</v>
      </c>
      <c r="E336" s="2"/>
      <c r="F336" s="2"/>
      <c r="G336" s="2"/>
      <c r="H336" s="2"/>
      <c r="I336" s="2"/>
      <c r="J336" s="2"/>
      <c r="K336" s="2"/>
      <c r="L336" s="20" t="s">
        <v>369</v>
      </c>
      <c r="M336" s="2"/>
      <c r="N336" s="12" t="s">
        <v>308</v>
      </c>
      <c r="O336" s="2"/>
      <c r="P336" s="12" t="s">
        <v>368</v>
      </c>
      <c r="Q336" s="2"/>
      <c r="R336" s="192">
        <v>1</v>
      </c>
      <c r="S336" s="2"/>
      <c r="V336" s="38">
        <v>344</v>
      </c>
    </row>
    <row r="337" spans="1:22" ht="15" customHeight="1">
      <c r="A337" s="102">
        <v>61</v>
      </c>
      <c r="B337" s="246">
        <v>1</v>
      </c>
      <c r="C337" s="103" t="s">
        <v>370</v>
      </c>
      <c r="D337" s="104" t="s">
        <v>373</v>
      </c>
      <c r="E337" s="105" t="s">
        <v>382</v>
      </c>
      <c r="F337" s="105"/>
      <c r="G337" s="105"/>
      <c r="H337" s="105"/>
      <c r="I337" s="105"/>
      <c r="J337" s="105"/>
      <c r="K337" s="105"/>
      <c r="L337" s="63" t="s">
        <v>369</v>
      </c>
      <c r="M337" s="103"/>
      <c r="N337" s="103" t="s">
        <v>308</v>
      </c>
      <c r="O337" s="105"/>
      <c r="P337" s="103" t="s">
        <v>372</v>
      </c>
      <c r="Q337" s="103">
        <v>1</v>
      </c>
      <c r="R337" s="106">
        <v>1</v>
      </c>
      <c r="S337" s="2"/>
      <c r="V337" s="38">
        <v>348</v>
      </c>
    </row>
    <row r="338" spans="1:22" ht="1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V338" s="38"/>
    </row>
    <row r="760" spans="13:15" ht="15" customHeight="1">
      <c r="M760" s="12"/>
      <c r="O760" s="20"/>
    </row>
    <row r="761" spans="13:15" ht="15.75" customHeight="1"/>
    <row r="762" spans="13:15" ht="15.75" customHeight="1"/>
    <row r="763" spans="13:15" ht="15.75" customHeight="1"/>
    <row r="764" spans="13:15" ht="15.75" customHeight="1"/>
    <row r="765" spans="13:15" ht="15.75" customHeight="1"/>
    <row r="766" spans="13:15" ht="15.75" customHeight="1"/>
    <row r="767" spans="13:15" ht="15.75" customHeight="1"/>
    <row r="768" spans="13:15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M416"/>
  <sheetViews>
    <sheetView topLeftCell="E325" zoomScale="80" zoomScaleNormal="80" workbookViewId="0">
      <selection activeCell="A348" activeCellId="11" sqref="A10:XFD10 A226:XFD226 A230:XFD230 A229:XFD229 A228:XFD228 A227:XFD227 A292:XFD292 A333:XFD333 A334:XFD334 A346:XFD346 A347:XFD347 A348:XFD348"/>
    </sheetView>
  </sheetViews>
  <sheetFormatPr defaultColWidth="12.5703125" defaultRowHeight="15" customHeight="1"/>
  <cols>
    <col min="12" max="12" width="18.28515625" customWidth="1"/>
    <col min="19" max="19" width="11.42578125" customWidth="1"/>
    <col min="25" max="27" width="11.42578125" customWidth="1"/>
    <col min="28" max="28" width="9.28515625" customWidth="1"/>
    <col min="29" max="29" width="10.42578125" customWidth="1"/>
    <col min="30" max="30" width="13.85546875" customWidth="1"/>
  </cols>
  <sheetData>
    <row r="1" spans="1:49">
      <c r="A1" s="16" t="s">
        <v>218</v>
      </c>
      <c r="B1" s="15" t="s">
        <v>219</v>
      </c>
    </row>
    <row r="2" spans="1:49">
      <c r="A2" s="337">
        <v>1</v>
      </c>
      <c r="B2" s="255">
        <v>1</v>
      </c>
    </row>
    <row r="3" spans="1:49">
      <c r="A3" s="337">
        <v>1</v>
      </c>
      <c r="B3" s="255">
        <v>2</v>
      </c>
    </row>
    <row r="4" spans="1:49">
      <c r="A4" s="338">
        <v>1</v>
      </c>
      <c r="B4" s="255">
        <v>3</v>
      </c>
    </row>
    <row r="5" spans="1:49">
      <c r="A5" s="338">
        <v>1</v>
      </c>
      <c r="B5" s="255">
        <v>4</v>
      </c>
    </row>
    <row r="6" spans="1:49">
      <c r="A6" s="338">
        <v>1</v>
      </c>
      <c r="B6" s="255">
        <v>5</v>
      </c>
    </row>
    <row r="7" spans="1:49">
      <c r="A7" s="177">
        <v>2</v>
      </c>
      <c r="B7" s="178">
        <v>1</v>
      </c>
      <c r="C7" s="294">
        <v>78.116806310642403</v>
      </c>
      <c r="D7" s="294">
        <v>110.30285429800399</v>
      </c>
      <c r="E7" s="294">
        <v>161.51092065876301</v>
      </c>
      <c r="F7" s="294">
        <v>240.826054185602</v>
      </c>
      <c r="G7" s="294">
        <v>365.67181101941497</v>
      </c>
      <c r="H7" s="294">
        <v>545.24671777932997</v>
      </c>
      <c r="I7" s="294">
        <v>756.04717660682195</v>
      </c>
      <c r="J7" s="294">
        <v>1010.95508532093</v>
      </c>
      <c r="K7" s="294">
        <v>1453.6523938769301</v>
      </c>
      <c r="L7" s="294">
        <v>2015.6559449537001</v>
      </c>
      <c r="M7" s="440">
        <v>2552.3490290923</v>
      </c>
    </row>
    <row r="8" spans="1:49">
      <c r="A8" s="174">
        <v>2</v>
      </c>
      <c r="B8" s="179">
        <v>2</v>
      </c>
      <c r="C8" s="441">
        <v>2.2640686433333901</v>
      </c>
      <c r="D8" s="441">
        <v>2.4346432415670902</v>
      </c>
      <c r="E8" s="441">
        <v>2.7646514028593199</v>
      </c>
      <c r="F8" s="441">
        <v>2.9729398324913299</v>
      </c>
      <c r="G8" s="441">
        <v>3.4377762152010898</v>
      </c>
      <c r="H8" s="441">
        <v>3.90375586607693</v>
      </c>
      <c r="I8" s="441">
        <v>4.5968524908072999</v>
      </c>
      <c r="J8" s="441">
        <v>6.2593605509614703</v>
      </c>
      <c r="K8" s="441">
        <v>8.2191422785135195</v>
      </c>
      <c r="L8" s="441">
        <v>11.605631310581799</v>
      </c>
      <c r="M8" s="124">
        <v>28.7733571395482</v>
      </c>
    </row>
    <row r="9" spans="1:49">
      <c r="A9" s="174">
        <v>2</v>
      </c>
      <c r="B9" s="179">
        <v>3</v>
      </c>
      <c r="C9" s="442">
        <v>690.42533485137994</v>
      </c>
      <c r="D9" s="442">
        <v>843.07751718878103</v>
      </c>
      <c r="E9" s="442">
        <v>1067.55723258899</v>
      </c>
      <c r="F9" s="442">
        <v>1453.6523938769301</v>
      </c>
      <c r="G9" s="442">
        <v>2015.6559449537001</v>
      </c>
      <c r="H9" s="442">
        <v>2599.1210013088698</v>
      </c>
      <c r="I9" s="442">
        <v>3670.0228625603399</v>
      </c>
      <c r="J9" s="442">
        <v>4819.0929132765104</v>
      </c>
      <c r="K9" s="442">
        <v>7317.3413027418401</v>
      </c>
      <c r="L9" s="442">
        <v>11947.7758487762</v>
      </c>
      <c r="M9" s="123">
        <v>12616.7173061541</v>
      </c>
    </row>
    <row r="10" spans="1:49">
      <c r="A10" s="181">
        <v>3</v>
      </c>
      <c r="B10" s="178">
        <v>1</v>
      </c>
      <c r="C10" s="299">
        <v>23.747494317354299</v>
      </c>
      <c r="D10" s="299">
        <v>14.724465497136</v>
      </c>
      <c r="E10" s="299">
        <v>21.1930956726879</v>
      </c>
      <c r="F10" s="299">
        <v>40.083478541601004</v>
      </c>
      <c r="G10" s="299">
        <v>164.36732451588099</v>
      </c>
      <c r="H10" s="299">
        <v>332.843842594904</v>
      </c>
      <c r="I10" s="299">
        <v>906.079682481644</v>
      </c>
      <c r="J10" s="299">
        <v>1675.1462069041399</v>
      </c>
      <c r="K10" s="299">
        <v>3241.2191933232898</v>
      </c>
      <c r="L10" s="299">
        <v>6130.2672337590602</v>
      </c>
      <c r="M10" s="299">
        <v>10114.451572906</v>
      </c>
      <c r="N10" s="195">
        <v>17465.242872062401</v>
      </c>
      <c r="O10" s="195">
        <v>26914.327055682399</v>
      </c>
      <c r="P10" s="195">
        <v>39629.908011002997</v>
      </c>
      <c r="Q10" s="195">
        <v>57039.790825709199</v>
      </c>
      <c r="R10" s="195">
        <v>78444.667530402294</v>
      </c>
      <c r="S10" s="195">
        <v>96277.662014594098</v>
      </c>
      <c r="T10" s="195">
        <v>115505.58004857101</v>
      </c>
      <c r="U10" s="195">
        <v>138573.56673591101</v>
      </c>
      <c r="V10" s="195">
        <v>166248.53439840101</v>
      </c>
      <c r="W10" s="195">
        <v>194962.27170075101</v>
      </c>
      <c r="X10" s="195">
        <v>218461.026686097</v>
      </c>
      <c r="Y10" s="253">
        <v>233898.80694204001</v>
      </c>
    </row>
    <row r="11" spans="1:49">
      <c r="A11" s="182">
        <v>3</v>
      </c>
      <c r="B11" s="179">
        <v>2</v>
      </c>
      <c r="C11" s="443">
        <v>2151.7122110803002</v>
      </c>
      <c r="D11" s="443">
        <v>2009.69498267726</v>
      </c>
      <c r="E11" s="443">
        <v>1529.3750584537399</v>
      </c>
      <c r="F11" s="443">
        <v>1564.5832699791599</v>
      </c>
      <c r="G11" s="443">
        <v>2959.1684432198699</v>
      </c>
      <c r="H11" s="443">
        <v>4163.3207228822203</v>
      </c>
      <c r="I11" s="443">
        <v>6869.1468460253</v>
      </c>
      <c r="J11" s="443">
        <v>10829.2000255728</v>
      </c>
      <c r="K11" s="443">
        <v>16312.5025691058</v>
      </c>
      <c r="L11" s="443">
        <v>24019.288125073999</v>
      </c>
      <c r="M11" s="443">
        <v>34571.242760802699</v>
      </c>
      <c r="N11" s="19">
        <v>47544.522958903501</v>
      </c>
      <c r="O11" s="19">
        <v>71618.416049434702</v>
      </c>
      <c r="P11" s="19">
        <v>98494.099552688407</v>
      </c>
      <c r="Q11" s="19">
        <v>138573.56673591101</v>
      </c>
      <c r="R11" s="19">
        <v>177996.663485072</v>
      </c>
      <c r="S11" s="19">
        <v>223490.28487564801</v>
      </c>
      <c r="T11" s="19">
        <v>307357.73816062399</v>
      </c>
      <c r="U11" s="19">
        <v>377230.03186583699</v>
      </c>
      <c r="V11" s="19">
        <v>462986.54393120902</v>
      </c>
      <c r="W11" s="19">
        <v>581319.85493905295</v>
      </c>
      <c r="X11" s="19">
        <v>651386.19505790796</v>
      </c>
      <c r="Y11" s="185">
        <v>781476.60341388895</v>
      </c>
    </row>
    <row r="12" spans="1:49">
      <c r="A12" s="182">
        <v>3</v>
      </c>
      <c r="B12" s="179">
        <v>3</v>
      </c>
      <c r="C12" s="444">
        <v>132407.02811159601</v>
      </c>
      <c r="D12" s="444">
        <v>138573.56673591101</v>
      </c>
      <c r="E12" s="444">
        <v>145027.29705350401</v>
      </c>
      <c r="F12" s="444">
        <v>148366.01486728899</v>
      </c>
      <c r="G12" s="444">
        <v>158850.456736466</v>
      </c>
      <c r="H12" s="444">
        <v>170075.792815186</v>
      </c>
      <c r="I12" s="444">
        <v>182094.37917891701</v>
      </c>
      <c r="J12" s="444">
        <v>199450.557856311</v>
      </c>
      <c r="K12" s="444">
        <v>218461.026686097</v>
      </c>
      <c r="L12" s="444">
        <v>244792.08086986799</v>
      </c>
      <c r="M12" s="444">
        <v>287071.524290097</v>
      </c>
      <c r="N12" s="19">
        <v>344403.49126393301</v>
      </c>
      <c r="O12" s="19">
        <v>413185.407671861</v>
      </c>
      <c r="P12" s="19">
        <v>473645.09892858902</v>
      </c>
      <c r="Q12" s="19">
        <v>581319.85493905295</v>
      </c>
      <c r="R12" s="19">
        <v>713472.54412804998</v>
      </c>
      <c r="S12" s="19">
        <v>855962.41468501999</v>
      </c>
      <c r="T12" s="19">
        <v>1050550.18591673</v>
      </c>
      <c r="U12" s="19">
        <v>1231996.73021564</v>
      </c>
      <c r="V12" s="19">
        <v>1380488.9951730401</v>
      </c>
      <c r="W12" s="19">
        <v>1618921.1624076201</v>
      </c>
      <c r="X12" s="19">
        <v>1656190.8422117699</v>
      </c>
      <c r="Y12" s="185">
        <v>1855811.1198716599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</row>
    <row r="13" spans="1:49">
      <c r="A13" s="182">
        <v>3</v>
      </c>
      <c r="B13" s="179">
        <v>4</v>
      </c>
      <c r="C13" s="300">
        <v>168.15127502392201</v>
      </c>
      <c r="D13" s="300">
        <v>1364.8678677457999</v>
      </c>
      <c r="E13" s="300">
        <v>5227.41109955508</v>
      </c>
      <c r="F13" s="300">
        <v>8823.3654396127295</v>
      </c>
      <c r="G13" s="300">
        <v>17072.218111296199</v>
      </c>
      <c r="H13" s="300">
        <v>29479.644400822799</v>
      </c>
      <c r="I13" s="300">
        <v>43407.200684775496</v>
      </c>
      <c r="J13" s="300">
        <v>63914.782881023399</v>
      </c>
      <c r="K13" s="300">
        <v>87899.584146439403</v>
      </c>
      <c r="L13" s="300">
        <v>110365.569312967</v>
      </c>
      <c r="M13" s="300">
        <v>170075.792815186</v>
      </c>
      <c r="N13" s="21">
        <v>228635.32315797301</v>
      </c>
      <c r="O13" s="21">
        <v>280611.48145053402</v>
      </c>
      <c r="P13" s="21">
        <v>336653.29272661102</v>
      </c>
      <c r="Q13" s="21">
        <v>403887.39233981702</v>
      </c>
      <c r="R13" s="21">
        <v>484549.02778428397</v>
      </c>
      <c r="S13" s="21">
        <v>608393.42791843996</v>
      </c>
      <c r="T13" s="21">
        <v>697417.09170615894</v>
      </c>
      <c r="U13" s="21">
        <v>763890.83851208002</v>
      </c>
      <c r="V13" s="21">
        <v>855962.41468501999</v>
      </c>
      <c r="W13" s="21">
        <v>1003800.58964933</v>
      </c>
      <c r="X13" s="21">
        <v>959131.35544408602</v>
      </c>
      <c r="Y13" s="186">
        <v>1150682.5283786801</v>
      </c>
    </row>
    <row r="14" spans="1:49">
      <c r="A14" s="181">
        <v>4</v>
      </c>
      <c r="B14" s="178">
        <v>1</v>
      </c>
      <c r="C14" s="347">
        <v>0.66089431059826298</v>
      </c>
      <c r="D14" s="347">
        <v>0.79614119988508802</v>
      </c>
      <c r="E14" s="347">
        <v>1.5479929444639899</v>
      </c>
      <c r="F14" s="347">
        <v>2.07410951184209</v>
      </c>
      <c r="G14" s="347">
        <v>3.8239151834991101</v>
      </c>
      <c r="H14" s="347">
        <v>6.6847090312426403</v>
      </c>
      <c r="I14" s="347">
        <v>14.8462634085056</v>
      </c>
      <c r="J14" s="347">
        <v>20.978874175881799</v>
      </c>
      <c r="K14" s="347">
        <v>45.369675867579197</v>
      </c>
      <c r="L14" s="347">
        <v>93.035107693370705</v>
      </c>
      <c r="M14" s="347">
        <v>195.92019660113601</v>
      </c>
      <c r="N14" s="231">
        <v>423.70413880097198</v>
      </c>
      <c r="O14" s="231">
        <v>966.38129404957704</v>
      </c>
      <c r="P14" s="231">
        <v>2035.0770565652299</v>
      </c>
      <c r="Q14" s="231">
        <v>3557.5836090715502</v>
      </c>
      <c r="R14" s="231">
        <v>6917.2583041530797</v>
      </c>
      <c r="S14" s="231">
        <v>11164.898659922301</v>
      </c>
      <c r="T14" s="231">
        <v>17547.870569073199</v>
      </c>
      <c r="U14" s="231">
        <v>27579.9871443786</v>
      </c>
      <c r="V14" s="231">
        <v>41101.851530092703</v>
      </c>
      <c r="W14" s="303">
        <v>59645.482721422799</v>
      </c>
    </row>
    <row r="15" spans="1:49">
      <c r="A15" s="182">
        <v>4</v>
      </c>
      <c r="B15" s="179">
        <v>2</v>
      </c>
      <c r="C15" s="445">
        <v>19.369959509055001</v>
      </c>
      <c r="D15" s="445">
        <v>26.652783666455399</v>
      </c>
      <c r="E15" s="445">
        <v>50.462678313251402</v>
      </c>
      <c r="F15" s="445">
        <v>67.613435485511005</v>
      </c>
      <c r="G15" s="445">
        <v>100.762823862715</v>
      </c>
      <c r="H15" s="445">
        <v>146.22327330594999</v>
      </c>
      <c r="I15" s="445">
        <v>206.624358457336</v>
      </c>
      <c r="J15" s="445">
        <v>291.97558324778902</v>
      </c>
      <c r="K15" s="445">
        <v>423.70413880097198</v>
      </c>
      <c r="L15" s="445">
        <v>702.31938135631003</v>
      </c>
      <c r="M15" s="445">
        <v>1074.8630541664299</v>
      </c>
      <c r="N15" s="50">
        <v>1689.36219920178</v>
      </c>
      <c r="O15" s="50">
        <v>2655.1704694186801</v>
      </c>
      <c r="P15" s="50">
        <v>4519.7614282333698</v>
      </c>
      <c r="Q15" s="50">
        <v>7295.1848975993698</v>
      </c>
      <c r="R15" s="50">
        <v>12418.221613928699</v>
      </c>
      <c r="S15" s="50">
        <v>20043.806340545001</v>
      </c>
      <c r="T15" s="50">
        <v>35039.222063109002</v>
      </c>
      <c r="U15" s="50">
        <v>52218.186158994999</v>
      </c>
      <c r="V15" s="50">
        <v>75777.095297277396</v>
      </c>
      <c r="W15" s="304">
        <v>109964.91058132</v>
      </c>
    </row>
    <row r="16" spans="1:49">
      <c r="A16" s="182">
        <v>4</v>
      </c>
      <c r="B16" s="179">
        <v>3</v>
      </c>
      <c r="C16" s="352">
        <v>75.203425621060703</v>
      </c>
      <c r="D16" s="352">
        <v>83.6454350312423</v>
      </c>
      <c r="E16" s="352">
        <v>162.63766186660499</v>
      </c>
      <c r="F16" s="352">
        <v>185.77056317468799</v>
      </c>
      <c r="G16" s="352">
        <v>206.624358457336</v>
      </c>
      <c r="H16" s="352">
        <v>299.84560654570402</v>
      </c>
      <c r="I16" s="352">
        <v>401.75417261727199</v>
      </c>
      <c r="J16" s="352">
        <v>583.01075667013902</v>
      </c>
      <c r="K16" s="352">
        <v>846.04358973737897</v>
      </c>
      <c r="L16" s="352">
        <v>1195.52250475652</v>
      </c>
      <c r="M16" s="352">
        <v>1829.6846205577899</v>
      </c>
      <c r="N16" s="52">
        <v>2655.1704694186801</v>
      </c>
      <c r="O16" s="52">
        <v>4285.6154725463102</v>
      </c>
      <c r="P16" s="52">
        <v>6917.2583041530797</v>
      </c>
      <c r="Q16" s="52">
        <v>11164.898659922301</v>
      </c>
      <c r="R16" s="52">
        <v>18020.862689411599</v>
      </c>
      <c r="S16" s="52">
        <v>26856.097460341</v>
      </c>
      <c r="T16" s="52">
        <v>46948.0071136927</v>
      </c>
      <c r="U16" s="52">
        <v>68129.206905796003</v>
      </c>
      <c r="V16" s="52">
        <v>98866.578561521397</v>
      </c>
      <c r="W16" s="305">
        <v>139705.82730290201</v>
      </c>
    </row>
    <row r="17" spans="1:46">
      <c r="A17" s="181">
        <v>5</v>
      </c>
      <c r="B17" s="178">
        <v>1</v>
      </c>
      <c r="C17" s="306">
        <v>8.3623838199155305</v>
      </c>
      <c r="D17" s="306">
        <v>9.6548028937266501</v>
      </c>
      <c r="E17" s="306">
        <v>10.970386132301799</v>
      </c>
      <c r="F17" s="306">
        <v>11.1469672911586</v>
      </c>
      <c r="G17" s="306">
        <v>12.465233440446401</v>
      </c>
      <c r="H17" s="306">
        <v>14.6234061987104</v>
      </c>
      <c r="I17" s="306">
        <v>17.7119467074223</v>
      </c>
      <c r="J17" s="306">
        <v>19.806602515814799</v>
      </c>
      <c r="K17" s="306">
        <v>22.505490786217301</v>
      </c>
      <c r="L17" s="306">
        <v>25.983748443838401</v>
      </c>
      <c r="M17" s="306">
        <v>29.524347284057001</v>
      </c>
      <c r="N17" s="195">
        <v>31.978226106577299</v>
      </c>
      <c r="O17" s="195">
        <v>36.335644764240101</v>
      </c>
      <c r="P17" s="195">
        <v>38.118632262468601</v>
      </c>
      <c r="Q17" s="195">
        <v>41.951373647754103</v>
      </c>
      <c r="R17" s="195">
        <v>46.169488422759599</v>
      </c>
      <c r="S17" s="195">
        <v>51.629598973719702</v>
      </c>
      <c r="T17" s="195">
        <v>58.664753991573001</v>
      </c>
      <c r="U17" s="195">
        <v>63.540600900676999</v>
      </c>
      <c r="V17" s="195">
        <v>71.0550594152553</v>
      </c>
      <c r="W17" s="195">
        <v>82.036726372511197</v>
      </c>
      <c r="X17" s="195">
        <v>88.855105237167805</v>
      </c>
      <c r="Y17" s="195">
        <v>104.23906643385899</v>
      </c>
      <c r="Z17" s="195">
        <v>116.56661967088399</v>
      </c>
      <c r="AA17" s="195">
        <v>138.94954943731301</v>
      </c>
      <c r="AB17" s="195">
        <v>163.00663058235199</v>
      </c>
      <c r="AC17" s="195">
        <v>191.22884328458201</v>
      </c>
      <c r="AD17" s="195">
        <v>227.948289903514</v>
      </c>
      <c r="AE17" s="195">
        <v>276.09217086338901</v>
      </c>
      <c r="AF17" s="195">
        <v>339.78692047485799</v>
      </c>
      <c r="AG17" s="195">
        <v>424.90714701344098</v>
      </c>
      <c r="AH17" s="195">
        <v>514.64977729802797</v>
      </c>
      <c r="AI17" s="195">
        <v>653.93409388793202</v>
      </c>
      <c r="AJ17" s="195">
        <v>792.04842317318298</v>
      </c>
      <c r="AK17" s="195">
        <v>1022.60694492338</v>
      </c>
      <c r="AL17" s="195">
        <v>1299.3642967122701</v>
      </c>
      <c r="AM17" s="195">
        <v>1651.0229897735201</v>
      </c>
      <c r="AN17" s="195">
        <v>2064.6217554750701</v>
      </c>
      <c r="AO17" s="195">
        <v>2752.1184954564301</v>
      </c>
      <c r="AP17" s="195">
        <v>3910.5064784321999</v>
      </c>
      <c r="AQ17" s="195">
        <v>5468.4478860195604</v>
      </c>
      <c r="AR17" s="195">
        <v>8828.9378661252395</v>
      </c>
      <c r="AS17" s="253">
        <v>16991.658994433401</v>
      </c>
    </row>
    <row r="18" spans="1:46">
      <c r="A18" s="182">
        <v>5</v>
      </c>
      <c r="B18" s="179">
        <v>2</v>
      </c>
      <c r="C18" s="444">
        <v>362.19788372586697</v>
      </c>
      <c r="D18" s="444">
        <v>418.17611475450002</v>
      </c>
      <c r="E18" s="444">
        <v>460.22276769633498</v>
      </c>
      <c r="F18" s="444">
        <v>490.57718957845498</v>
      </c>
      <c r="G18" s="444">
        <v>514.64977729802797</v>
      </c>
      <c r="H18" s="444">
        <v>514.64977729802797</v>
      </c>
      <c r="I18" s="444">
        <v>575.51345101569098</v>
      </c>
      <c r="J18" s="444">
        <v>603.75385502891902</v>
      </c>
      <c r="K18" s="444">
        <v>633.380013653829</v>
      </c>
      <c r="L18" s="444">
        <v>633.380013653829</v>
      </c>
      <c r="M18" s="444">
        <v>643.57500364405303</v>
      </c>
      <c r="N18" s="19">
        <v>719.68567300115205</v>
      </c>
      <c r="O18" s="19">
        <v>708.28499990041098</v>
      </c>
      <c r="P18" s="19">
        <v>708.28499990041098</v>
      </c>
      <c r="Q18" s="19">
        <v>731.26985323132305</v>
      </c>
      <c r="R18" s="19">
        <v>767.15321279746297</v>
      </c>
      <c r="S18" s="19">
        <v>792.04842317318298</v>
      </c>
      <c r="T18" s="19">
        <v>792.04842317318298</v>
      </c>
      <c r="U18" s="19">
        <v>830.91418283349196</v>
      </c>
      <c r="V18" s="19">
        <v>885.71790273595195</v>
      </c>
      <c r="W18" s="19">
        <v>899.97456533644004</v>
      </c>
      <c r="X18" s="19">
        <v>857.87852716619398</v>
      </c>
      <c r="Y18" s="19">
        <v>857.87852716619398</v>
      </c>
      <c r="Z18" s="19">
        <v>871.68708254960904</v>
      </c>
      <c r="AA18" s="19">
        <v>914.46070554811297</v>
      </c>
      <c r="AB18" s="19">
        <v>929.18001708074905</v>
      </c>
      <c r="AC18" s="19">
        <v>1039.0669963027799</v>
      </c>
      <c r="AD18" s="19">
        <v>1039.0669963027799</v>
      </c>
      <c r="AE18" s="19">
        <v>990.46495173116705</v>
      </c>
      <c r="AF18" s="19">
        <v>1107.5996291567301</v>
      </c>
      <c r="AG18" s="19">
        <v>1143.5428088501001</v>
      </c>
      <c r="AH18" s="19">
        <v>1180.6523957293</v>
      </c>
      <c r="AI18" s="19">
        <v>1299.3642967122701</v>
      </c>
      <c r="AJ18" s="19">
        <v>1299.3642967122701</v>
      </c>
      <c r="AK18" s="19">
        <v>1320.27908043305</v>
      </c>
      <c r="AL18" s="19">
        <v>1453.0301255613099</v>
      </c>
      <c r="AM18" s="19">
        <v>1524.3302102366999</v>
      </c>
      <c r="AN18" s="19">
        <v>1817.02957934345</v>
      </c>
      <c r="AO18" s="19">
        <v>2200.7958089804902</v>
      </c>
      <c r="AP18" s="19">
        <v>2933.6370376589998</v>
      </c>
      <c r="AQ18" s="19">
        <v>4372.9720246599099</v>
      </c>
      <c r="AR18" s="19">
        <v>7770.1599406248897</v>
      </c>
      <c r="AS18" s="185">
        <v>16991.658994433401</v>
      </c>
      <c r="AT18" s="74"/>
    </row>
    <row r="19" spans="1:46">
      <c r="A19" s="182">
        <v>5</v>
      </c>
      <c r="B19" s="179">
        <v>3</v>
      </c>
      <c r="C19" s="443">
        <v>168.29642705753901</v>
      </c>
      <c r="D19" s="443">
        <v>217.28607756750901</v>
      </c>
      <c r="E19" s="443">
        <v>246.893924021766</v>
      </c>
      <c r="F19" s="443">
        <v>280.53619634201698</v>
      </c>
      <c r="G19" s="443">
        <v>323.89349001028398</v>
      </c>
      <c r="H19" s="443">
        <v>362.19788372586697</v>
      </c>
      <c r="I19" s="443">
        <v>418.17611475450002</v>
      </c>
      <c r="J19" s="443">
        <v>445.75731042593901</v>
      </c>
      <c r="K19" s="443">
        <v>490.57718957845498</v>
      </c>
      <c r="L19" s="443">
        <v>539.90360518087698</v>
      </c>
      <c r="M19" s="443">
        <v>584.77701119419498</v>
      </c>
      <c r="N19" s="19">
        <v>633.380013653829</v>
      </c>
      <c r="O19" s="19">
        <v>767.15321279746297</v>
      </c>
      <c r="P19" s="19">
        <v>817.75151845287303</v>
      </c>
      <c r="Q19" s="19">
        <v>899.97456533644004</v>
      </c>
      <c r="R19" s="19">
        <v>1006.40764024499</v>
      </c>
      <c r="S19" s="19">
        <v>1072.7861948095499</v>
      </c>
      <c r="T19" s="19">
        <v>1180.6523957293</v>
      </c>
      <c r="U19" s="19">
        <v>1407.3593185755601</v>
      </c>
      <c r="V19" s="19">
        <v>1599.1289849841501</v>
      </c>
      <c r="W19" s="19">
        <v>1677.5981302760899</v>
      </c>
      <c r="X19" s="19">
        <v>1817.02957934345</v>
      </c>
      <c r="Y19" s="19">
        <v>2131.6216612193298</v>
      </c>
      <c r="Z19" s="19">
        <v>2272.21475599732</v>
      </c>
      <c r="AA19" s="19">
        <v>2422.08079946919</v>
      </c>
      <c r="AB19" s="19">
        <v>2933.6370376589998</v>
      </c>
      <c r="AC19" s="19">
        <v>3077.5903979591699</v>
      </c>
      <c r="AD19" s="19">
        <v>3333.3804355604998</v>
      </c>
      <c r="AE19" s="19">
        <v>4037.4079628191098</v>
      </c>
      <c r="AF19" s="19">
        <v>4372.9720246599099</v>
      </c>
      <c r="AG19" s="19">
        <v>4661.3954731122003</v>
      </c>
      <c r="AH19" s="19">
        <v>5381.8211973751104</v>
      </c>
      <c r="AI19" s="19">
        <v>6115.1591886536198</v>
      </c>
      <c r="AJ19" s="19">
        <v>6623.4129185330403</v>
      </c>
      <c r="AK19" s="19">
        <v>7406.7130588486498</v>
      </c>
      <c r="AL19" s="19">
        <v>7895.2297267081703</v>
      </c>
      <c r="AM19" s="19">
        <v>8828.9378661252395</v>
      </c>
      <c r="AN19" s="19">
        <v>9411.2586976235598</v>
      </c>
      <c r="AO19" s="19">
        <v>10357.5392579973</v>
      </c>
      <c r="AP19" s="19">
        <v>12150.7956118437</v>
      </c>
      <c r="AQ19" s="19">
        <v>12952.212669177699</v>
      </c>
      <c r="AR19" s="19">
        <v>17265.159562230299</v>
      </c>
      <c r="AS19" s="185">
        <v>24532.198897224502</v>
      </c>
    </row>
    <row r="20" spans="1:46">
      <c r="A20" s="182">
        <v>5</v>
      </c>
      <c r="B20" s="179">
        <v>4</v>
      </c>
      <c r="C20" s="444">
        <v>73.773048029818497</v>
      </c>
      <c r="D20" s="444">
        <v>89.768713244731401</v>
      </c>
      <c r="E20" s="444">
        <v>109.232600425532</v>
      </c>
      <c r="F20" s="444">
        <v>118.539648841611</v>
      </c>
      <c r="G20" s="444">
        <v>128.63969449369699</v>
      </c>
      <c r="H20" s="444">
        <v>139.600303874215</v>
      </c>
      <c r="I20" s="444">
        <v>151.494800407257</v>
      </c>
      <c r="J20" s="444">
        <v>159.11259011248501</v>
      </c>
      <c r="K20" s="444">
        <v>172.66961039778101</v>
      </c>
      <c r="L20" s="444">
        <v>184.34229924091099</v>
      </c>
      <c r="M20" s="444">
        <v>190.471299787059</v>
      </c>
      <c r="N20" s="19">
        <v>206.70020582871399</v>
      </c>
      <c r="O20" s="19">
        <v>224.311878678825</v>
      </c>
      <c r="P20" s="19">
        <v>235.59121444194199</v>
      </c>
      <c r="Q20" s="19">
        <v>251.517485046367</v>
      </c>
      <c r="R20" s="19">
        <v>272.94776686422802</v>
      </c>
      <c r="S20" s="19">
        <v>282.02271612475801</v>
      </c>
      <c r="T20" s="19">
        <v>301.08781625693899</v>
      </c>
      <c r="U20" s="19">
        <v>316.22776601683699</v>
      </c>
      <c r="V20" s="19">
        <v>348.82984610451598</v>
      </c>
      <c r="W20" s="19">
        <v>378.55152492586302</v>
      </c>
      <c r="X20" s="19">
        <v>384.79309728552198</v>
      </c>
      <c r="Y20" s="19">
        <v>417.578986961846</v>
      </c>
      <c r="Z20" s="19">
        <v>468.22494300105802</v>
      </c>
      <c r="AA20" s="19">
        <v>491.76924380171801</v>
      </c>
      <c r="AB20" s="19">
        <v>551.41334535056797</v>
      </c>
      <c r="AC20" s="19">
        <v>588.68960021324199</v>
      </c>
      <c r="AD20" s="19">
        <v>660.08866133473805</v>
      </c>
      <c r="AE20" s="19">
        <v>704.71150802378702</v>
      </c>
      <c r="AF20" s="19">
        <v>728.14170953120197</v>
      </c>
      <c r="AG20" s="19">
        <v>829.91591104868201</v>
      </c>
      <c r="AH20" s="19">
        <v>915.47761025952002</v>
      </c>
      <c r="AI20" s="19">
        <v>977.36507999315302</v>
      </c>
      <c r="AJ20" s="19">
        <v>1113.9738599948</v>
      </c>
      <c r="AK20" s="19">
        <v>1208.8888268529399</v>
      </c>
      <c r="AL20" s="19">
        <v>1377.85826434825</v>
      </c>
      <c r="AM20" s="19">
        <v>1570.44498589259</v>
      </c>
      <c r="AN20" s="19">
        <v>1789.95003878849</v>
      </c>
      <c r="AO20" s="19">
        <v>2287.5732003183898</v>
      </c>
      <c r="AP20" s="19">
        <v>3172.6375097650698</v>
      </c>
      <c r="AQ20" s="19">
        <v>4546.4294322986498</v>
      </c>
      <c r="AR20" s="19">
        <v>7927.7094931967504</v>
      </c>
      <c r="AS20" s="185">
        <v>16821.017890573501</v>
      </c>
    </row>
    <row r="21" spans="1:46">
      <c r="A21" s="182">
        <v>5</v>
      </c>
      <c r="B21" s="179">
        <v>5</v>
      </c>
      <c r="C21" s="19">
        <v>5.4781808274452501</v>
      </c>
      <c r="D21" s="19">
        <v>7.8503019877601696</v>
      </c>
      <c r="E21" s="19">
        <v>9.0950861722264698</v>
      </c>
      <c r="F21" s="19">
        <v>9.5524249959002301</v>
      </c>
      <c r="G21" s="19">
        <v>10.7109883132983</v>
      </c>
      <c r="H21" s="19">
        <v>11.815257249599499</v>
      </c>
      <c r="I21" s="19">
        <v>12.6139839112187</v>
      </c>
      <c r="J21" s="19">
        <v>13.6887450953708</v>
      </c>
      <c r="K21" s="19">
        <v>15.1000113150339</v>
      </c>
      <c r="L21" s="19">
        <v>15.6020554903413</v>
      </c>
      <c r="M21" s="19">
        <v>16.931412159259601</v>
      </c>
      <c r="N21" s="19">
        <v>18.374035259917601</v>
      </c>
      <c r="O21" s="19">
        <v>19.939575539070599</v>
      </c>
      <c r="P21" s="19">
        <v>22.3579416391938</v>
      </c>
      <c r="Q21" s="19">
        <v>23.869367392260202</v>
      </c>
      <c r="R21" s="19">
        <v>25.0696186266408</v>
      </c>
      <c r="S21" s="19">
        <v>28.110180634136398</v>
      </c>
      <c r="T21" s="19">
        <v>31.519516393602899</v>
      </c>
      <c r="U21" s="19">
        <v>31.519516393602899</v>
      </c>
      <c r="V21" s="19">
        <v>33.650276441655699</v>
      </c>
      <c r="W21" s="19">
        <v>38.986037025490702</v>
      </c>
      <c r="X21" s="19">
        <v>43.005373839003099</v>
      </c>
      <c r="Y21" s="19">
        <v>48.2212691328413</v>
      </c>
      <c r="Z21" s="19">
        <v>51.481089253543303</v>
      </c>
      <c r="AA21" s="19">
        <v>57.724959430430197</v>
      </c>
      <c r="AB21" s="19">
        <v>63.676219732818303</v>
      </c>
      <c r="AC21" s="19">
        <v>71.399173056679501</v>
      </c>
      <c r="AD21" s="19">
        <v>76.225849440713702</v>
      </c>
      <c r="AE21" s="19">
        <v>88.312611450538299</v>
      </c>
      <c r="AF21" s="19">
        <v>105.717705171425</v>
      </c>
      <c r="AG21" s="19">
        <v>118.539648841611</v>
      </c>
      <c r="AH21" s="19">
        <v>139.600303874215</v>
      </c>
      <c r="AI21" s="19">
        <v>159.11259011248501</v>
      </c>
      <c r="AJ21" s="19">
        <v>190.471299787059</v>
      </c>
      <c r="AK21" s="19">
        <v>243.42413552369101</v>
      </c>
      <c r="AL21" s="19">
        <v>311.098364014433</v>
      </c>
      <c r="AM21" s="19">
        <v>372.41119457338903</v>
      </c>
      <c r="AN21" s="19">
        <v>569.74669970669595</v>
      </c>
      <c r="AO21" s="19">
        <v>843.59959707334804</v>
      </c>
      <c r="AP21" s="19">
        <v>1570.44498589259</v>
      </c>
      <c r="AQ21" s="19">
        <v>2694.0008429218201</v>
      </c>
      <c r="AR21" s="19">
        <v>5623.4132519034902</v>
      </c>
      <c r="AS21" s="185">
        <v>15001.5579379266</v>
      </c>
    </row>
    <row r="22" spans="1:46">
      <c r="A22" s="183">
        <v>5</v>
      </c>
      <c r="B22" s="180">
        <v>6</v>
      </c>
      <c r="C22" s="21">
        <v>3.1934591389895899</v>
      </c>
      <c r="D22" s="21">
        <v>4.0812711999542399</v>
      </c>
      <c r="E22" s="21">
        <v>4.8063808630643896</v>
      </c>
      <c r="F22" s="21">
        <v>5.4781808274452501</v>
      </c>
      <c r="G22" s="21">
        <v>6.5578482628834198</v>
      </c>
      <c r="H22" s="21">
        <v>6.8876041941176496</v>
      </c>
      <c r="I22" s="21">
        <v>7.5976943496320102</v>
      </c>
      <c r="J22" s="21">
        <v>7.8503019877601696</v>
      </c>
      <c r="K22" s="21">
        <v>8.5191786820464603</v>
      </c>
      <c r="L22" s="21">
        <v>8.9475584778323807</v>
      </c>
      <c r="M22" s="21">
        <v>9.3974789944185702</v>
      </c>
      <c r="N22" s="21">
        <v>9.5524249959002301</v>
      </c>
      <c r="O22" s="21">
        <v>9.8700233889874198</v>
      </c>
      <c r="P22" s="21">
        <v>10.366329284376899</v>
      </c>
      <c r="Q22" s="21">
        <v>10.537249727360701</v>
      </c>
      <c r="R22" s="21">
        <v>11.6236067662837</v>
      </c>
      <c r="S22" s="21">
        <v>12.409377607517101</v>
      </c>
      <c r="T22" s="21">
        <v>13.2482675732485</v>
      </c>
      <c r="U22" s="21">
        <v>13.9144456602871</v>
      </c>
      <c r="V22" s="21">
        <v>15.3489808926176</v>
      </c>
      <c r="W22" s="21">
        <v>16.120791597111701</v>
      </c>
      <c r="X22" s="21">
        <v>17.494346628442599</v>
      </c>
      <c r="Y22" s="21">
        <v>18.676987072451301</v>
      </c>
      <c r="Z22" s="21">
        <v>20.942220467212099</v>
      </c>
      <c r="AA22" s="21">
        <v>23.869367392260202</v>
      </c>
      <c r="AB22" s="21">
        <v>26.3302234934391</v>
      </c>
      <c r="AC22" s="21">
        <v>29.0447860565945</v>
      </c>
      <c r="AD22" s="21">
        <v>34.769078602300397</v>
      </c>
      <c r="AE22" s="21">
        <v>42.307801157570097</v>
      </c>
      <c r="AF22" s="21">
        <v>49.016343305706499</v>
      </c>
      <c r="AG22" s="21">
        <v>61.627241299031198</v>
      </c>
      <c r="AH22" s="21">
        <v>74.989420933245498</v>
      </c>
      <c r="AI22" s="21">
        <v>91.248823302299598</v>
      </c>
      <c r="AJ22" s="21">
        <v>114.72527064761201</v>
      </c>
      <c r="AK22" s="21">
        <v>151.494800407257</v>
      </c>
      <c r="AL22" s="21">
        <v>210.10828691276001</v>
      </c>
      <c r="AM22" s="21">
        <v>301.08781625693899</v>
      </c>
      <c r="AN22" s="21">
        <v>453.15836376008099</v>
      </c>
      <c r="AO22" s="21">
        <v>764.75570818925701</v>
      </c>
      <c r="AP22" s="21">
        <v>1570.44498589259</v>
      </c>
      <c r="AQ22" s="21">
        <v>2876.1187819738102</v>
      </c>
      <c r="AR22" s="21">
        <v>6622.5115937785704</v>
      </c>
      <c r="AS22" s="186">
        <v>17098.363491935699</v>
      </c>
      <c r="AT22" s="74"/>
    </row>
    <row r="23" spans="1:46">
      <c r="A23" s="181">
        <v>6</v>
      </c>
      <c r="B23" s="178">
        <v>1</v>
      </c>
      <c r="C23" s="360">
        <v>15.091405542646299</v>
      </c>
      <c r="D23" s="360">
        <v>21.789989263005399</v>
      </c>
      <c r="E23" s="360">
        <v>25.135956781483699</v>
      </c>
      <c r="F23" s="360">
        <v>27.273817991426998</v>
      </c>
      <c r="G23" s="360">
        <v>27.836111485703899</v>
      </c>
      <c r="H23" s="360">
        <v>41.865969444342703</v>
      </c>
      <c r="I23" s="360">
        <v>48.2947093670467</v>
      </c>
      <c r="J23" s="360">
        <v>54.585253599296202</v>
      </c>
      <c r="K23" s="360">
        <v>62.967106537664897</v>
      </c>
      <c r="L23" s="360">
        <v>68.322579406253297</v>
      </c>
      <c r="M23" s="360">
        <v>66.942453380673896</v>
      </c>
      <c r="N23" s="360">
        <v>72.636037103192393</v>
      </c>
      <c r="O23" s="360">
        <v>102.758283004072</v>
      </c>
      <c r="P23" s="360">
        <v>116.142886264739</v>
      </c>
      <c r="Q23" s="360">
        <v>148.369340219252</v>
      </c>
      <c r="R23" s="360">
        <v>189.53774807109801</v>
      </c>
      <c r="S23" s="360">
        <v>252.21593733742901</v>
      </c>
      <c r="T23" s="360">
        <v>322.19891737696298</v>
      </c>
      <c r="U23" s="360">
        <v>465.21252976446601</v>
      </c>
      <c r="V23" s="360">
        <v>644.84223000859004</v>
      </c>
      <c r="W23" s="360">
        <v>875.77573865469503</v>
      </c>
      <c r="X23" s="360">
        <v>1165.3857929097901</v>
      </c>
      <c r="Y23" s="360">
        <v>1582.7384685858201</v>
      </c>
      <c r="Z23" s="360">
        <v>2106.1338465657</v>
      </c>
      <c r="AA23" s="360">
        <v>2979.5499104994801</v>
      </c>
      <c r="AB23" s="360">
        <v>3884.7658285469802</v>
      </c>
      <c r="AC23" s="360">
        <v>4862.4345275373498</v>
      </c>
      <c r="AD23" s="360">
        <v>6470.39175354496</v>
      </c>
      <c r="AE23" s="360">
        <v>8265.7473592079605</v>
      </c>
      <c r="AF23" s="360">
        <v>10559.264725945</v>
      </c>
      <c r="AG23" s="360">
        <v>13216.6868364486</v>
      </c>
      <c r="AH23" s="360">
        <v>16883.953627073799</v>
      </c>
      <c r="AI23" s="360">
        <v>21133.093396347602</v>
      </c>
      <c r="AJ23" s="360">
        <v>22930.503417813099</v>
      </c>
      <c r="AK23" s="134">
        <v>26996.945097961401</v>
      </c>
    </row>
    <row r="24" spans="1:46">
      <c r="A24" s="182">
        <v>6</v>
      </c>
      <c r="B24" s="179">
        <v>2</v>
      </c>
      <c r="C24" s="361">
        <v>1141.8448306596499</v>
      </c>
      <c r="D24" s="361">
        <v>1488.74827168309</v>
      </c>
      <c r="E24" s="361">
        <v>1752.7593975146301</v>
      </c>
      <c r="F24" s="361">
        <v>2021.9048266841801</v>
      </c>
      <c r="G24" s="361">
        <v>2063.58963701946</v>
      </c>
      <c r="H24" s="361">
        <v>2285.2645592998301</v>
      </c>
      <c r="I24" s="361">
        <v>2582.9277605298398</v>
      </c>
      <c r="J24" s="361">
        <v>2690.5280149151799</v>
      </c>
      <c r="K24" s="361">
        <v>2802.6107077646302</v>
      </c>
      <c r="L24" s="361">
        <v>2979.5499104994801</v>
      </c>
      <c r="M24" s="361">
        <v>3167.6599409835198</v>
      </c>
      <c r="N24" s="361">
        <v>3367.6460549807098</v>
      </c>
      <c r="O24" s="361">
        <v>3654.0707943431498</v>
      </c>
      <c r="P24" s="361">
        <v>4130.0254954034499</v>
      </c>
      <c r="Q24" s="361">
        <v>4573.6810867505001</v>
      </c>
      <c r="R24" s="361">
        <v>5169.4180433960801</v>
      </c>
      <c r="S24" s="361">
        <v>5963.2093873874601</v>
      </c>
      <c r="T24" s="361">
        <v>6603.7892554856398</v>
      </c>
      <c r="U24" s="361">
        <v>7165.4541648692802</v>
      </c>
      <c r="V24" s="361">
        <v>7935.18156929411</v>
      </c>
      <c r="W24" s="361">
        <v>8787.5946295741305</v>
      </c>
      <c r="X24" s="361">
        <v>10345.9660451004</v>
      </c>
      <c r="Y24" s="361">
        <v>11934.643575701901</v>
      </c>
      <c r="Z24" s="361">
        <v>13489.1700299042</v>
      </c>
      <c r="AA24" s="361">
        <v>15560.5030730975</v>
      </c>
      <c r="AB24" s="361">
        <v>18319.966182457902</v>
      </c>
      <c r="AC24" s="361">
        <v>21568.7860058109</v>
      </c>
      <c r="AD24" s="361">
        <v>24378.191097666699</v>
      </c>
      <c r="AE24" s="361">
        <v>29293.086924335799</v>
      </c>
      <c r="AF24" s="361">
        <v>35924.557943863001</v>
      </c>
      <c r="AG24" s="361">
        <v>42295.334769039102</v>
      </c>
      <c r="AH24" s="361">
        <v>46838.784144609199</v>
      </c>
      <c r="AI24" s="361">
        <v>55145.064238972402</v>
      </c>
      <c r="AJ24" s="361">
        <v>59835.257446305601</v>
      </c>
      <c r="AK24" s="135">
        <v>69023.276102883305</v>
      </c>
    </row>
    <row r="25" spans="1:46">
      <c r="A25" s="182">
        <v>6</v>
      </c>
      <c r="B25" s="179">
        <v>3</v>
      </c>
      <c r="C25" s="362">
        <v>7935.18156929411</v>
      </c>
      <c r="D25" s="362">
        <v>7774.8897492742399</v>
      </c>
      <c r="E25" s="362">
        <v>7774.8897492742399</v>
      </c>
      <c r="F25" s="362">
        <v>8436.1589959974808</v>
      </c>
      <c r="G25" s="362">
        <v>8787.5946295741305</v>
      </c>
      <c r="H25" s="362">
        <v>9342.3880525087498</v>
      </c>
      <c r="I25" s="362">
        <v>9342.3880525087498</v>
      </c>
      <c r="J25" s="362">
        <v>10345.9660451004</v>
      </c>
      <c r="K25" s="362">
        <v>10999.1452320885</v>
      </c>
      <c r="L25" s="362">
        <v>12431.819959946</v>
      </c>
      <c r="M25" s="362">
        <v>14340.791335722201</v>
      </c>
      <c r="N25" s="362">
        <v>15560.5030730975</v>
      </c>
      <c r="O25" s="362">
        <v>17949.900205209</v>
      </c>
      <c r="P25" s="362">
        <v>19083.143942086401</v>
      </c>
      <c r="Q25" s="362">
        <v>21133.093396347602</v>
      </c>
      <c r="R25" s="362">
        <v>23403.252517201501</v>
      </c>
      <c r="S25" s="362">
        <v>25917.276667057002</v>
      </c>
      <c r="T25" s="362">
        <v>29293.086924335799</v>
      </c>
      <c r="U25" s="362">
        <v>32439.8088552925</v>
      </c>
      <c r="V25" s="362">
        <v>35198.876656554603</v>
      </c>
      <c r="W25" s="362">
        <v>38980.010321515198</v>
      </c>
      <c r="X25" s="362">
        <v>44057.284464267301</v>
      </c>
      <c r="Y25" s="362">
        <v>49795.890210270198</v>
      </c>
      <c r="Z25" s="362">
        <v>54031.125933366202</v>
      </c>
      <c r="AA25" s="362">
        <v>61068.857230575297</v>
      </c>
      <c r="AB25" s="362">
        <v>67628.995902279203</v>
      </c>
      <c r="AC25" s="362">
        <v>78013.784112363704</v>
      </c>
      <c r="AD25" s="362">
        <v>86394.180689119094</v>
      </c>
      <c r="AE25" s="362">
        <v>101715.12200798999</v>
      </c>
      <c r="AF25" s="362">
        <v>112641.563661587</v>
      </c>
      <c r="AG25" s="362">
        <v>127313.496630842</v>
      </c>
      <c r="AH25" s="362">
        <v>146863.15401015599</v>
      </c>
      <c r="AI25" s="362">
        <v>152981.21622343501</v>
      </c>
      <c r="AJ25" s="362">
        <v>156135.16931705899</v>
      </c>
      <c r="AK25" s="136">
        <v>162639.48747637399</v>
      </c>
    </row>
    <row r="26" spans="1:46">
      <c r="A26" s="182">
        <v>6</v>
      </c>
      <c r="B26" s="179">
        <v>4</v>
      </c>
      <c r="C26" s="361">
        <v>21568.7860058109</v>
      </c>
      <c r="D26" s="361">
        <v>19083.143942086401</v>
      </c>
      <c r="E26" s="361">
        <v>20287.933556795499</v>
      </c>
      <c r="F26" s="361">
        <v>20706.201840865298</v>
      </c>
      <c r="G26" s="361">
        <v>22013.4611170963</v>
      </c>
      <c r="H26" s="361">
        <v>22930.503417813099</v>
      </c>
      <c r="I26" s="361">
        <v>24880.786600092</v>
      </c>
      <c r="J26" s="361">
        <v>26451.602886577901</v>
      </c>
      <c r="K26" s="361">
        <v>27553.530413545199</v>
      </c>
      <c r="L26" s="361">
        <v>29293.086924335799</v>
      </c>
      <c r="M26" s="361">
        <v>31142.4680858631</v>
      </c>
      <c r="N26" s="361">
        <v>35198.876656554603</v>
      </c>
      <c r="O26" s="361">
        <v>37421.112215534798</v>
      </c>
      <c r="P26" s="361">
        <v>38980.010321515198</v>
      </c>
      <c r="Q26" s="361">
        <v>40603.849396936297</v>
      </c>
      <c r="R26" s="361">
        <v>44965.596033903297</v>
      </c>
      <c r="S26" s="361">
        <v>46838.784144609199</v>
      </c>
      <c r="T26" s="361">
        <v>47804.440790577501</v>
      </c>
      <c r="U26" s="361">
        <v>56281.968169063897</v>
      </c>
      <c r="V26" s="361">
        <v>56281.968169063897</v>
      </c>
      <c r="W26" s="361">
        <v>62327.889652602396</v>
      </c>
      <c r="X26" s="361">
        <v>66262.880364199998</v>
      </c>
      <c r="Y26" s="361">
        <v>74893.837778588801</v>
      </c>
      <c r="Z26" s="361">
        <v>81263.701955335797</v>
      </c>
      <c r="AA26" s="361">
        <v>84649.005693329207</v>
      </c>
      <c r="AB26" s="361">
        <v>89993.211200780002</v>
      </c>
      <c r="AC26" s="361">
        <v>105952.396147105</v>
      </c>
      <c r="AD26" s="361">
        <v>122221.944136973</v>
      </c>
      <c r="AE26" s="361">
        <v>132617.15429928401</v>
      </c>
      <c r="AF26" s="361">
        <v>140989.76683718301</v>
      </c>
      <c r="AG26" s="361">
        <v>162639.48747637399</v>
      </c>
      <c r="AH26" s="361">
        <v>180110.54620785601</v>
      </c>
      <c r="AI26" s="361">
        <v>191481.592626064</v>
      </c>
      <c r="AJ26" s="363">
        <v>156135.16931705899</v>
      </c>
      <c r="AK26" s="135">
        <v>140989.76683718301</v>
      </c>
    </row>
    <row r="27" spans="1:46">
      <c r="A27" s="181">
        <v>7</v>
      </c>
      <c r="B27" s="178">
        <v>1</v>
      </c>
      <c r="C27" s="307">
        <v>1.8968234314012899</v>
      </c>
      <c r="D27" s="307">
        <v>5.2178163493270802</v>
      </c>
      <c r="E27" s="307">
        <v>15.270614096563101</v>
      </c>
      <c r="F27" s="307">
        <v>45.623943957865997</v>
      </c>
      <c r="G27" s="307">
        <v>133.52437017712299</v>
      </c>
      <c r="H27" s="307">
        <v>345.23641004169298</v>
      </c>
      <c r="I27" s="307">
        <v>741.23370131035801</v>
      </c>
      <c r="J27" s="307">
        <v>1465.2754811771999</v>
      </c>
      <c r="K27" s="307">
        <v>2666.91373835477</v>
      </c>
      <c r="L27" s="307">
        <v>4657.5919231867401</v>
      </c>
      <c r="M27" s="307">
        <v>7645.5383619545401</v>
      </c>
      <c r="N27" s="307">
        <v>11555.274560871399</v>
      </c>
      <c r="O27" s="307">
        <v>17828.7574311975</v>
      </c>
      <c r="P27" s="307">
        <v>24809.546975007001</v>
      </c>
      <c r="Q27" s="307">
        <v>35244.000748491802</v>
      </c>
      <c r="R27" s="307">
        <v>47059.330024644398</v>
      </c>
      <c r="S27" s="307">
        <v>59060.952731354402</v>
      </c>
      <c r="T27" s="307">
        <v>75670.005723424896</v>
      </c>
      <c r="U27" s="307">
        <v>91125.779344815994</v>
      </c>
      <c r="V27" s="307">
        <v>109738.430462804</v>
      </c>
      <c r="W27" s="307">
        <v>129451.659825589</v>
      </c>
      <c r="X27" s="307">
        <v>152706.140965631</v>
      </c>
      <c r="Y27" s="364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365"/>
      <c r="AK27" s="178"/>
    </row>
    <row r="28" spans="1:46">
      <c r="A28" s="182">
        <v>7</v>
      </c>
      <c r="B28" s="179">
        <v>2</v>
      </c>
      <c r="C28" s="301">
        <v>8303.9076612001008</v>
      </c>
      <c r="D28" s="301">
        <v>9018.9701733587099</v>
      </c>
      <c r="E28" s="301">
        <v>12550.317376049499</v>
      </c>
      <c r="F28" s="301">
        <v>21031.485800943701</v>
      </c>
      <c r="G28" s="301">
        <v>36730.126284295096</v>
      </c>
      <c r="H28" s="301">
        <v>68246.552463745305</v>
      </c>
      <c r="I28" s="301">
        <v>129451.659825589</v>
      </c>
      <c r="J28" s="301">
        <v>195649.985760168</v>
      </c>
      <c r="K28" s="301">
        <v>314599.36923255801</v>
      </c>
      <c r="L28" s="301">
        <v>465759.19231867301</v>
      </c>
      <c r="M28" s="301">
        <v>675454.98708549002</v>
      </c>
      <c r="N28" s="349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179"/>
    </row>
    <row r="29" spans="1:46">
      <c r="A29" s="181">
        <v>8</v>
      </c>
      <c r="B29" s="178">
        <v>1</v>
      </c>
      <c r="C29" s="339">
        <v>6874.06855439642</v>
      </c>
      <c r="D29" s="339">
        <v>6236.9597615499197</v>
      </c>
      <c r="E29" s="339">
        <v>5275.7078986587103</v>
      </c>
      <c r="F29" s="339">
        <v>4359.1654247391898</v>
      </c>
      <c r="G29" s="339">
        <v>3643.8152011922498</v>
      </c>
      <c r="H29" s="339">
        <v>3163.1892697466401</v>
      </c>
      <c r="I29" s="339">
        <v>2682.5633383010399</v>
      </c>
      <c r="J29" s="339">
        <v>2201.9374068554398</v>
      </c>
      <c r="K29" s="339">
        <v>1631.89269746646</v>
      </c>
      <c r="L29" s="339">
        <v>1151.2667660208599</v>
      </c>
      <c r="M29" s="339">
        <v>815.946348733234</v>
      </c>
      <c r="N29" s="339">
        <v>558.86736214605003</v>
      </c>
      <c r="O29" s="339">
        <v>402.384500745156</v>
      </c>
      <c r="P29" s="339">
        <v>223.54694485842001</v>
      </c>
      <c r="Q29" s="297"/>
      <c r="R29" s="239"/>
      <c r="S29" s="239"/>
      <c r="T29" s="239"/>
      <c r="U29" s="239"/>
      <c r="V29" s="239"/>
      <c r="W29" s="239"/>
      <c r="X29" s="239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179"/>
    </row>
    <row r="30" spans="1:46">
      <c r="A30" s="182">
        <v>8</v>
      </c>
      <c r="B30" s="179">
        <v>2</v>
      </c>
      <c r="C30" s="298">
        <v>7522.3546944858399</v>
      </c>
      <c r="D30" s="298">
        <v>6762.2950819672096</v>
      </c>
      <c r="E30" s="298">
        <v>5678.0923994038703</v>
      </c>
      <c r="F30" s="298">
        <v>4817.43666169895</v>
      </c>
      <c r="G30" s="298">
        <v>4102.0864381520096</v>
      </c>
      <c r="H30" s="298">
        <v>3587.92846497764</v>
      </c>
      <c r="I30" s="298">
        <v>3040.2384500745102</v>
      </c>
      <c r="J30" s="298">
        <v>2369.59761549925</v>
      </c>
      <c r="K30" s="298">
        <v>1732.4888226527501</v>
      </c>
      <c r="L30" s="298">
        <v>1274.21758569299</v>
      </c>
      <c r="M30" s="298">
        <v>961.251862891207</v>
      </c>
      <c r="N30" s="298">
        <v>760.059612518628</v>
      </c>
      <c r="O30" s="298">
        <v>581.22205663189197</v>
      </c>
      <c r="P30" s="298">
        <v>424.73919523099801</v>
      </c>
      <c r="Q30" s="295"/>
      <c r="R30" s="283"/>
      <c r="S30" s="283"/>
      <c r="T30" s="283"/>
      <c r="U30" s="283"/>
      <c r="V30" s="283"/>
      <c r="W30" s="283"/>
      <c r="X30" s="283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179"/>
    </row>
    <row r="31" spans="1:46">
      <c r="A31" s="182">
        <v>8</v>
      </c>
      <c r="B31" s="179">
        <v>3</v>
      </c>
      <c r="C31" s="296">
        <v>7622.9508196721299</v>
      </c>
      <c r="D31" s="296">
        <v>7108.7928464977604</v>
      </c>
      <c r="E31" s="296">
        <v>6315.2011922503698</v>
      </c>
      <c r="F31" s="296">
        <v>5208.6438152011897</v>
      </c>
      <c r="G31" s="296">
        <v>4415.0521609538</v>
      </c>
      <c r="H31" s="296">
        <v>3856.1847988077402</v>
      </c>
      <c r="I31" s="296">
        <v>3375.5588673621401</v>
      </c>
      <c r="J31" s="296">
        <v>2894.9329359165399</v>
      </c>
      <c r="K31" s="296">
        <v>2302.5335320417198</v>
      </c>
      <c r="L31" s="296">
        <v>1643.07004470938</v>
      </c>
      <c r="M31" s="296">
        <v>1274.21758569299</v>
      </c>
      <c r="N31" s="296">
        <v>994.78390461997003</v>
      </c>
      <c r="O31" s="296">
        <v>793.59165424739194</v>
      </c>
      <c r="P31" s="296">
        <v>558.86736214605003</v>
      </c>
      <c r="Q31" s="297"/>
      <c r="R31" s="239"/>
      <c r="S31" s="239"/>
      <c r="T31" s="239"/>
      <c r="U31" s="239"/>
      <c r="V31" s="239"/>
      <c r="W31" s="239"/>
      <c r="X31" s="239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179"/>
    </row>
    <row r="32" spans="1:46">
      <c r="A32" s="182">
        <v>8</v>
      </c>
      <c r="B32" s="179">
        <v>4</v>
      </c>
      <c r="C32" s="298">
        <v>4046.1997019373998</v>
      </c>
      <c r="D32" s="298">
        <v>3643.8152011922498</v>
      </c>
      <c r="E32" s="298">
        <v>3084.9478390462</v>
      </c>
      <c r="F32" s="298">
        <v>2604.3219076005898</v>
      </c>
      <c r="G32" s="298">
        <v>2257.82414307004</v>
      </c>
      <c r="H32" s="298">
        <v>1967.2131147540899</v>
      </c>
      <c r="I32" s="298">
        <v>1687.77943368107</v>
      </c>
      <c r="J32" s="298">
        <v>1430.70044709388</v>
      </c>
      <c r="K32" s="298">
        <v>1117.7347242921001</v>
      </c>
      <c r="L32" s="298">
        <v>894.18777943368104</v>
      </c>
      <c r="M32" s="298">
        <v>670.64083457525999</v>
      </c>
      <c r="N32" s="298">
        <v>536.51266766020797</v>
      </c>
      <c r="O32" s="298">
        <v>357.675111773472</v>
      </c>
      <c r="P32" s="298">
        <v>212.369597615499</v>
      </c>
      <c r="Q32" s="295"/>
      <c r="R32" s="283"/>
      <c r="S32" s="283"/>
      <c r="T32" s="283"/>
      <c r="U32" s="283"/>
      <c r="V32" s="283"/>
      <c r="W32" s="283"/>
      <c r="X32" s="283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179"/>
    </row>
    <row r="33" spans="1:37">
      <c r="A33" s="181">
        <v>9</v>
      </c>
      <c r="B33" s="178">
        <v>1</v>
      </c>
      <c r="C33" s="306">
        <v>2779.4524142974601</v>
      </c>
      <c r="D33" s="306">
        <v>2835.9127655067</v>
      </c>
      <c r="E33" s="306">
        <v>2742.4380555099901</v>
      </c>
      <c r="F33" s="306">
        <v>2705.9166221453102</v>
      </c>
      <c r="G33" s="306">
        <v>2616.7267237088199</v>
      </c>
      <c r="H33" s="306">
        <v>2303.8033998142701</v>
      </c>
      <c r="I33" s="306">
        <v>1490.1050447023699</v>
      </c>
      <c r="J33" s="306">
        <v>944.61476736680504</v>
      </c>
      <c r="K33" s="306">
        <v>722.44768648880495</v>
      </c>
      <c r="L33" s="306">
        <v>586.89303019639397</v>
      </c>
      <c r="M33" s="306">
        <v>445.86093019935402</v>
      </c>
      <c r="N33" s="306">
        <v>321.03340000982899</v>
      </c>
      <c r="O33" s="306">
        <v>239.03255832270699</v>
      </c>
      <c r="P33" s="306">
        <v>174.43365326391699</v>
      </c>
      <c r="Q33" s="297"/>
      <c r="R33" s="239"/>
      <c r="S33" s="239"/>
      <c r="T33" s="239"/>
      <c r="U33" s="239"/>
      <c r="V33" s="239"/>
      <c r="W33" s="239"/>
      <c r="X33" s="239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179"/>
    </row>
    <row r="34" spans="1:37">
      <c r="A34" s="182">
        <v>9</v>
      </c>
      <c r="B34" s="179">
        <v>2</v>
      </c>
      <c r="C34" s="301">
        <v>3444.4342889310601</v>
      </c>
      <c r="D34" s="301">
        <v>3375.8588475297602</v>
      </c>
      <c r="E34" s="301">
        <v>3375.8588475297602</v>
      </c>
      <c r="F34" s="301">
        <v>3286.5439690774601</v>
      </c>
      <c r="G34" s="301">
        <v>3052.9251540622199</v>
      </c>
      <c r="H34" s="301">
        <v>2599.2446669442602</v>
      </c>
      <c r="I34" s="301">
        <v>1658.80835996527</v>
      </c>
      <c r="J34" s="301">
        <v>1016.89946858343</v>
      </c>
      <c r="K34" s="301">
        <v>757.15511695997702</v>
      </c>
      <c r="L34" s="301">
        <v>627.58280144186904</v>
      </c>
      <c r="M34" s="301">
        <v>483.20777715791002</v>
      </c>
      <c r="N34" s="301">
        <v>347.924263161689</v>
      </c>
      <c r="O34" s="301">
        <v>271.50011292193699</v>
      </c>
      <c r="P34" s="301">
        <v>207.645100667516</v>
      </c>
      <c r="Q34" s="295"/>
      <c r="R34" s="283"/>
      <c r="S34" s="283"/>
      <c r="T34" s="283"/>
      <c r="U34" s="283"/>
      <c r="V34" s="283"/>
      <c r="W34" s="283"/>
      <c r="X34" s="283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179"/>
    </row>
    <row r="35" spans="1:37">
      <c r="A35" s="182">
        <v>9</v>
      </c>
      <c r="B35" s="179">
        <v>3</v>
      </c>
      <c r="C35" s="300">
        <v>3242.7766007222899</v>
      </c>
      <c r="D35" s="300">
        <v>3199.5920885682799</v>
      </c>
      <c r="E35" s="300">
        <v>3114.9406883189699</v>
      </c>
      <c r="F35" s="300">
        <v>3156.9826706374001</v>
      </c>
      <c r="G35" s="300">
        <v>2932.5735169862401</v>
      </c>
      <c r="H35" s="300">
        <v>2530.4766194692402</v>
      </c>
      <c r="I35" s="300">
        <v>1625.78304842127</v>
      </c>
      <c r="J35" s="300">
        <v>1030.62443921871</v>
      </c>
      <c r="K35" s="300">
        <v>767.37434911386799</v>
      </c>
      <c r="L35" s="300">
        <v>606.89700282449996</v>
      </c>
      <c r="M35" s="300">
        <v>470.42358035547397</v>
      </c>
      <c r="N35" s="300">
        <v>329.75778020093202</v>
      </c>
      <c r="O35" s="300">
        <v>250.51602771916001</v>
      </c>
      <c r="P35" s="300">
        <v>181.59234020214899</v>
      </c>
      <c r="Q35" s="297"/>
      <c r="R35" s="239"/>
      <c r="S35" s="239"/>
      <c r="T35" s="239"/>
      <c r="U35" s="239"/>
      <c r="V35" s="239"/>
      <c r="W35" s="239"/>
      <c r="X35" s="239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179"/>
    </row>
    <row r="36" spans="1:37">
      <c r="A36" s="182">
        <v>9</v>
      </c>
      <c r="B36" s="179">
        <v>4</v>
      </c>
      <c r="C36" s="301">
        <v>3398.5642729759302</v>
      </c>
      <c r="D36" s="301">
        <v>3375.8588475297602</v>
      </c>
      <c r="E36" s="301">
        <v>3286.5439690774601</v>
      </c>
      <c r="F36" s="301">
        <v>3242.7766007222899</v>
      </c>
      <c r="G36" s="301">
        <v>3073.45858499314</v>
      </c>
      <c r="H36" s="301">
        <v>2652.0443716701002</v>
      </c>
      <c r="I36" s="301">
        <v>1750.19275061743</v>
      </c>
      <c r="J36" s="301">
        <v>1080.13712606794</v>
      </c>
      <c r="K36" s="301">
        <v>777.73150902321697</v>
      </c>
      <c r="L36" s="301">
        <v>644.63794573840801</v>
      </c>
      <c r="M36" s="301">
        <v>493.02340870642399</v>
      </c>
      <c r="N36" s="301">
        <v>329.75778020093202</v>
      </c>
      <c r="O36" s="301">
        <v>125.597523780369</v>
      </c>
      <c r="P36" s="309"/>
      <c r="Q36" s="283"/>
      <c r="R36" s="283"/>
      <c r="S36" s="283"/>
      <c r="T36" s="283"/>
      <c r="U36" s="283"/>
      <c r="V36" s="283"/>
      <c r="W36" s="283"/>
      <c r="X36" s="283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179"/>
    </row>
    <row r="37" spans="1:37">
      <c r="A37" s="181">
        <v>11</v>
      </c>
      <c r="B37" s="178" t="s">
        <v>220</v>
      </c>
      <c r="C37" s="306"/>
      <c r="D37" s="306"/>
      <c r="E37" s="306"/>
      <c r="F37" s="339"/>
      <c r="G37" s="339"/>
      <c r="H37" s="366"/>
      <c r="I37" s="339"/>
      <c r="J37" s="306"/>
      <c r="K37" s="339"/>
      <c r="L37" s="339"/>
      <c r="M37" s="216"/>
      <c r="N37" s="339"/>
      <c r="O37" s="339"/>
      <c r="P37" s="216"/>
      <c r="Q37" s="216"/>
      <c r="R37" s="239"/>
      <c r="S37" s="239"/>
      <c r="T37" s="239"/>
      <c r="U37" s="239"/>
      <c r="V37" s="239"/>
      <c r="W37" s="239"/>
      <c r="X37" s="239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179"/>
    </row>
    <row r="38" spans="1:37">
      <c r="A38" s="182">
        <v>11</v>
      </c>
      <c r="B38" s="179" t="s">
        <v>221</v>
      </c>
      <c r="C38" s="301"/>
      <c r="D38" s="301"/>
      <c r="E38" s="301"/>
      <c r="F38" s="298"/>
      <c r="G38" s="298"/>
      <c r="H38" s="298"/>
      <c r="I38" s="298"/>
      <c r="J38" s="301"/>
      <c r="K38" s="298"/>
      <c r="L38" s="298"/>
      <c r="M38" s="283"/>
      <c r="N38" s="298"/>
      <c r="O38" s="298"/>
      <c r="P38" s="283"/>
      <c r="Q38" s="283"/>
      <c r="R38" s="283"/>
      <c r="S38" s="283"/>
      <c r="T38" s="283"/>
      <c r="U38" s="283"/>
      <c r="V38" s="283"/>
      <c r="W38" s="283"/>
      <c r="X38" s="283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179"/>
    </row>
    <row r="39" spans="1:37">
      <c r="A39" s="182">
        <v>11</v>
      </c>
      <c r="B39" s="179" t="s">
        <v>222</v>
      </c>
      <c r="C39" s="300"/>
      <c r="D39" s="300"/>
      <c r="E39" s="300"/>
      <c r="F39" s="296"/>
      <c r="G39" s="296"/>
      <c r="H39" s="367"/>
      <c r="I39" s="296"/>
      <c r="J39" s="300"/>
      <c r="K39" s="296"/>
      <c r="L39" s="296"/>
      <c r="M39" s="239"/>
      <c r="N39" s="296"/>
      <c r="O39" s="296"/>
      <c r="P39" s="239"/>
      <c r="Q39" s="239"/>
      <c r="R39" s="239"/>
      <c r="S39" s="239"/>
      <c r="T39" s="239"/>
      <c r="U39" s="239"/>
      <c r="V39" s="239"/>
      <c r="W39" s="239"/>
      <c r="X39" s="239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179"/>
    </row>
    <row r="40" spans="1:37">
      <c r="A40" s="182">
        <v>11</v>
      </c>
      <c r="B40" s="179" t="s">
        <v>223</v>
      </c>
      <c r="C40" s="301"/>
      <c r="D40" s="301"/>
      <c r="E40" s="301"/>
      <c r="F40" s="298"/>
      <c r="G40" s="298"/>
      <c r="H40" s="298"/>
      <c r="I40" s="298"/>
      <c r="J40" s="301"/>
      <c r="K40" s="301"/>
      <c r="L40" s="301"/>
      <c r="M40" s="283"/>
      <c r="N40" s="298"/>
      <c r="O40" s="301"/>
      <c r="P40" s="301"/>
      <c r="Q40" s="283"/>
      <c r="R40" s="283"/>
      <c r="S40" s="283"/>
      <c r="T40" s="283"/>
      <c r="U40" s="283"/>
      <c r="V40" s="283"/>
      <c r="W40" s="283"/>
      <c r="X40" s="283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179"/>
    </row>
    <row r="41" spans="1:37">
      <c r="A41" s="181">
        <v>11</v>
      </c>
      <c r="B41" s="178" t="s">
        <v>224</v>
      </c>
      <c r="C41" s="306">
        <v>4.0447031858346199</v>
      </c>
      <c r="D41" s="306">
        <v>3.9392078369131198</v>
      </c>
      <c r="E41" s="306">
        <v>3.78610149920774</v>
      </c>
      <c r="F41" s="306">
        <v>3.5911763212109999</v>
      </c>
      <c r="G41" s="306">
        <v>3.3174427993754199</v>
      </c>
      <c r="H41" s="306">
        <v>3.06457431848309</v>
      </c>
      <c r="I41" s="306">
        <v>2.8686380405557799</v>
      </c>
      <c r="J41" s="306">
        <v>2.3373464990996902</v>
      </c>
      <c r="K41" s="306">
        <v>1.6038545953966701</v>
      </c>
      <c r="L41" s="306">
        <v>1.1450475699382801</v>
      </c>
      <c r="M41" s="306">
        <v>0.92072936468349698</v>
      </c>
      <c r="N41" s="306">
        <v>0.745263582044152</v>
      </c>
      <c r="O41" s="306">
        <v>0.64443958524174805</v>
      </c>
      <c r="P41" s="368"/>
      <c r="Q41" s="239"/>
      <c r="R41" s="239"/>
      <c r="S41" s="239"/>
      <c r="T41" s="239"/>
      <c r="U41" s="239"/>
      <c r="V41" s="239"/>
      <c r="W41" s="239"/>
      <c r="X41" s="239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179"/>
    </row>
    <row r="42" spans="1:37">
      <c r="A42" s="182">
        <v>11</v>
      </c>
      <c r="B42" s="179" t="s">
        <v>225</v>
      </c>
      <c r="C42" s="301">
        <v>2.73898510191361</v>
      </c>
      <c r="D42" s="301">
        <v>2.73898510191361</v>
      </c>
      <c r="E42" s="301">
        <v>2.5638656594088101</v>
      </c>
      <c r="F42" s="301">
        <v>2.4479874230030498</v>
      </c>
      <c r="G42" s="301">
        <v>2.2170096083764999</v>
      </c>
      <c r="H42" s="301">
        <v>1.9814681117435899</v>
      </c>
      <c r="I42" s="301">
        <v>1.79450833821613</v>
      </c>
      <c r="J42" s="301">
        <v>1.51126292683742</v>
      </c>
      <c r="K42" s="301">
        <v>1.06477950785697</v>
      </c>
      <c r="L42" s="301">
        <v>0.77029504081003297</v>
      </c>
      <c r="M42" s="301">
        <v>0.58750293835340095</v>
      </c>
      <c r="N42" s="301">
        <v>0.48827637332261398</v>
      </c>
      <c r="O42" s="301">
        <v>0.43640048279495802</v>
      </c>
      <c r="P42" s="369"/>
      <c r="Q42" s="283"/>
      <c r="R42" s="283"/>
      <c r="S42" s="283"/>
      <c r="T42" s="283"/>
      <c r="U42" s="283"/>
      <c r="V42" s="283"/>
      <c r="W42" s="283"/>
      <c r="X42" s="283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179"/>
    </row>
    <row r="43" spans="1:37">
      <c r="A43" s="182">
        <v>11</v>
      </c>
      <c r="B43" s="179" t="s">
        <v>226</v>
      </c>
      <c r="C43" s="300">
        <v>2.63252817063572</v>
      </c>
      <c r="D43" s="300">
        <v>2.5638656594088101</v>
      </c>
      <c r="E43" s="300">
        <v>2.46421514648023</v>
      </c>
      <c r="F43" s="300">
        <v>2.2914731752710802</v>
      </c>
      <c r="G43" s="300">
        <v>2.0890200640371002</v>
      </c>
      <c r="H43" s="300">
        <v>1.8794534075796101</v>
      </c>
      <c r="I43" s="300">
        <v>1.67977485553341</v>
      </c>
      <c r="J43" s="300">
        <v>1.38687494619088</v>
      </c>
      <c r="K43" s="300">
        <v>0.92683288522735496</v>
      </c>
      <c r="L43" s="300">
        <v>0.67050010812772598</v>
      </c>
      <c r="M43" s="300">
        <v>0.51819196466091999</v>
      </c>
      <c r="N43" s="300">
        <v>0.42783558209498801</v>
      </c>
      <c r="O43" s="300">
        <v>0.37986298158340698</v>
      </c>
      <c r="P43" s="368"/>
      <c r="Q43" s="239"/>
      <c r="R43" s="239"/>
      <c r="S43" s="239"/>
      <c r="T43" s="239"/>
      <c r="U43" s="239"/>
      <c r="V43" s="239"/>
      <c r="W43" s="239"/>
      <c r="X43" s="239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179"/>
    </row>
    <row r="44" spans="1:37">
      <c r="A44" s="182">
        <v>11</v>
      </c>
      <c r="B44" s="179" t="s">
        <v>227</v>
      </c>
      <c r="C44" s="301">
        <v>1.4914240697027601</v>
      </c>
      <c r="D44" s="301">
        <v>1.43345645623031</v>
      </c>
      <c r="E44" s="301">
        <v>1.3507019936559901</v>
      </c>
      <c r="F44" s="301">
        <v>1.23952935091955</v>
      </c>
      <c r="G44" s="301">
        <v>1.1005426727127801</v>
      </c>
      <c r="H44" s="301">
        <v>0.97714037474244797</v>
      </c>
      <c r="I44" s="301">
        <v>0.844946610828333</v>
      </c>
      <c r="J44" s="301">
        <v>0.66608462908091504</v>
      </c>
      <c r="K44" s="301">
        <v>0.50135283145998399</v>
      </c>
      <c r="L44" s="301">
        <v>0.39784422281369197</v>
      </c>
      <c r="M44" s="301">
        <v>0.326309593462553</v>
      </c>
      <c r="N44" s="301">
        <v>0.27299516150366998</v>
      </c>
      <c r="O44" s="301">
        <v>0.248875865500258</v>
      </c>
      <c r="P44" s="369"/>
      <c r="Q44" s="283"/>
      <c r="R44" s="283"/>
      <c r="S44" s="283"/>
      <c r="T44" s="283"/>
      <c r="U44" s="283"/>
      <c r="V44" s="283"/>
      <c r="W44" s="283"/>
      <c r="X44" s="283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179"/>
    </row>
    <row r="45" spans="1:37">
      <c r="A45" s="177">
        <v>12</v>
      </c>
      <c r="B45" s="178" t="s">
        <v>220</v>
      </c>
      <c r="C45" s="196">
        <v>22939.421957726699</v>
      </c>
      <c r="D45" s="196">
        <v>19957.771477414499</v>
      </c>
      <c r="E45" s="196">
        <v>17097.1136582484</v>
      </c>
      <c r="F45" s="196">
        <v>17363.673900707599</v>
      </c>
      <c r="G45" s="196">
        <v>17909.3375321491</v>
      </c>
      <c r="H45" s="196">
        <v>20268.932092609801</v>
      </c>
      <c r="I45" s="196">
        <v>23660.292776984599</v>
      </c>
      <c r="J45" s="196">
        <v>27195.092411435799</v>
      </c>
      <c r="K45" s="196">
        <v>31257.983924271</v>
      </c>
      <c r="L45" s="196">
        <v>37056.895460672</v>
      </c>
      <c r="M45" s="196">
        <v>43931.608145620201</v>
      </c>
      <c r="N45" s="196">
        <v>51282.164553115203</v>
      </c>
      <c r="O45" s="196">
        <v>59862.602628512403</v>
      </c>
      <c r="P45" s="196">
        <v>74339.6723319421</v>
      </c>
      <c r="Q45" s="196">
        <v>88130.976711842493</v>
      </c>
      <c r="R45" s="196">
        <v>109444.45407744699</v>
      </c>
      <c r="S45" s="196">
        <v>135912.27405086</v>
      </c>
      <c r="T45" s="196">
        <v>168781.06656221001</v>
      </c>
      <c r="U45" s="196">
        <v>200092.95399502999</v>
      </c>
      <c r="V45" s="196">
        <v>240912.140761741</v>
      </c>
      <c r="W45" s="196">
        <v>299174.01020650502</v>
      </c>
      <c r="X45" s="196">
        <v>365822.118537481</v>
      </c>
      <c r="Y45" s="196">
        <v>433688.62293511198</v>
      </c>
      <c r="Z45" s="196">
        <v>483293.05388075497</v>
      </c>
      <c r="AA45" s="261">
        <v>468568.02888429101</v>
      </c>
      <c r="AB45" s="2"/>
    </row>
    <row r="46" spans="1:37">
      <c r="A46" s="174">
        <v>12</v>
      </c>
      <c r="B46" s="179" t="s">
        <v>221</v>
      </c>
      <c r="C46" s="22">
        <v>192.50161970978399</v>
      </c>
      <c r="D46" s="22">
        <v>167.48058765465899</v>
      </c>
      <c r="E46" s="22">
        <v>301.497215813602</v>
      </c>
      <c r="F46" s="22">
        <v>386.17663877917403</v>
      </c>
      <c r="G46" s="22">
        <v>487.045586196508</v>
      </c>
      <c r="H46" s="22">
        <v>568.53716379803996</v>
      </c>
      <c r="I46" s="22">
        <v>663.66376327061903</v>
      </c>
      <c r="J46" s="22">
        <v>717.038919059151</v>
      </c>
      <c r="K46" s="22">
        <v>863.31719030621105</v>
      </c>
      <c r="L46" s="22">
        <v>1213.3519226654701</v>
      </c>
      <c r="M46" s="22">
        <v>1786.32262712954</v>
      </c>
      <c r="N46" s="22">
        <v>2797.7477882470798</v>
      </c>
      <c r="O46" s="22">
        <v>4381.8497214560502</v>
      </c>
      <c r="P46" s="22">
        <v>6653.7809058603198</v>
      </c>
      <c r="Q46" s="22">
        <v>10261.2043345656</v>
      </c>
      <c r="R46" s="22">
        <v>14646.4897533205</v>
      </c>
      <c r="S46" s="22">
        <v>20905.895165882099</v>
      </c>
      <c r="T46" s="22">
        <v>28487.035820775302</v>
      </c>
      <c r="U46" s="22">
        <v>36488.012683025598</v>
      </c>
      <c r="V46" s="22">
        <v>51282.164553115203</v>
      </c>
      <c r="W46" s="22">
        <v>64677.033145754598</v>
      </c>
      <c r="X46" s="22">
        <v>81570.656920606794</v>
      </c>
      <c r="Y46" s="22">
        <v>95218.910198836005</v>
      </c>
      <c r="Z46" s="22">
        <v>125795.195872514</v>
      </c>
      <c r="AA46" s="259">
        <v>161126.46387282701</v>
      </c>
      <c r="AB46" s="2"/>
    </row>
    <row r="47" spans="1:37">
      <c r="A47" s="174">
        <v>12</v>
      </c>
      <c r="B47" s="179" t="s">
        <v>222</v>
      </c>
      <c r="C47" s="22">
        <v>108.60113903145201</v>
      </c>
      <c r="D47" s="22">
        <v>103.675801424795</v>
      </c>
      <c r="E47" s="22">
        <v>95.9583513597277</v>
      </c>
      <c r="F47" s="22">
        <v>95.9583513597277</v>
      </c>
      <c r="G47" s="22">
        <v>102.084211596342</v>
      </c>
      <c r="H47" s="22">
        <v>87.451916680702297</v>
      </c>
      <c r="I47" s="22">
        <v>95.9583513597277</v>
      </c>
      <c r="J47" s="22">
        <v>95.9583513597277</v>
      </c>
      <c r="K47" s="22">
        <v>102.084211596342</v>
      </c>
      <c r="L47" s="22">
        <v>119.16475536260501</v>
      </c>
      <c r="M47" s="22">
        <v>136.96772752637</v>
      </c>
      <c r="N47" s="22">
        <v>159.884917442382</v>
      </c>
      <c r="O47" s="22">
        <v>201.646815154324</v>
      </c>
      <c r="P47" s="22">
        <v>254.31690938912701</v>
      </c>
      <c r="Q47" s="22">
        <v>325.74512831759898</v>
      </c>
      <c r="R47" s="22">
        <v>423.74048204987599</v>
      </c>
      <c r="S47" s="22">
        <v>577.40187976203595</v>
      </c>
      <c r="T47" s="22">
        <v>799.05332916465295</v>
      </c>
      <c r="U47" s="22">
        <v>1072.0997142066201</v>
      </c>
      <c r="V47" s="22">
        <v>1578.36810759677</v>
      </c>
      <c r="W47" s="22">
        <v>2323.7072541542302</v>
      </c>
      <c r="X47" s="22">
        <v>3696.1463073248301</v>
      </c>
      <c r="Y47" s="22">
        <v>6862.8758212251696</v>
      </c>
      <c r="Z47" s="22">
        <v>12547.1273328425</v>
      </c>
      <c r="AA47" s="259">
        <v>39422.560972618099</v>
      </c>
      <c r="AB47" s="2"/>
    </row>
    <row r="48" spans="1:37">
      <c r="A48" s="174">
        <v>12</v>
      </c>
      <c r="B48" s="179" t="s">
        <v>223</v>
      </c>
      <c r="C48" s="22">
        <v>9.8719070212982292</v>
      </c>
      <c r="D48" s="22">
        <v>18.329813371182698</v>
      </c>
      <c r="E48" s="22">
        <v>34.0341595091529</v>
      </c>
      <c r="F48" s="22">
        <v>54.979602073089701</v>
      </c>
      <c r="G48" s="22">
        <v>79.699553220316801</v>
      </c>
      <c r="H48" s="22">
        <v>112.01392738375699</v>
      </c>
      <c r="I48" s="22">
        <v>132.79465837272701</v>
      </c>
      <c r="J48" s="22">
        <v>189.546411110668</v>
      </c>
      <c r="K48" s="22">
        <v>242.78299133822699</v>
      </c>
      <c r="L48" s="22">
        <v>335.98205822238998</v>
      </c>
      <c r="M48" s="22">
        <v>510.18401507823</v>
      </c>
      <c r="N48" s="22">
        <v>663.66376327061903</v>
      </c>
      <c r="O48" s="22">
        <v>1290.8100187059199</v>
      </c>
      <c r="P48" s="22">
        <v>2117.7172210768599</v>
      </c>
      <c r="Q48" s="22">
        <v>2885.6686526172698</v>
      </c>
      <c r="R48" s="22">
        <v>4734.2599696396301</v>
      </c>
      <c r="S48" s="22">
        <v>6969.8786877123403</v>
      </c>
      <c r="T48" s="22">
        <v>10103.6724281143</v>
      </c>
      <c r="U48" s="22">
        <v>14200.238920629499</v>
      </c>
      <c r="V48" s="22">
        <v>20584.956145942499</v>
      </c>
      <c r="W48" s="22">
        <v>27619.089734714598</v>
      </c>
      <c r="X48" s="22">
        <v>37056.895460672</v>
      </c>
      <c r="Y48" s="22">
        <v>52893.736637355498</v>
      </c>
      <c r="Z48" s="22">
        <v>70968.221180409295</v>
      </c>
      <c r="AA48" s="259">
        <v>89505.101588799094</v>
      </c>
      <c r="AB48" s="2"/>
    </row>
    <row r="49" spans="1:28">
      <c r="A49" s="174">
        <v>12</v>
      </c>
      <c r="B49" s="179" t="s">
        <v>228</v>
      </c>
      <c r="C49" s="22">
        <v>132.79465837272701</v>
      </c>
      <c r="D49" s="22">
        <v>224.710638999965</v>
      </c>
      <c r="E49" s="22">
        <v>242.78299133822699</v>
      </c>
      <c r="F49" s="22">
        <v>262.308812548687</v>
      </c>
      <c r="G49" s="22">
        <v>283.40499786019598</v>
      </c>
      <c r="H49" s="22">
        <v>279.05427661446498</v>
      </c>
      <c r="I49" s="22">
        <v>296.86875000575401</v>
      </c>
      <c r="J49" s="22">
        <v>341.22033765901801</v>
      </c>
      <c r="K49" s="22">
        <v>386.17663877917403</v>
      </c>
      <c r="L49" s="22">
        <v>526.21622572523995</v>
      </c>
      <c r="M49" s="22">
        <v>674.01170731299101</v>
      </c>
      <c r="N49" s="22">
        <v>947.29192254029704</v>
      </c>
      <c r="O49" s="22">
        <v>1158.32332988908</v>
      </c>
      <c r="P49" s="22">
        <v>1602.9773117094901</v>
      </c>
      <c r="Q49" s="22">
        <v>2252.9096199995502</v>
      </c>
      <c r="R49" s="22">
        <v>3117.7485436881402</v>
      </c>
      <c r="S49" s="22">
        <v>4519.5519177258802</v>
      </c>
      <c r="T49" s="22">
        <v>5700.0576709336401</v>
      </c>
      <c r="U49" s="22">
        <v>7888.17551522339</v>
      </c>
      <c r="V49" s="22">
        <v>11434.8602132655</v>
      </c>
      <c r="W49" s="22">
        <v>15342.293085057099</v>
      </c>
      <c r="X49" s="22">
        <v>21562.875177139202</v>
      </c>
      <c r="Y49" s="22">
        <v>31745.325585570699</v>
      </c>
      <c r="Z49" s="22">
        <v>46018.6718456054</v>
      </c>
      <c r="AA49" s="259">
        <v>62706.501821059202</v>
      </c>
      <c r="AB49" s="2"/>
    </row>
    <row r="50" spans="1:28">
      <c r="A50" s="174">
        <v>12</v>
      </c>
      <c r="B50" s="179" t="s">
        <v>224</v>
      </c>
      <c r="C50" s="129">
        <v>12525.235362351599</v>
      </c>
      <c r="D50" s="129">
        <v>11603.1430665387</v>
      </c>
      <c r="E50" s="129">
        <v>11456.2023544844</v>
      </c>
      <c r="F50" s="129">
        <v>11026.44056311</v>
      </c>
      <c r="G50" s="129">
        <v>5132.53610067319</v>
      </c>
      <c r="H50" s="129">
        <v>3370.3517170405898</v>
      </c>
      <c r="I50" s="129">
        <v>2713.80875605659</v>
      </c>
      <c r="J50" s="129">
        <v>1828.0673079113899</v>
      </c>
      <c r="K50" s="74"/>
      <c r="L50" s="74"/>
      <c r="M50" s="74"/>
      <c r="N50" s="2"/>
      <c r="O50" s="74"/>
      <c r="P50" s="74"/>
      <c r="Q50" s="75"/>
      <c r="R50" s="74"/>
      <c r="S50" s="2"/>
      <c r="T50" s="2"/>
      <c r="U50" s="2"/>
      <c r="V50" s="2"/>
      <c r="W50" s="2"/>
      <c r="X50" s="2"/>
      <c r="Y50" s="2"/>
      <c r="Z50" s="2"/>
      <c r="AA50" s="208"/>
      <c r="AB50" s="2"/>
    </row>
    <row r="51" spans="1:28">
      <c r="A51" s="174">
        <v>12</v>
      </c>
      <c r="B51" s="179" t="s">
        <v>225</v>
      </c>
      <c r="C51" s="129">
        <v>10345.704351709601</v>
      </c>
      <c r="D51" s="129">
        <v>9831.50418168328</v>
      </c>
      <c r="E51" s="129">
        <v>9831.50418168328</v>
      </c>
      <c r="F51" s="129">
        <v>7816.0802918429799</v>
      </c>
      <c r="G51" s="129">
        <v>3732.1202299475099</v>
      </c>
      <c r="H51" s="129">
        <v>2328.94237371077</v>
      </c>
      <c r="I51" s="129">
        <v>1759.4927439568</v>
      </c>
      <c r="J51" s="129">
        <v>1155.3949921235301</v>
      </c>
      <c r="K51" s="74"/>
      <c r="L51" s="74"/>
      <c r="M51" s="74"/>
      <c r="N51" s="2"/>
      <c r="O51" s="74"/>
      <c r="P51" s="74"/>
      <c r="Q51" s="75"/>
      <c r="R51" s="74"/>
      <c r="S51" s="2"/>
      <c r="T51" s="2"/>
      <c r="U51" s="2"/>
      <c r="V51" s="2"/>
      <c r="W51" s="2"/>
      <c r="X51" s="2"/>
      <c r="Y51" s="2"/>
      <c r="Z51" s="2"/>
      <c r="AA51" s="208"/>
      <c r="AB51" s="2"/>
    </row>
    <row r="52" spans="1:28">
      <c r="A52" s="174">
        <v>12</v>
      </c>
      <c r="B52" s="179" t="s">
        <v>226</v>
      </c>
      <c r="C52" s="129">
        <v>11456.2023544844</v>
      </c>
      <c r="D52" s="129">
        <v>11026.44056311</v>
      </c>
      <c r="E52" s="129">
        <v>10478.4065753226</v>
      </c>
      <c r="F52" s="129">
        <v>6793.6516649548003</v>
      </c>
      <c r="G52" s="129">
        <v>3370.3517170405898</v>
      </c>
      <c r="H52" s="129">
        <v>2514.0190760809501</v>
      </c>
      <c r="I52" s="129">
        <v>1923.68035837507</v>
      </c>
      <c r="J52" s="129">
        <v>1200.4271689822399</v>
      </c>
      <c r="K52" s="74"/>
      <c r="L52" s="74"/>
      <c r="M52" s="74"/>
      <c r="N52" s="2"/>
      <c r="O52" s="74"/>
      <c r="P52" s="74"/>
      <c r="Q52" s="75"/>
      <c r="R52" s="74"/>
      <c r="S52" s="2"/>
      <c r="T52" s="2"/>
      <c r="U52" s="2"/>
      <c r="V52" s="2"/>
      <c r="W52" s="2"/>
      <c r="X52" s="2"/>
      <c r="Y52" s="2"/>
      <c r="Z52" s="2"/>
      <c r="AA52" s="208"/>
      <c r="AB52" s="2"/>
    </row>
    <row r="53" spans="1:28">
      <c r="A53" s="174">
        <v>12</v>
      </c>
      <c r="B53" s="179" t="s">
        <v>227</v>
      </c>
      <c r="C53" s="129">
        <v>13869.682137681701</v>
      </c>
      <c r="D53" s="129">
        <v>12848.6070906655</v>
      </c>
      <c r="E53" s="129">
        <v>13520.612152711499</v>
      </c>
      <c r="F53" s="129">
        <v>10478.4065753226</v>
      </c>
      <c r="G53" s="129">
        <v>6057.4230070546</v>
      </c>
      <c r="H53" s="129">
        <v>4185.7259196675004</v>
      </c>
      <c r="I53" s="129">
        <v>3501.71138937163</v>
      </c>
      <c r="J53" s="129">
        <v>2103.1881687345499</v>
      </c>
      <c r="K53" s="74"/>
      <c r="L53" s="74"/>
      <c r="M53" s="74"/>
      <c r="N53" s="2"/>
      <c r="O53" s="74"/>
      <c r="P53" s="74"/>
      <c r="Q53" s="75"/>
      <c r="R53" s="74"/>
      <c r="S53" s="2"/>
      <c r="T53" s="2"/>
      <c r="U53" s="2"/>
      <c r="V53" s="2"/>
      <c r="W53" s="2"/>
      <c r="X53" s="2"/>
      <c r="Y53" s="2"/>
      <c r="Z53" s="2"/>
      <c r="AA53" s="208"/>
      <c r="AB53" s="2"/>
    </row>
    <row r="54" spans="1:28">
      <c r="A54" s="175">
        <v>12</v>
      </c>
      <c r="B54" s="180" t="s">
        <v>229</v>
      </c>
      <c r="C54" s="130">
        <v>11026.44056311</v>
      </c>
      <c r="D54" s="130">
        <v>11311.1169814679</v>
      </c>
      <c r="E54" s="130">
        <v>10478.4065753226</v>
      </c>
      <c r="F54" s="130">
        <v>6793.6516649548003</v>
      </c>
      <c r="G54" s="130">
        <v>3828.47468031266</v>
      </c>
      <c r="H54" s="130">
        <v>2929.4743440561401</v>
      </c>
      <c r="I54" s="130">
        <v>2389.06895420506</v>
      </c>
      <c r="J54" s="130">
        <v>1490.84190037802</v>
      </c>
      <c r="K54" s="81"/>
      <c r="L54" s="81"/>
      <c r="M54" s="81"/>
      <c r="N54" s="30"/>
      <c r="O54" s="81"/>
      <c r="P54" s="81"/>
      <c r="Q54" s="80"/>
      <c r="R54" s="81"/>
      <c r="S54" s="30"/>
      <c r="T54" s="30"/>
      <c r="U54" s="30"/>
      <c r="V54" s="30"/>
      <c r="W54" s="30"/>
      <c r="X54" s="30"/>
      <c r="Y54" s="30"/>
      <c r="Z54" s="30"/>
      <c r="AA54" s="209"/>
      <c r="AB54" s="2"/>
    </row>
    <row r="55" spans="1:28">
      <c r="A55" s="182">
        <v>13</v>
      </c>
      <c r="B55" s="179">
        <v>1</v>
      </c>
      <c r="C55" s="446"/>
      <c r="D55" s="447"/>
      <c r="E55" s="446"/>
      <c r="F55" s="415"/>
      <c r="G55" s="446"/>
      <c r="H55" s="447"/>
      <c r="I55" s="446"/>
      <c r="J55" s="415"/>
      <c r="K55" s="446"/>
      <c r="L55" s="447"/>
      <c r="M55" s="446"/>
      <c r="N55" s="415"/>
      <c r="O55" s="446"/>
      <c r="P55" s="74"/>
      <c r="Q55" s="75"/>
      <c r="R55" s="74"/>
      <c r="S55" s="2"/>
      <c r="T55" s="2"/>
      <c r="U55" s="2"/>
      <c r="V55" s="2"/>
      <c r="W55" s="2"/>
      <c r="X55" s="2"/>
      <c r="Y55" s="2"/>
      <c r="Z55" s="2"/>
      <c r="AA55" s="2"/>
    </row>
    <row r="56" spans="1:28">
      <c r="A56" s="182">
        <v>13</v>
      </c>
      <c r="B56" s="179">
        <v>2</v>
      </c>
      <c r="C56" s="448"/>
      <c r="D56" s="449"/>
      <c r="E56" s="448"/>
      <c r="F56" s="414"/>
      <c r="G56" s="448"/>
      <c r="H56" s="449"/>
      <c r="I56" s="448"/>
      <c r="J56" s="414"/>
      <c r="K56" s="448"/>
      <c r="L56" s="449"/>
      <c r="M56" s="448"/>
      <c r="N56" s="414"/>
      <c r="O56" s="448"/>
      <c r="P56" s="74"/>
      <c r="Q56" s="75"/>
      <c r="R56" s="74"/>
    </row>
    <row r="57" spans="1:28">
      <c r="A57" s="182">
        <v>13</v>
      </c>
      <c r="B57" s="179">
        <v>3</v>
      </c>
      <c r="C57" s="446"/>
      <c r="D57" s="447"/>
      <c r="E57" s="446"/>
      <c r="F57" s="413"/>
      <c r="G57" s="446"/>
      <c r="H57" s="447"/>
      <c r="I57" s="446"/>
      <c r="J57" s="413"/>
      <c r="K57" s="446"/>
      <c r="L57" s="447"/>
      <c r="M57" s="446"/>
      <c r="N57" s="413"/>
      <c r="O57" s="446"/>
      <c r="P57" s="74"/>
      <c r="Q57" s="75"/>
      <c r="R57" s="74"/>
    </row>
    <row r="58" spans="1:28">
      <c r="A58" s="182">
        <v>13</v>
      </c>
      <c r="B58" s="179">
        <v>4</v>
      </c>
      <c r="C58" s="448"/>
      <c r="D58" s="449"/>
      <c r="E58" s="448"/>
      <c r="F58" s="414"/>
      <c r="G58" s="448"/>
      <c r="H58" s="449"/>
      <c r="I58" s="448"/>
      <c r="J58" s="414"/>
      <c r="K58" s="448"/>
      <c r="L58" s="449"/>
      <c r="M58" s="448"/>
      <c r="N58" s="414"/>
      <c r="O58" s="448"/>
      <c r="P58" s="74"/>
      <c r="Q58" s="75"/>
      <c r="R58" s="74"/>
    </row>
    <row r="59" spans="1:28">
      <c r="A59" s="182">
        <v>13</v>
      </c>
      <c r="B59" s="179">
        <v>5</v>
      </c>
      <c r="C59" s="446"/>
      <c r="D59" s="447"/>
      <c r="E59" s="446"/>
      <c r="F59" s="413"/>
      <c r="G59" s="446"/>
      <c r="H59" s="447"/>
      <c r="I59" s="446"/>
      <c r="J59" s="413"/>
      <c r="K59" s="446"/>
      <c r="L59" s="447"/>
      <c r="M59" s="446"/>
      <c r="N59" s="413"/>
      <c r="O59" s="446"/>
      <c r="P59" s="74"/>
      <c r="Q59" s="75"/>
      <c r="R59" s="74"/>
    </row>
    <row r="60" spans="1:28">
      <c r="A60" s="182">
        <v>13</v>
      </c>
      <c r="B60" s="179">
        <v>6</v>
      </c>
      <c r="C60" s="414"/>
      <c r="D60" s="414"/>
      <c r="E60" s="414"/>
      <c r="F60" s="414"/>
      <c r="G60" s="414"/>
      <c r="H60" s="414"/>
      <c r="I60" s="414"/>
      <c r="J60" s="414"/>
      <c r="K60" s="414"/>
      <c r="L60" s="414"/>
      <c r="M60" s="414"/>
      <c r="N60" s="414"/>
      <c r="O60" s="414"/>
    </row>
    <row r="61" spans="1:28">
      <c r="A61" s="182">
        <v>13</v>
      </c>
      <c r="B61" s="179">
        <v>7</v>
      </c>
      <c r="C61" s="413"/>
      <c r="D61" s="413"/>
      <c r="E61" s="413"/>
      <c r="F61" s="413"/>
      <c r="G61" s="413"/>
      <c r="H61" s="413"/>
      <c r="I61" s="413"/>
      <c r="J61" s="413"/>
      <c r="K61" s="413"/>
      <c r="L61" s="413"/>
      <c r="M61" s="413"/>
      <c r="N61" s="413"/>
      <c r="O61" s="413"/>
    </row>
    <row r="62" spans="1:28">
      <c r="A62" s="182">
        <v>13</v>
      </c>
      <c r="B62" s="179">
        <v>8</v>
      </c>
      <c r="C62" s="414"/>
      <c r="D62" s="414"/>
      <c r="E62" s="414"/>
      <c r="F62" s="414"/>
      <c r="G62" s="414"/>
      <c r="H62" s="414"/>
      <c r="I62" s="414"/>
      <c r="J62" s="414"/>
      <c r="K62" s="414"/>
      <c r="L62" s="414"/>
      <c r="M62" s="414"/>
      <c r="N62" s="414"/>
      <c r="O62" s="414"/>
    </row>
    <row r="63" spans="1:28">
      <c r="A63" s="181">
        <v>14</v>
      </c>
      <c r="B63" s="178">
        <v>1</v>
      </c>
      <c r="C63" s="360">
        <v>226.93415271183801</v>
      </c>
      <c r="D63" s="360">
        <v>408.52499429792101</v>
      </c>
      <c r="E63" s="360">
        <v>649.20078803039405</v>
      </c>
      <c r="F63" s="360">
        <v>1148.05204257678</v>
      </c>
      <c r="G63" s="360">
        <v>1824.40805616221</v>
      </c>
      <c r="H63" s="360">
        <v>3284.28883378622</v>
      </c>
      <c r="I63" s="360">
        <v>5312.9848148215297</v>
      </c>
      <c r="J63" s="360">
        <v>8443.0483342447606</v>
      </c>
      <c r="K63" s="360">
        <v>13658.2955582908</v>
      </c>
      <c r="L63" s="360">
        <v>19504.524666150101</v>
      </c>
      <c r="M63" s="360">
        <v>25479.418910767799</v>
      </c>
      <c r="N63" s="360">
        <v>33882.916677535002</v>
      </c>
      <c r="O63" s="134">
        <v>46692.347257163798</v>
      </c>
    </row>
    <row r="64" spans="1:28">
      <c r="A64" s="182">
        <v>14</v>
      </c>
      <c r="B64" s="179">
        <v>2</v>
      </c>
      <c r="C64" s="448">
        <v>488.18908460809701</v>
      </c>
      <c r="D64" s="448">
        <v>672.74933777406102</v>
      </c>
      <c r="E64" s="448">
        <v>910.71203879779796</v>
      </c>
      <c r="F64" s="448">
        <v>1347.7029613367099</v>
      </c>
      <c r="G64" s="448">
        <v>2180.1752923835602</v>
      </c>
      <c r="H64" s="448">
        <v>2559.3166414160701</v>
      </c>
      <c r="I64" s="448">
        <v>4214.6166317928501</v>
      </c>
      <c r="J64" s="448">
        <v>6349.0391762735699</v>
      </c>
      <c r="K64" s="448">
        <v>8749.2922993980301</v>
      </c>
      <c r="L64" s="448">
        <v>14930.7362065344</v>
      </c>
      <c r="M64" s="448">
        <v>18821.824538209199</v>
      </c>
      <c r="N64" s="448">
        <v>26878.2249879347</v>
      </c>
      <c r="O64" s="135">
        <v>36385.503044893201</v>
      </c>
    </row>
    <row r="65" spans="1:30">
      <c r="A65" s="182">
        <v>14</v>
      </c>
      <c r="B65" s="179">
        <v>3</v>
      </c>
      <c r="C65" s="446">
        <v>2514.1269035092901</v>
      </c>
      <c r="D65" s="446">
        <v>2848.03657224994</v>
      </c>
      <c r="E65" s="446">
        <v>3403.4156698944298</v>
      </c>
      <c r="F65" s="446">
        <v>4140.1993370016398</v>
      </c>
      <c r="G65" s="446">
        <v>5127.0154854657203</v>
      </c>
      <c r="H65" s="446">
        <v>6697.5933816468396</v>
      </c>
      <c r="I65" s="446">
        <v>8147.5180266749203</v>
      </c>
      <c r="J65" s="446">
        <v>11029.4390186</v>
      </c>
      <c r="K65" s="446">
        <v>13658.2955582908</v>
      </c>
      <c r="L65" s="446">
        <v>18821.824538209199</v>
      </c>
      <c r="M65" s="446">
        <v>23307.988924515801</v>
      </c>
      <c r="N65" s="446">
        <v>39072.956562111998</v>
      </c>
      <c r="O65" s="136">
        <v>41958.906892699102</v>
      </c>
    </row>
    <row r="66" spans="1:30">
      <c r="A66" s="182">
        <v>14</v>
      </c>
      <c r="B66" s="179">
        <v>4</v>
      </c>
      <c r="C66" s="450">
        <v>6018.6161470522102</v>
      </c>
      <c r="D66" s="450">
        <v>6817.9827454797996</v>
      </c>
      <c r="E66" s="450">
        <v>7321.5577722139697</v>
      </c>
      <c r="F66" s="450">
        <v>8147.5180266749203</v>
      </c>
      <c r="G66" s="450">
        <v>9229.6236319990094</v>
      </c>
      <c r="H66" s="450">
        <v>11227.6704966139</v>
      </c>
      <c r="I66" s="450">
        <v>12494.295992985601</v>
      </c>
      <c r="J66" s="450">
        <v>13417.1134166298</v>
      </c>
      <c r="K66" s="450">
        <v>15199.1164635962</v>
      </c>
      <c r="L66" s="450">
        <v>17842.292498454499</v>
      </c>
      <c r="M66" s="450">
        <v>21704.870911799098</v>
      </c>
      <c r="N66" s="450">
        <v>23726.950452777201</v>
      </c>
      <c r="O66" s="451">
        <v>26878.2249879347</v>
      </c>
    </row>
    <row r="67" spans="1:30">
      <c r="A67" s="182">
        <v>14</v>
      </c>
      <c r="B67" s="179">
        <v>5</v>
      </c>
      <c r="C67" s="452">
        <v>8147.5180266749203</v>
      </c>
      <c r="D67" s="452">
        <v>8906.5609888946692</v>
      </c>
      <c r="E67" s="452">
        <v>9395.5071307877806</v>
      </c>
      <c r="F67" s="452">
        <v>11029.4390186</v>
      </c>
      <c r="G67" s="452">
        <v>11844.071477494999</v>
      </c>
      <c r="H67" s="452">
        <v>13180.2259675316</v>
      </c>
      <c r="I67" s="452">
        <v>14667.084939105</v>
      </c>
      <c r="J67" s="452">
        <v>19504.524666150101</v>
      </c>
      <c r="K67" s="452">
        <v>23307.988924515801</v>
      </c>
      <c r="L67" s="452">
        <v>28353.805480101801</v>
      </c>
      <c r="M67" s="452">
        <v>35111.9325268147</v>
      </c>
      <c r="N67" s="452">
        <v>40490.227789086799</v>
      </c>
      <c r="O67" s="453">
        <v>45867.902598515997</v>
      </c>
    </row>
    <row r="68" spans="1:30">
      <c r="A68" s="182">
        <v>14</v>
      </c>
      <c r="B68" s="179">
        <v>6</v>
      </c>
      <c r="C68" s="450">
        <v>10643.3778027392</v>
      </c>
      <c r="D68" s="450">
        <v>11029.4390186</v>
      </c>
      <c r="E68" s="450">
        <v>12273.66809302</v>
      </c>
      <c r="F68" s="450">
        <v>13180.2259675316</v>
      </c>
      <c r="G68" s="450">
        <v>14408.1284684364</v>
      </c>
      <c r="H68" s="450">
        <v>16033.5069050164</v>
      </c>
      <c r="I68" s="450">
        <v>18821.824538209199</v>
      </c>
      <c r="J68" s="450">
        <v>22492.1594032547</v>
      </c>
      <c r="K68" s="450">
        <v>24587.584690350701</v>
      </c>
      <c r="L68" s="450">
        <v>28353.805480101801</v>
      </c>
      <c r="M68" s="450">
        <v>33882.916677535002</v>
      </c>
      <c r="N68" s="450">
        <v>36385.503044893201</v>
      </c>
      <c r="O68" s="135">
        <v>41218.199999999997</v>
      </c>
    </row>
    <row r="69" spans="1:30">
      <c r="A69" s="182">
        <v>14</v>
      </c>
      <c r="B69" s="179">
        <v>7</v>
      </c>
      <c r="C69" s="446">
        <v>11429.495846981799</v>
      </c>
      <c r="D69" s="446">
        <v>11844.071477494999</v>
      </c>
      <c r="E69" s="446">
        <v>12947.4945162152</v>
      </c>
      <c r="F69" s="446">
        <v>13417.1134166298</v>
      </c>
      <c r="G69" s="446">
        <v>14408.1284684364</v>
      </c>
      <c r="H69" s="446">
        <v>15750.4254080589</v>
      </c>
      <c r="I69" s="446">
        <v>16321.7205776306</v>
      </c>
      <c r="J69" s="446">
        <v>16913.749105408599</v>
      </c>
      <c r="K69" s="446">
        <v>18821.824538209199</v>
      </c>
      <c r="L69" s="446">
        <v>21321.6145002337</v>
      </c>
      <c r="M69" s="446">
        <v>22492.1594032547</v>
      </c>
      <c r="N69" s="446">
        <v>24587.584690350701</v>
      </c>
      <c r="O69" s="136">
        <v>26878.2249879347</v>
      </c>
      <c r="Z69" s="94"/>
    </row>
    <row r="70" spans="1:30">
      <c r="A70" s="182">
        <v>14</v>
      </c>
      <c r="B70" s="179">
        <v>8</v>
      </c>
      <c r="C70" s="448">
        <v>21704.870911799098</v>
      </c>
      <c r="D70" s="448">
        <v>24587.584690350701</v>
      </c>
      <c r="E70" s="448">
        <v>24587.584690350701</v>
      </c>
      <c r="F70" s="448">
        <v>25479.418910767799</v>
      </c>
      <c r="G70" s="448">
        <v>26403.619444322601</v>
      </c>
      <c r="H70" s="448">
        <v>27361.305791660299</v>
      </c>
      <c r="I70" s="448">
        <v>28863.4460382285</v>
      </c>
      <c r="J70" s="448">
        <v>30448.012650415301</v>
      </c>
      <c r="K70" s="448">
        <v>32696.919820634201</v>
      </c>
      <c r="L70" s="448">
        <v>33284.624934083797</v>
      </c>
      <c r="M70" s="448">
        <v>35111.9325268147</v>
      </c>
      <c r="N70" s="448">
        <v>36385.503044893201</v>
      </c>
      <c r="O70" s="135">
        <v>45057.9845009895</v>
      </c>
      <c r="Z70" s="28"/>
      <c r="AA70" s="28"/>
    </row>
    <row r="71" spans="1:30">
      <c r="A71" s="182">
        <v>14</v>
      </c>
      <c r="B71" s="179">
        <v>9</v>
      </c>
      <c r="C71" s="446">
        <v>27853.144693558199</v>
      </c>
      <c r="D71" s="446">
        <v>29910.3934714561</v>
      </c>
      <c r="E71" s="446">
        <v>32119.5917897283</v>
      </c>
      <c r="F71" s="446">
        <v>33882.916677535002</v>
      </c>
      <c r="G71" s="446">
        <v>37039.5331292396</v>
      </c>
      <c r="H71" s="446">
        <v>35743.045867224297</v>
      </c>
      <c r="I71" s="446">
        <v>37705.293792300603</v>
      </c>
      <c r="J71" s="446">
        <v>39775.266641933398</v>
      </c>
      <c r="K71" s="446">
        <v>41218.012364726499</v>
      </c>
      <c r="L71" s="446">
        <v>45867.902598515997</v>
      </c>
      <c r="M71" s="446">
        <v>48385.992328078602</v>
      </c>
      <c r="N71" s="446">
        <v>54812.336319704002</v>
      </c>
      <c r="O71" s="136">
        <v>58860.766003081699</v>
      </c>
      <c r="Z71" s="28"/>
      <c r="AA71" s="28"/>
      <c r="AC71" s="28"/>
    </row>
    <row r="72" spans="1:30">
      <c r="A72" s="182">
        <v>14</v>
      </c>
      <c r="B72" s="179">
        <v>10</v>
      </c>
      <c r="C72" s="361">
        <v>53844.480790280497</v>
      </c>
      <c r="D72" s="361">
        <v>55797.551150701001</v>
      </c>
      <c r="E72" s="361">
        <v>56800.474554774599</v>
      </c>
      <c r="F72" s="361">
        <v>60995.789236382501</v>
      </c>
      <c r="G72" s="361">
        <v>62092.147469199597</v>
      </c>
      <c r="H72" s="361">
        <v>67876.805740749594</v>
      </c>
      <c r="I72" s="361">
        <v>72890.224411930001</v>
      </c>
      <c r="J72" s="361">
        <v>74200.377106507207</v>
      </c>
      <c r="K72" s="361">
        <v>74200.377106507207</v>
      </c>
      <c r="L72" s="361">
        <v>85566.130845401902</v>
      </c>
      <c r="M72" s="361">
        <v>88669.762395944505</v>
      </c>
      <c r="N72" s="361">
        <v>91886.030475036503</v>
      </c>
      <c r="O72" s="135">
        <v>95218.960424838806</v>
      </c>
      <c r="Z72" s="28"/>
      <c r="AA72" s="28"/>
      <c r="AC72" s="28"/>
    </row>
    <row r="73" spans="1:30">
      <c r="A73" s="181">
        <v>15</v>
      </c>
      <c r="B73" s="178">
        <v>1</v>
      </c>
      <c r="C73" s="226"/>
      <c r="D73" s="360"/>
      <c r="E73" s="454"/>
      <c r="F73" s="454"/>
      <c r="G73" s="226"/>
      <c r="H73" s="454"/>
      <c r="I73" s="454"/>
      <c r="J73" s="226"/>
      <c r="K73" s="360"/>
      <c r="L73" s="360"/>
      <c r="M73" s="226"/>
      <c r="N73" s="226"/>
      <c r="O73" s="226"/>
      <c r="Z73" s="28"/>
      <c r="AB73" s="74"/>
      <c r="AC73" s="28"/>
      <c r="AD73" s="137"/>
    </row>
    <row r="74" spans="1:30">
      <c r="A74" s="182">
        <v>15</v>
      </c>
      <c r="B74" s="179">
        <v>2</v>
      </c>
      <c r="C74" s="416"/>
      <c r="D74" s="448"/>
      <c r="E74" s="455"/>
      <c r="F74" s="455"/>
      <c r="G74" s="416"/>
      <c r="H74" s="455"/>
      <c r="I74" s="455"/>
      <c r="J74" s="416"/>
      <c r="K74" s="448"/>
      <c r="L74" s="448"/>
      <c r="M74" s="416"/>
      <c r="N74" s="416"/>
      <c r="O74" s="416"/>
      <c r="Z74" s="28"/>
      <c r="AB74" s="74"/>
      <c r="AC74" s="28"/>
    </row>
    <row r="75" spans="1:30">
      <c r="A75" s="182">
        <v>15</v>
      </c>
      <c r="B75" s="179">
        <v>3</v>
      </c>
      <c r="C75" s="415"/>
      <c r="D75" s="446"/>
      <c r="E75" s="456"/>
      <c r="F75" s="456"/>
      <c r="G75" s="415"/>
      <c r="H75" s="446"/>
      <c r="I75" s="446"/>
      <c r="J75" s="415"/>
      <c r="K75" s="446"/>
      <c r="L75" s="446"/>
      <c r="M75" s="415"/>
      <c r="N75" s="415"/>
      <c r="O75" s="415"/>
      <c r="Z75" s="28"/>
      <c r="AB75" s="74"/>
      <c r="AC75" s="28"/>
    </row>
    <row r="76" spans="1:30">
      <c r="A76" s="182">
        <v>15</v>
      </c>
      <c r="B76" s="179">
        <v>4</v>
      </c>
      <c r="C76" s="416"/>
      <c r="D76" s="448"/>
      <c r="E76" s="455"/>
      <c r="F76" s="455"/>
      <c r="G76" s="448"/>
      <c r="H76" s="448"/>
      <c r="I76" s="448"/>
      <c r="J76" s="416"/>
      <c r="K76" s="448"/>
      <c r="L76" s="448"/>
      <c r="M76" s="416"/>
      <c r="N76" s="416"/>
      <c r="O76" s="416"/>
      <c r="Z76" s="28"/>
      <c r="AB76" s="74"/>
      <c r="AC76" s="28"/>
    </row>
    <row r="77" spans="1:30">
      <c r="A77" s="182">
        <v>15</v>
      </c>
      <c r="B77" s="179">
        <v>5</v>
      </c>
      <c r="C77" s="415"/>
      <c r="D77" s="452"/>
      <c r="E77" s="452"/>
      <c r="F77" s="456"/>
      <c r="G77" s="446"/>
      <c r="H77" s="446"/>
      <c r="I77" s="446"/>
      <c r="J77" s="415"/>
      <c r="K77" s="446"/>
      <c r="L77" s="446"/>
      <c r="M77" s="415"/>
      <c r="N77" s="415"/>
      <c r="O77" s="415"/>
      <c r="Z77" s="28"/>
      <c r="AB77" s="74"/>
      <c r="AC77" s="28"/>
    </row>
    <row r="78" spans="1:30">
      <c r="A78" s="182">
        <v>15</v>
      </c>
      <c r="B78" s="179">
        <v>6</v>
      </c>
      <c r="C78" s="416"/>
      <c r="D78" s="450"/>
      <c r="E78" s="450"/>
      <c r="F78" s="450"/>
      <c r="G78" s="450"/>
      <c r="H78" s="448"/>
      <c r="I78" s="448"/>
      <c r="J78" s="448"/>
      <c r="K78" s="448"/>
      <c r="L78" s="448"/>
      <c r="M78" s="416"/>
      <c r="N78" s="416"/>
      <c r="O78" s="416"/>
      <c r="Z78" s="28"/>
      <c r="AB78" s="74"/>
      <c r="AC78" s="28"/>
    </row>
    <row r="79" spans="1:30">
      <c r="A79" s="177">
        <v>16</v>
      </c>
      <c r="B79" s="178">
        <v>1</v>
      </c>
      <c r="C79" s="311">
        <v>1.62301521157984</v>
      </c>
      <c r="D79" s="311">
        <v>1.7955329515848599</v>
      </c>
      <c r="E79" s="311">
        <v>1.7955329515848599</v>
      </c>
      <c r="F79" s="311">
        <v>1.59433829515085</v>
      </c>
      <c r="G79" s="311">
        <v>1.3499653814621999</v>
      </c>
      <c r="H79" s="311">
        <v>1.0707237436165</v>
      </c>
      <c r="I79" s="311">
        <v>0.85939662445975296</v>
      </c>
      <c r="J79" s="311">
        <v>0.66167575233533604</v>
      </c>
      <c r="K79" s="311">
        <v>0.491601234671461</v>
      </c>
      <c r="L79" s="311">
        <v>0.38302379303282102</v>
      </c>
      <c r="M79" s="328"/>
      <c r="N79" s="415"/>
      <c r="O79" s="415"/>
      <c r="Z79" s="28"/>
      <c r="AB79" s="74"/>
      <c r="AC79" s="28"/>
    </row>
    <row r="80" spans="1:30">
      <c r="A80" s="174">
        <v>16</v>
      </c>
      <c r="B80" s="179">
        <v>2</v>
      </c>
      <c r="C80" s="457">
        <v>2.4167171914950898</v>
      </c>
      <c r="D80" s="457">
        <v>2.2503914576947199</v>
      </c>
      <c r="E80" s="457">
        <v>2.2503914576947199</v>
      </c>
      <c r="F80" s="457">
        <v>2.19753372744298</v>
      </c>
      <c r="G80" s="457">
        <v>2.0221179229069</v>
      </c>
      <c r="H80" s="457">
        <v>1.74297097167879</v>
      </c>
      <c r="I80" s="457">
        <v>1.3989637551795999</v>
      </c>
      <c r="J80" s="457">
        <v>1.1030130707546999</v>
      </c>
      <c r="K80" s="457">
        <v>0.82929608555885403</v>
      </c>
      <c r="L80" s="313">
        <v>0.714814721224863</v>
      </c>
      <c r="M80" s="327"/>
      <c r="N80" s="416"/>
      <c r="O80" s="416"/>
      <c r="Z80" s="28"/>
      <c r="AB80" s="74"/>
      <c r="AC80" s="28"/>
    </row>
    <row r="81" spans="1:29">
      <c r="A81" s="174">
        <v>16</v>
      </c>
      <c r="B81" s="179">
        <v>3</v>
      </c>
      <c r="C81" s="315">
        <v>2.88831918134222</v>
      </c>
      <c r="D81" s="315">
        <v>2.67360237184044</v>
      </c>
      <c r="E81" s="315">
        <v>2.7216904750948698</v>
      </c>
      <c r="F81" s="315">
        <v>2.68953638252031</v>
      </c>
      <c r="G81" s="315">
        <v>2.4748475476276899</v>
      </c>
      <c r="H81" s="315">
        <v>2.0955127603211299</v>
      </c>
      <c r="I81" s="315">
        <v>1.6719597403898301</v>
      </c>
      <c r="J81" s="315">
        <v>1.3824363761465599</v>
      </c>
      <c r="K81" s="315">
        <v>1.1161993669630299</v>
      </c>
      <c r="L81" s="315">
        <v>0.96784663731124299</v>
      </c>
      <c r="M81" s="328"/>
      <c r="N81" s="415"/>
      <c r="O81" s="415"/>
      <c r="Z81" s="28"/>
      <c r="AB81" s="74"/>
      <c r="AC81" s="28"/>
    </row>
    <row r="82" spans="1:29">
      <c r="A82" s="201">
        <v>17</v>
      </c>
      <c r="B82" s="58">
        <v>1</v>
      </c>
      <c r="C82" s="221">
        <v>26366.51</v>
      </c>
      <c r="D82" s="221">
        <v>32267.99</v>
      </c>
      <c r="E82" s="221">
        <v>39490.370000000003</v>
      </c>
      <c r="F82" s="221">
        <v>50321.59</v>
      </c>
      <c r="G82" s="221">
        <v>59146.61</v>
      </c>
      <c r="H82" s="221">
        <v>80077.179999999993</v>
      </c>
      <c r="I82" s="221">
        <v>106246.78</v>
      </c>
      <c r="J82" s="221">
        <v>146779.93</v>
      </c>
      <c r="K82" s="221">
        <v>187037.99</v>
      </c>
      <c r="L82" s="221">
        <v>243200.75</v>
      </c>
      <c r="M82" s="221">
        <v>316227.77</v>
      </c>
      <c r="N82" s="327"/>
      <c r="O82" s="414"/>
      <c r="Z82" s="28"/>
      <c r="AB82" s="74"/>
      <c r="AC82" s="28"/>
    </row>
    <row r="83" spans="1:29" ht="15" customHeight="1">
      <c r="A83" s="200">
        <v>17</v>
      </c>
      <c r="B83" s="59">
        <v>2</v>
      </c>
      <c r="C83" s="41">
        <v>3099.05</v>
      </c>
      <c r="D83" s="41">
        <v>3716.85</v>
      </c>
      <c r="E83" s="41">
        <v>4931.54</v>
      </c>
      <c r="F83" s="41">
        <v>6158.48</v>
      </c>
      <c r="G83" s="41">
        <v>8507.94</v>
      </c>
      <c r="H83" s="41">
        <v>9604.09</v>
      </c>
      <c r="I83" s="41">
        <v>13815</v>
      </c>
      <c r="J83" s="41">
        <v>19474.830000000002</v>
      </c>
      <c r="K83" s="41">
        <v>28585.14</v>
      </c>
      <c r="L83" s="41">
        <v>41957.25</v>
      </c>
      <c r="M83" s="239">
        <v>61584.82</v>
      </c>
      <c r="N83" s="328"/>
      <c r="O83" s="413"/>
      <c r="Z83" s="28"/>
      <c r="AB83" s="74"/>
      <c r="AC83" s="28"/>
    </row>
    <row r="84" spans="1:29" ht="15" customHeight="1">
      <c r="A84" s="200">
        <v>17</v>
      </c>
      <c r="B84" s="59">
        <v>3</v>
      </c>
      <c r="C84" s="39">
        <v>1760.41</v>
      </c>
      <c r="D84" s="39">
        <v>2432.0100000000002</v>
      </c>
      <c r="E84" s="39">
        <v>3428.37</v>
      </c>
      <c r="F84" s="39">
        <v>4736.29</v>
      </c>
      <c r="G84" s="39">
        <v>6951.93</v>
      </c>
      <c r="H84" s="39">
        <v>11518.7</v>
      </c>
      <c r="I84" s="39">
        <v>17252.11</v>
      </c>
      <c r="J84" s="39">
        <v>27453.42</v>
      </c>
      <c r="K84" s="39">
        <v>42813.32</v>
      </c>
      <c r="L84" s="39">
        <v>94120.5</v>
      </c>
      <c r="M84" s="283">
        <v>140968.74</v>
      </c>
      <c r="N84" s="327"/>
      <c r="O84" s="414"/>
      <c r="Z84" s="28"/>
      <c r="AB84" s="28"/>
      <c r="AC84" s="28"/>
    </row>
    <row r="85" spans="1:29" ht="15" customHeight="1">
      <c r="A85" s="200">
        <v>17</v>
      </c>
      <c r="B85" s="59">
        <v>4</v>
      </c>
      <c r="C85" s="41">
        <v>4195.7299999999996</v>
      </c>
      <c r="D85" s="41">
        <v>5032.16</v>
      </c>
      <c r="E85" s="41">
        <v>6284.14</v>
      </c>
      <c r="F85" s="41">
        <v>8507.94</v>
      </c>
      <c r="G85" s="41">
        <v>11753.72</v>
      </c>
      <c r="H85" s="41">
        <v>16237.77</v>
      </c>
      <c r="I85" s="41">
        <v>23833.78</v>
      </c>
      <c r="J85" s="41">
        <v>35696.99</v>
      </c>
      <c r="K85" s="41">
        <v>53465.07</v>
      </c>
      <c r="L85" s="41">
        <v>76906.83</v>
      </c>
      <c r="M85" s="239">
        <v>108414.59</v>
      </c>
      <c r="N85" s="328"/>
      <c r="O85" s="415"/>
      <c r="P85" s="2"/>
      <c r="Q85" s="2"/>
      <c r="R85" s="2"/>
      <c r="S85" s="2"/>
      <c r="T85" s="2"/>
      <c r="U85" s="2"/>
      <c r="V85" s="2"/>
      <c r="Z85" s="28"/>
      <c r="AB85" s="28"/>
      <c r="AC85" s="28"/>
    </row>
    <row r="86" spans="1:29" ht="15" customHeight="1">
      <c r="A86" s="201">
        <v>18</v>
      </c>
      <c r="B86" s="58">
        <v>1</v>
      </c>
      <c r="C86" s="194">
        <v>2130.3200000000002</v>
      </c>
      <c r="D86" s="194">
        <v>2310.13</v>
      </c>
      <c r="E86" s="194">
        <v>2556.38</v>
      </c>
      <c r="F86" s="194">
        <v>2716.55</v>
      </c>
      <c r="G86" s="194">
        <v>3006.12</v>
      </c>
      <c r="H86" s="194">
        <v>3130.41</v>
      </c>
      <c r="I86" s="194">
        <v>3464.09</v>
      </c>
      <c r="J86" s="194">
        <v>3681.14</v>
      </c>
      <c r="K86" s="194">
        <v>3911.79</v>
      </c>
      <c r="L86" s="194">
        <v>3911.79</v>
      </c>
      <c r="M86" s="194">
        <v>4328.76</v>
      </c>
      <c r="N86" s="194">
        <v>4790.18</v>
      </c>
      <c r="O86" s="194">
        <v>4888.21</v>
      </c>
      <c r="P86" s="194">
        <v>4888.21</v>
      </c>
      <c r="Q86" s="194">
        <v>4988.24</v>
      </c>
      <c r="R86" s="194">
        <v>5632.91</v>
      </c>
      <c r="S86" s="194">
        <v>5985.85</v>
      </c>
      <c r="T86" s="194">
        <v>6233.35</v>
      </c>
      <c r="U86" s="194">
        <v>6491.08</v>
      </c>
      <c r="V86" s="197">
        <v>6492.12</v>
      </c>
      <c r="W86" s="2"/>
      <c r="Y86" s="94"/>
      <c r="Z86" s="28"/>
      <c r="AB86" s="28"/>
      <c r="AC86" s="28"/>
    </row>
    <row r="87" spans="1:29" ht="15" customHeight="1">
      <c r="A87" s="200">
        <v>18</v>
      </c>
      <c r="B87" s="59">
        <v>2</v>
      </c>
      <c r="C87" s="20">
        <v>160.01</v>
      </c>
      <c r="D87" s="20">
        <v>226.48</v>
      </c>
      <c r="E87" s="20">
        <v>327.18</v>
      </c>
      <c r="F87" s="20">
        <v>482.43</v>
      </c>
      <c r="G87" s="20">
        <v>711.33</v>
      </c>
      <c r="H87" s="20">
        <v>1048.8399999999999</v>
      </c>
      <c r="I87" s="20">
        <v>1611.02</v>
      </c>
      <c r="J87" s="20">
        <v>2234.15</v>
      </c>
      <c r="K87" s="20">
        <v>3502.5</v>
      </c>
      <c r="L87" s="20">
        <v>4857.25</v>
      </c>
      <c r="M87" s="20">
        <v>6875.09</v>
      </c>
      <c r="N87" s="20">
        <v>9731.18</v>
      </c>
      <c r="O87" s="26">
        <v>13773.78</v>
      </c>
      <c r="P87" s="26">
        <v>17965.439999999999</v>
      </c>
      <c r="Q87" s="26">
        <v>22494.22</v>
      </c>
      <c r="R87" s="26">
        <v>25428.78</v>
      </c>
      <c r="S87" s="26">
        <v>25953.81</v>
      </c>
      <c r="T87" s="26"/>
      <c r="U87" s="26"/>
      <c r="V87" s="204"/>
      <c r="W87" s="2"/>
      <c r="Y87" s="94"/>
      <c r="Z87" s="28"/>
      <c r="AB87" s="28"/>
      <c r="AC87" s="28"/>
    </row>
    <row r="88" spans="1:29" ht="15" customHeight="1">
      <c r="A88" s="201">
        <v>19</v>
      </c>
      <c r="B88" s="58">
        <v>1</v>
      </c>
      <c r="C88" s="194">
        <v>5420.22</v>
      </c>
      <c r="D88" s="194">
        <v>5042.7</v>
      </c>
      <c r="E88" s="194">
        <v>4746.07</v>
      </c>
      <c r="F88" s="194">
        <v>4112.3599999999997</v>
      </c>
      <c r="G88" s="194">
        <v>3573.03</v>
      </c>
      <c r="H88" s="194">
        <v>3155.06</v>
      </c>
      <c r="I88" s="194">
        <v>2750.56</v>
      </c>
      <c r="J88" s="194">
        <v>2305.62</v>
      </c>
      <c r="K88" s="194">
        <v>1901.12</v>
      </c>
      <c r="L88" s="194">
        <v>1617.98</v>
      </c>
      <c r="M88" s="194">
        <v>1348.31</v>
      </c>
      <c r="N88" s="197">
        <v>1132.58</v>
      </c>
      <c r="O88" s="2"/>
      <c r="Y88" s="94"/>
      <c r="Z88" s="28"/>
      <c r="AB88" s="28"/>
      <c r="AC88" s="28"/>
    </row>
    <row r="89" spans="1:29" ht="15" customHeight="1">
      <c r="A89" s="200">
        <v>19</v>
      </c>
      <c r="B89" s="59">
        <v>2</v>
      </c>
      <c r="C89" s="20">
        <v>4489.8900000000003</v>
      </c>
      <c r="D89" s="20">
        <v>4314.6099999999997</v>
      </c>
      <c r="E89" s="20">
        <v>3950.56</v>
      </c>
      <c r="F89" s="20">
        <v>3303.37</v>
      </c>
      <c r="G89" s="20">
        <v>2723.6</v>
      </c>
      <c r="H89" s="20">
        <v>2386.52</v>
      </c>
      <c r="I89" s="20">
        <v>1995.51</v>
      </c>
      <c r="J89" s="20">
        <v>1671.91</v>
      </c>
      <c r="K89" s="20">
        <v>1294.3800000000001</v>
      </c>
      <c r="L89" s="20">
        <v>1051.69</v>
      </c>
      <c r="M89" s="20">
        <v>862.92</v>
      </c>
      <c r="N89" s="198">
        <v>728.09</v>
      </c>
      <c r="O89" s="2"/>
      <c r="Y89" s="94"/>
      <c r="Z89" s="28"/>
      <c r="AB89" s="28"/>
      <c r="AC89" s="28"/>
    </row>
    <row r="90" spans="1:29" ht="15" customHeight="1">
      <c r="A90" s="200">
        <v>19</v>
      </c>
      <c r="B90" s="59">
        <v>3</v>
      </c>
      <c r="C90" s="20">
        <v>4058.43</v>
      </c>
      <c r="D90" s="20">
        <v>3883.15</v>
      </c>
      <c r="E90" s="20">
        <v>3573.03</v>
      </c>
      <c r="F90" s="20">
        <v>2831.46</v>
      </c>
      <c r="G90" s="20">
        <v>2332.58</v>
      </c>
      <c r="H90" s="20">
        <v>1968.54</v>
      </c>
      <c r="I90" s="20">
        <v>1685.39</v>
      </c>
      <c r="J90" s="20">
        <v>1334.83</v>
      </c>
      <c r="K90" s="20">
        <v>1078.6500000000001</v>
      </c>
      <c r="L90" s="20">
        <v>822.47</v>
      </c>
      <c r="M90" s="20">
        <v>701.12</v>
      </c>
      <c r="N90" s="198">
        <v>552.80999999999995</v>
      </c>
      <c r="O90" s="2"/>
      <c r="Y90" s="94"/>
      <c r="Z90" s="28"/>
      <c r="AB90" s="28"/>
      <c r="AC90" s="28"/>
    </row>
    <row r="91" spans="1:29" ht="15" customHeight="1">
      <c r="A91" s="200">
        <v>19</v>
      </c>
      <c r="B91" s="59">
        <v>4</v>
      </c>
      <c r="C91" s="20">
        <v>3802.25</v>
      </c>
      <c r="D91" s="20">
        <v>3559.55</v>
      </c>
      <c r="E91" s="20">
        <v>3114.61</v>
      </c>
      <c r="F91" s="20">
        <v>2238.1999999999998</v>
      </c>
      <c r="G91" s="20">
        <v>1698.88</v>
      </c>
      <c r="H91" s="20">
        <v>1456.18</v>
      </c>
      <c r="I91" s="20">
        <v>1186.52</v>
      </c>
      <c r="J91" s="20">
        <v>943.82</v>
      </c>
      <c r="K91" s="20">
        <v>728.09</v>
      </c>
      <c r="L91" s="20">
        <v>633.71</v>
      </c>
      <c r="M91" s="20">
        <v>539.33000000000004</v>
      </c>
      <c r="N91" s="198">
        <v>417.98</v>
      </c>
      <c r="O91" s="2"/>
      <c r="Y91" s="94"/>
      <c r="Z91" s="28"/>
      <c r="AB91" s="28"/>
      <c r="AC91" s="28"/>
    </row>
    <row r="92" spans="1:29" ht="15" customHeight="1">
      <c r="A92" s="202">
        <v>19</v>
      </c>
      <c r="B92" s="203">
        <v>5</v>
      </c>
      <c r="C92" s="26">
        <v>2575.2800000000002</v>
      </c>
      <c r="D92" s="26">
        <v>2507.87</v>
      </c>
      <c r="E92" s="26">
        <v>2332.58</v>
      </c>
      <c r="F92" s="26">
        <v>1766.29</v>
      </c>
      <c r="G92" s="26">
        <v>1361.8</v>
      </c>
      <c r="H92" s="26">
        <v>1146.07</v>
      </c>
      <c r="I92" s="26">
        <v>903.37</v>
      </c>
      <c r="J92" s="26">
        <v>714.61</v>
      </c>
      <c r="K92" s="26">
        <v>539.33000000000004</v>
      </c>
      <c r="L92" s="26">
        <v>431.46</v>
      </c>
      <c r="M92" s="26">
        <v>296.63</v>
      </c>
      <c r="N92" s="204">
        <v>215.73</v>
      </c>
      <c r="O92" s="2"/>
      <c r="Y92" s="94"/>
      <c r="Z92" s="28"/>
      <c r="AB92" s="28"/>
      <c r="AC92" s="28"/>
    </row>
    <row r="93" spans="1:29" ht="15" customHeight="1">
      <c r="A93" s="237">
        <v>20</v>
      </c>
      <c r="B93" s="178" t="s">
        <v>220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Y93" s="94"/>
      <c r="Z93" s="28"/>
      <c r="AB93" s="28"/>
      <c r="AC93" s="28"/>
    </row>
    <row r="94" spans="1:29" ht="15" customHeight="1">
      <c r="A94" s="205">
        <v>20</v>
      </c>
      <c r="B94" s="179" t="s">
        <v>221</v>
      </c>
      <c r="Y94" s="94"/>
      <c r="Z94" s="28"/>
      <c r="AB94" s="28"/>
      <c r="AC94" s="28"/>
    </row>
    <row r="95" spans="1:29" ht="15" customHeight="1">
      <c r="A95" s="205">
        <v>20</v>
      </c>
      <c r="B95" s="179" t="s">
        <v>222</v>
      </c>
      <c r="Y95" s="94"/>
      <c r="Z95" s="28"/>
      <c r="AB95" s="28"/>
    </row>
    <row r="96" spans="1:29" ht="15" customHeight="1">
      <c r="A96" s="205">
        <v>20</v>
      </c>
      <c r="B96" s="179" t="s">
        <v>223</v>
      </c>
      <c r="Y96" s="94"/>
      <c r="Z96" s="28"/>
      <c r="AB96" s="28"/>
      <c r="AC96" s="28"/>
    </row>
    <row r="97" spans="1:29" ht="15" customHeight="1">
      <c r="A97" s="205">
        <v>20</v>
      </c>
      <c r="B97" s="179" t="s">
        <v>224</v>
      </c>
      <c r="Y97" s="94"/>
      <c r="Z97" s="28"/>
      <c r="AB97" s="28"/>
      <c r="AC97" s="28"/>
    </row>
    <row r="98" spans="1:29" ht="15" customHeight="1">
      <c r="A98" s="205">
        <v>20</v>
      </c>
      <c r="B98" s="179" t="s">
        <v>225</v>
      </c>
      <c r="Y98" s="94"/>
      <c r="Z98" s="28"/>
      <c r="AB98" s="28"/>
      <c r="AC98" s="28"/>
    </row>
    <row r="99" spans="1:29" ht="15" customHeight="1">
      <c r="A99" s="205">
        <v>20</v>
      </c>
      <c r="B99" s="179" t="s">
        <v>226</v>
      </c>
      <c r="Y99" s="94"/>
      <c r="Z99" s="28"/>
      <c r="AB99" s="28"/>
      <c r="AC99" s="28"/>
    </row>
    <row r="100" spans="1:29" ht="15" customHeight="1">
      <c r="A100" s="205">
        <v>20</v>
      </c>
      <c r="B100" s="179" t="s">
        <v>227</v>
      </c>
      <c r="Y100" s="94"/>
      <c r="Z100" s="28"/>
      <c r="AB100" s="28"/>
      <c r="AC100" s="28"/>
    </row>
    <row r="101" spans="1:29" ht="15" customHeight="1">
      <c r="A101" s="205">
        <v>20</v>
      </c>
      <c r="B101" s="179" t="s">
        <v>230</v>
      </c>
      <c r="Y101" s="94"/>
      <c r="Z101" s="28"/>
      <c r="AB101" s="28"/>
      <c r="AC101" s="28"/>
    </row>
    <row r="102" spans="1:29" ht="15" customHeight="1">
      <c r="A102" s="205">
        <v>20</v>
      </c>
      <c r="B102" s="179" t="s">
        <v>231</v>
      </c>
      <c r="Y102" s="94"/>
      <c r="Z102" s="28"/>
      <c r="AB102" s="28"/>
      <c r="AC102" s="28"/>
    </row>
    <row r="103" spans="1:29" ht="15" customHeight="1">
      <c r="A103" s="205">
        <v>20</v>
      </c>
      <c r="B103" s="179" t="s">
        <v>232</v>
      </c>
      <c r="Y103" s="94"/>
      <c r="Z103" s="28"/>
      <c r="AB103" s="28"/>
      <c r="AC103" s="28"/>
    </row>
    <row r="104" spans="1:29" ht="15" customHeight="1">
      <c r="A104" s="205">
        <v>20</v>
      </c>
      <c r="B104" s="179" t="s">
        <v>233</v>
      </c>
      <c r="Y104" s="94"/>
      <c r="Z104" s="28"/>
      <c r="AB104" s="28"/>
      <c r="AC104" s="28"/>
    </row>
    <row r="105" spans="1:29" ht="15" customHeight="1">
      <c r="A105" s="200">
        <v>20</v>
      </c>
      <c r="B105" s="59" t="s">
        <v>234</v>
      </c>
      <c r="C105" s="8">
        <v>2564.8851719364202</v>
      </c>
      <c r="D105" s="8">
        <v>2402.6983010860099</v>
      </c>
      <c r="E105" s="8">
        <v>1850.22169360921</v>
      </c>
      <c r="F105" s="8">
        <v>1313.06940633011</v>
      </c>
      <c r="G105" s="8">
        <v>916.76795677089399</v>
      </c>
      <c r="H105" s="8">
        <v>750.55062513448297</v>
      </c>
      <c r="I105" s="8">
        <v>599.95052727083305</v>
      </c>
      <c r="J105" s="8">
        <v>489.74430416069703</v>
      </c>
      <c r="K105" s="8">
        <v>312.92537215781101</v>
      </c>
      <c r="L105" s="8">
        <v>208.52058261559199</v>
      </c>
      <c r="M105" s="8">
        <v>100.702326026476</v>
      </c>
      <c r="Y105" s="94"/>
      <c r="Z105" s="28"/>
      <c r="AB105" s="28"/>
      <c r="AC105" s="28"/>
    </row>
    <row r="106" spans="1:29" ht="15" customHeight="1">
      <c r="A106" s="200">
        <v>20</v>
      </c>
      <c r="B106" s="59" t="s">
        <v>235</v>
      </c>
      <c r="C106" s="8">
        <v>1459.26288005383</v>
      </c>
      <c r="D106" s="8">
        <v>1418.9779567524199</v>
      </c>
      <c r="E106" s="8">
        <v>1304.67284932078</v>
      </c>
      <c r="F106" s="8">
        <v>1035.6131848166499</v>
      </c>
      <c r="G106" s="8">
        <v>827.81448109253097</v>
      </c>
      <c r="H106" s="8">
        <v>714.66618463477198</v>
      </c>
      <c r="I106" s="8">
        <v>657.09621507635995</v>
      </c>
      <c r="J106" s="8">
        <v>440.93732536599902</v>
      </c>
      <c r="Y106" s="94"/>
      <c r="Z106" s="28"/>
      <c r="AB106" s="28"/>
    </row>
    <row r="107" spans="1:29" ht="15" customHeight="1">
      <c r="A107" s="200">
        <v>20</v>
      </c>
      <c r="B107" s="59" t="s">
        <v>236</v>
      </c>
      <c r="C107" s="8">
        <v>875.48614787682698</v>
      </c>
      <c r="D107" s="8">
        <v>680.497790171779</v>
      </c>
      <c r="E107" s="8">
        <v>507.185871846547</v>
      </c>
      <c r="F107" s="8">
        <v>347.56301122262602</v>
      </c>
      <c r="G107" s="8">
        <v>306.42364288973801</v>
      </c>
      <c r="H107" s="8">
        <v>279.77474048838297</v>
      </c>
      <c r="I107" s="8">
        <v>251.89278479235099</v>
      </c>
      <c r="J107" s="8">
        <v>155.41372068988201</v>
      </c>
      <c r="Y107" s="94"/>
      <c r="Z107" s="28"/>
      <c r="AB107" s="28"/>
      <c r="AC107" s="28"/>
    </row>
    <row r="108" spans="1:29" ht="15" customHeight="1">
      <c r="A108" s="200">
        <v>20</v>
      </c>
      <c r="B108" s="59" t="s">
        <v>237</v>
      </c>
      <c r="C108" s="8">
        <v>755.82193751668501</v>
      </c>
      <c r="D108" s="8">
        <v>709.68230180834405</v>
      </c>
      <c r="E108" s="8">
        <v>571.26672115994802</v>
      </c>
      <c r="F108" s="8">
        <v>503.64861653066401</v>
      </c>
      <c r="G108" s="8">
        <v>347.56301122262602</v>
      </c>
      <c r="Y108" s="94"/>
      <c r="Z108" s="28"/>
      <c r="AB108" s="28"/>
      <c r="AC108" s="28"/>
    </row>
    <row r="109" spans="1:29" ht="15" customHeight="1">
      <c r="A109" s="205">
        <v>20</v>
      </c>
      <c r="B109" s="59" t="s">
        <v>238</v>
      </c>
      <c r="C109" s="2"/>
      <c r="Y109" s="94"/>
      <c r="Z109" s="28"/>
      <c r="AB109" s="28"/>
      <c r="AC109" s="28"/>
    </row>
    <row r="110" spans="1:29" ht="15" customHeight="1">
      <c r="A110" s="200">
        <v>20</v>
      </c>
      <c r="B110" s="59" t="s">
        <v>239</v>
      </c>
      <c r="Y110" s="94"/>
      <c r="Z110" s="28"/>
      <c r="AB110" s="28"/>
      <c r="AC110" s="28"/>
    </row>
    <row r="111" spans="1:29" ht="15" customHeight="1">
      <c r="A111" s="200">
        <v>20</v>
      </c>
      <c r="B111" s="59" t="s">
        <v>240</v>
      </c>
      <c r="Y111" s="94"/>
      <c r="Z111" s="28"/>
      <c r="AB111" s="28"/>
      <c r="AC111" s="28"/>
    </row>
    <row r="112" spans="1:29" ht="15" customHeight="1">
      <c r="A112" s="200">
        <v>20</v>
      </c>
      <c r="B112" s="59" t="s">
        <v>241</v>
      </c>
      <c r="C112" s="2"/>
      <c r="D112" s="2"/>
      <c r="E112" s="2"/>
      <c r="F112" s="2"/>
      <c r="G112" s="2"/>
      <c r="H112" s="2"/>
      <c r="I112" s="2"/>
      <c r="J112" s="2"/>
      <c r="Y112" s="94"/>
      <c r="Z112" s="28"/>
      <c r="AB112" s="28"/>
      <c r="AC112" s="28"/>
    </row>
    <row r="113" spans="1:29" ht="15" customHeight="1">
      <c r="A113" s="201">
        <v>21</v>
      </c>
      <c r="B113" s="58" t="s">
        <v>220</v>
      </c>
      <c r="C113" s="206">
        <v>3307.34</v>
      </c>
      <c r="D113" s="206">
        <v>3285.93</v>
      </c>
      <c r="E113" s="206">
        <v>3243.12</v>
      </c>
      <c r="F113" s="206">
        <v>3071.87</v>
      </c>
      <c r="G113" s="206">
        <v>2568.81</v>
      </c>
      <c r="H113" s="206">
        <v>2065.75</v>
      </c>
      <c r="I113" s="206">
        <v>1530.58</v>
      </c>
      <c r="J113" s="207">
        <v>1081.04</v>
      </c>
      <c r="K113" s="2"/>
      <c r="Y113" s="94"/>
      <c r="AC113" s="28"/>
    </row>
    <row r="114" spans="1:29" ht="15" customHeight="1">
      <c r="A114" s="200">
        <v>21</v>
      </c>
      <c r="B114" s="59" t="s">
        <v>221</v>
      </c>
      <c r="C114" s="2">
        <v>3050.46</v>
      </c>
      <c r="D114" s="2">
        <v>2964.83</v>
      </c>
      <c r="E114" s="2">
        <v>2814.98</v>
      </c>
      <c r="F114" s="2">
        <v>2579.5100000000002</v>
      </c>
      <c r="G114" s="2">
        <v>2162.08</v>
      </c>
      <c r="H114" s="2">
        <v>1691.13</v>
      </c>
      <c r="I114" s="2">
        <v>1166.67</v>
      </c>
      <c r="J114" s="208">
        <v>781.35</v>
      </c>
      <c r="K114" s="2"/>
      <c r="Y114" s="94"/>
      <c r="AC114" s="28"/>
    </row>
    <row r="115" spans="1:29" ht="15" customHeight="1">
      <c r="A115" s="200">
        <v>21</v>
      </c>
      <c r="B115" s="59" t="s">
        <v>222</v>
      </c>
      <c r="C115" s="2">
        <v>2868.5</v>
      </c>
      <c r="D115" s="2">
        <v>2707.95</v>
      </c>
      <c r="E115" s="2">
        <v>2440.37</v>
      </c>
      <c r="F115" s="2">
        <v>2172.7800000000002</v>
      </c>
      <c r="G115" s="2">
        <v>1840.98</v>
      </c>
      <c r="H115" s="2">
        <v>1466.36</v>
      </c>
      <c r="I115" s="2">
        <v>974.01</v>
      </c>
      <c r="J115" s="208">
        <v>642.20000000000005</v>
      </c>
      <c r="K115" s="2"/>
      <c r="Y115" s="94"/>
      <c r="AC115" s="28"/>
    </row>
    <row r="116" spans="1:29" ht="15" customHeight="1">
      <c r="A116" s="200">
        <v>21</v>
      </c>
      <c r="B116" s="59" t="s">
        <v>223</v>
      </c>
      <c r="C116" s="2">
        <v>2707.95</v>
      </c>
      <c r="D116" s="2">
        <v>2504.59</v>
      </c>
      <c r="E116" s="2">
        <v>2076.4499999999998</v>
      </c>
      <c r="F116" s="2">
        <v>1755.35</v>
      </c>
      <c r="G116" s="2">
        <v>1477.06</v>
      </c>
      <c r="H116" s="2">
        <v>1188.07</v>
      </c>
      <c r="I116" s="2">
        <v>856.27</v>
      </c>
      <c r="J116" s="208">
        <v>545.87</v>
      </c>
      <c r="K116" s="2"/>
      <c r="Y116" s="94"/>
      <c r="AC116" s="28"/>
    </row>
    <row r="117" spans="1:29" ht="15" customHeight="1">
      <c r="A117" s="200">
        <v>21</v>
      </c>
      <c r="B117" s="59" t="s">
        <v>228</v>
      </c>
      <c r="C117" s="2">
        <v>3000</v>
      </c>
      <c r="D117" s="2">
        <v>3000</v>
      </c>
      <c r="E117" s="2">
        <v>2964.29</v>
      </c>
      <c r="F117" s="2">
        <v>2797.62</v>
      </c>
      <c r="G117" s="2">
        <v>2380.9499999999998</v>
      </c>
      <c r="H117" s="2">
        <v>1964.29</v>
      </c>
      <c r="I117" s="2">
        <v>1392.86</v>
      </c>
      <c r="J117" s="208">
        <v>892.86</v>
      </c>
      <c r="K117" s="2"/>
      <c r="Y117" s="94"/>
      <c r="AC117" s="28"/>
    </row>
    <row r="118" spans="1:29" ht="15" customHeight="1">
      <c r="A118" s="200">
        <v>21</v>
      </c>
      <c r="B118" s="59" t="s">
        <v>242</v>
      </c>
      <c r="C118" s="2">
        <v>3702.38</v>
      </c>
      <c r="D118" s="2">
        <v>3619.05</v>
      </c>
      <c r="E118" s="2">
        <v>3380.95</v>
      </c>
      <c r="F118" s="2">
        <v>3095.24</v>
      </c>
      <c r="G118" s="2">
        <v>2583.33</v>
      </c>
      <c r="H118" s="2">
        <v>2154.7600000000002</v>
      </c>
      <c r="I118" s="2">
        <v>1511.9</v>
      </c>
      <c r="J118" s="208">
        <v>1000</v>
      </c>
      <c r="K118" s="2"/>
      <c r="Y118" s="94"/>
      <c r="AC118" s="28"/>
    </row>
    <row r="119" spans="1:29" ht="15" customHeight="1">
      <c r="A119" s="200">
        <v>21</v>
      </c>
      <c r="B119" s="59" t="s">
        <v>243</v>
      </c>
      <c r="C119" s="2">
        <v>3130.95</v>
      </c>
      <c r="D119" s="2">
        <v>2940.48</v>
      </c>
      <c r="E119" s="2">
        <v>2559.52</v>
      </c>
      <c r="F119" s="2">
        <v>2333.33</v>
      </c>
      <c r="G119" s="2">
        <v>1952.38</v>
      </c>
      <c r="H119" s="2">
        <v>1619.05</v>
      </c>
      <c r="I119" s="2">
        <v>1130.95</v>
      </c>
      <c r="J119" s="208">
        <v>738.1</v>
      </c>
      <c r="K119" s="2"/>
      <c r="Y119" s="94"/>
      <c r="AC119" s="28"/>
    </row>
    <row r="120" spans="1:29" ht="15" customHeight="1">
      <c r="A120" s="202">
        <v>21</v>
      </c>
      <c r="B120" s="203" t="s">
        <v>244</v>
      </c>
      <c r="C120" s="30">
        <v>2642.86</v>
      </c>
      <c r="D120" s="30">
        <v>2440.48</v>
      </c>
      <c r="E120" s="30">
        <v>1940.48</v>
      </c>
      <c r="F120" s="30">
        <v>1666.67</v>
      </c>
      <c r="G120" s="30">
        <v>1476.19</v>
      </c>
      <c r="H120" s="30">
        <v>1297.6199999999999</v>
      </c>
      <c r="I120" s="30">
        <v>964.29</v>
      </c>
      <c r="J120" s="209">
        <v>642.86</v>
      </c>
      <c r="K120" s="2"/>
      <c r="Y120" s="94"/>
      <c r="AC120" s="28"/>
    </row>
    <row r="121" spans="1:29" ht="15" customHeight="1">
      <c r="A121" s="200">
        <v>21</v>
      </c>
      <c r="B121" s="59" t="s">
        <v>224</v>
      </c>
      <c r="C121" s="2"/>
      <c r="D121" s="2"/>
      <c r="E121" s="2"/>
      <c r="F121" s="2"/>
      <c r="G121" s="2"/>
      <c r="H121" s="2"/>
      <c r="I121" s="2"/>
      <c r="J121" s="2"/>
      <c r="Y121" s="94"/>
      <c r="AC121" s="28"/>
    </row>
    <row r="122" spans="1:29" ht="15" customHeight="1">
      <c r="A122" s="200">
        <v>21</v>
      </c>
      <c r="B122" s="59" t="s">
        <v>225</v>
      </c>
    </row>
    <row r="123" spans="1:29" ht="15" customHeight="1">
      <c r="A123" s="200">
        <v>21</v>
      </c>
      <c r="B123" s="59" t="s">
        <v>226</v>
      </c>
      <c r="AC123" s="28"/>
    </row>
    <row r="124" spans="1:29" ht="15" customHeight="1">
      <c r="A124" s="200">
        <v>21</v>
      </c>
      <c r="B124" s="59" t="s">
        <v>227</v>
      </c>
      <c r="AC124" s="28"/>
    </row>
    <row r="125" spans="1:29" ht="15" customHeight="1">
      <c r="A125" s="200">
        <v>21</v>
      </c>
      <c r="B125" s="59" t="s">
        <v>229</v>
      </c>
      <c r="AC125" s="28"/>
    </row>
    <row r="126" spans="1:29" ht="15" customHeight="1">
      <c r="A126" s="200">
        <v>21</v>
      </c>
      <c r="B126" s="59" t="s">
        <v>245</v>
      </c>
      <c r="AC126" s="28"/>
    </row>
    <row r="127" spans="1:29" ht="15" customHeight="1">
      <c r="A127" s="200">
        <v>21</v>
      </c>
      <c r="B127" s="59" t="s">
        <v>246</v>
      </c>
      <c r="AC127" s="28"/>
    </row>
    <row r="128" spans="1:29" ht="15" customHeight="1">
      <c r="A128" s="202">
        <v>21</v>
      </c>
      <c r="B128" s="203" t="s">
        <v>247</v>
      </c>
      <c r="AC128" s="28"/>
    </row>
    <row r="129" spans="1:65" ht="15" customHeight="1">
      <c r="A129" s="200">
        <v>22</v>
      </c>
      <c r="B129" s="59">
        <v>1</v>
      </c>
      <c r="AC129" s="28"/>
    </row>
    <row r="130" spans="1:65" ht="15" customHeight="1">
      <c r="A130" s="200">
        <v>22</v>
      </c>
      <c r="B130" s="59">
        <v>2</v>
      </c>
      <c r="AC130" s="28"/>
    </row>
    <row r="131" spans="1:65" ht="15" customHeight="1">
      <c r="A131" s="200">
        <v>22</v>
      </c>
      <c r="B131" s="59">
        <v>3</v>
      </c>
    </row>
    <row r="132" spans="1:65" ht="15" customHeight="1">
      <c r="A132" s="200">
        <v>22</v>
      </c>
      <c r="B132" s="59">
        <v>4</v>
      </c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J132" s="28"/>
      <c r="BK132" s="28"/>
      <c r="BL132" s="28"/>
      <c r="BM132" s="28"/>
    </row>
    <row r="133" spans="1:65" ht="15" customHeight="1">
      <c r="A133" s="200">
        <v>22</v>
      </c>
      <c r="B133" s="59">
        <v>5</v>
      </c>
      <c r="AB133" s="137"/>
    </row>
    <row r="134" spans="1:65" ht="15" customHeight="1">
      <c r="A134" s="200">
        <v>22</v>
      </c>
      <c r="B134" s="59">
        <v>6</v>
      </c>
    </row>
    <row r="135" spans="1:65" ht="15" customHeight="1">
      <c r="A135" s="200">
        <v>22</v>
      </c>
      <c r="B135" s="59">
        <v>7</v>
      </c>
    </row>
    <row r="136" spans="1:65" ht="15" customHeight="1">
      <c r="A136" s="200">
        <v>22</v>
      </c>
      <c r="B136" s="59">
        <v>8</v>
      </c>
      <c r="C136" s="2"/>
      <c r="D136" s="2"/>
      <c r="E136" s="2"/>
      <c r="F136" s="2"/>
      <c r="G136" s="2"/>
      <c r="H136" s="2"/>
      <c r="I136" s="2"/>
      <c r="J136" s="2"/>
      <c r="K136" s="2"/>
    </row>
    <row r="137" spans="1:65" ht="15" customHeight="1">
      <c r="A137" s="201">
        <v>23</v>
      </c>
      <c r="B137" s="58">
        <v>1</v>
      </c>
      <c r="C137" s="206">
        <v>3.99</v>
      </c>
      <c r="D137" s="206">
        <v>3.78</v>
      </c>
      <c r="E137" s="206">
        <v>3.24</v>
      </c>
      <c r="F137" s="206">
        <v>2.77</v>
      </c>
      <c r="G137" s="206">
        <v>2.06</v>
      </c>
      <c r="H137" s="206">
        <v>1.37</v>
      </c>
      <c r="I137" s="206">
        <v>1</v>
      </c>
      <c r="J137" s="206">
        <v>0.56999999999999995</v>
      </c>
      <c r="K137" s="207">
        <v>0.34</v>
      </c>
      <c r="L137" s="2"/>
    </row>
    <row r="138" spans="1:65" ht="15" customHeight="1">
      <c r="A138" s="200">
        <v>23</v>
      </c>
      <c r="B138" s="59">
        <v>2</v>
      </c>
      <c r="C138" s="2">
        <v>5.05</v>
      </c>
      <c r="D138" s="2">
        <v>4.6100000000000003</v>
      </c>
      <c r="E138" s="2">
        <v>3.82</v>
      </c>
      <c r="F138" s="2">
        <v>3.26</v>
      </c>
      <c r="G138" s="2">
        <v>2.5</v>
      </c>
      <c r="H138" s="2">
        <v>1.81</v>
      </c>
      <c r="I138" s="2">
        <v>1.28</v>
      </c>
      <c r="J138" s="2">
        <v>0.84</v>
      </c>
      <c r="K138" s="208">
        <v>0.59</v>
      </c>
      <c r="L138" s="2"/>
    </row>
    <row r="139" spans="1:65" ht="15" customHeight="1">
      <c r="A139" s="200">
        <v>23</v>
      </c>
      <c r="B139" s="59">
        <v>3</v>
      </c>
      <c r="C139" s="2">
        <v>7.45</v>
      </c>
      <c r="D139" s="2">
        <v>6.79</v>
      </c>
      <c r="E139" s="2">
        <v>5.32</v>
      </c>
      <c r="F139" s="2">
        <v>4.16</v>
      </c>
      <c r="G139" s="2">
        <v>3.13</v>
      </c>
      <c r="H139" s="2">
        <v>2.09</v>
      </c>
      <c r="I139" s="2">
        <v>1.64</v>
      </c>
      <c r="J139" s="2">
        <v>1.18</v>
      </c>
      <c r="K139" s="208">
        <v>0.86</v>
      </c>
      <c r="L139" s="2"/>
    </row>
    <row r="140" spans="1:65" ht="15" customHeight="1">
      <c r="A140" s="200">
        <v>23</v>
      </c>
      <c r="B140" s="59">
        <v>4</v>
      </c>
      <c r="C140" s="2">
        <v>8.4</v>
      </c>
      <c r="D140" s="2">
        <v>7.75</v>
      </c>
      <c r="E140" s="2">
        <v>6.28</v>
      </c>
      <c r="F140" s="2">
        <v>5.07</v>
      </c>
      <c r="G140" s="2">
        <v>3.51</v>
      </c>
      <c r="H140" s="2">
        <v>2.4500000000000002</v>
      </c>
      <c r="I140" s="2">
        <v>1.98</v>
      </c>
      <c r="J140" s="2">
        <v>1.4</v>
      </c>
      <c r="K140" s="208">
        <v>1.03</v>
      </c>
      <c r="L140" s="2"/>
    </row>
    <row r="141" spans="1:65" ht="15" customHeight="1">
      <c r="A141" s="200">
        <v>23</v>
      </c>
      <c r="B141" s="59">
        <v>5</v>
      </c>
      <c r="C141" s="2">
        <v>5.95</v>
      </c>
      <c r="D141" s="2">
        <v>5.63</v>
      </c>
      <c r="E141" s="2">
        <v>4.66</v>
      </c>
      <c r="F141" s="2">
        <v>3.85</v>
      </c>
      <c r="G141" s="2">
        <v>2.94</v>
      </c>
      <c r="H141" s="2">
        <v>1.96</v>
      </c>
      <c r="I141" s="2">
        <v>1.47</v>
      </c>
      <c r="J141" s="2">
        <v>1.03</v>
      </c>
      <c r="K141" s="208">
        <v>0.73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65" ht="15" customHeight="1">
      <c r="A142" s="266">
        <v>24</v>
      </c>
      <c r="B142" s="267">
        <v>1</v>
      </c>
      <c r="C142" s="206">
        <v>0.09</v>
      </c>
      <c r="D142" s="206">
        <v>0.11</v>
      </c>
      <c r="E142" s="206">
        <v>0.12</v>
      </c>
      <c r="F142" s="206">
        <v>0.14000000000000001</v>
      </c>
      <c r="G142" s="206">
        <v>0.15</v>
      </c>
      <c r="H142" s="206">
        <v>0.16</v>
      </c>
      <c r="I142" s="206">
        <v>0.19</v>
      </c>
      <c r="J142" s="206">
        <v>0.24</v>
      </c>
      <c r="K142" s="206">
        <v>0.28000000000000003</v>
      </c>
      <c r="L142" s="206">
        <v>0.34</v>
      </c>
      <c r="M142" s="206">
        <v>0.41</v>
      </c>
      <c r="N142" s="206">
        <v>0.53</v>
      </c>
      <c r="O142" s="206">
        <v>0.55000000000000004</v>
      </c>
      <c r="P142" s="206">
        <v>0.67</v>
      </c>
      <c r="Q142" s="206">
        <v>0.89</v>
      </c>
      <c r="R142" s="206">
        <v>1.22</v>
      </c>
      <c r="S142" s="206">
        <v>1.55</v>
      </c>
      <c r="T142" s="206">
        <v>2.5099999999999998</v>
      </c>
      <c r="U142" s="206">
        <v>3.75</v>
      </c>
      <c r="V142" s="206">
        <v>5.38</v>
      </c>
      <c r="W142" s="206">
        <v>8.02</v>
      </c>
      <c r="X142" s="206">
        <v>12.46</v>
      </c>
      <c r="Y142" s="206">
        <v>17.170000000000002</v>
      </c>
      <c r="Z142" s="206">
        <v>25.63</v>
      </c>
      <c r="AA142" s="206">
        <v>36.75</v>
      </c>
      <c r="AB142" s="206">
        <v>54.84</v>
      </c>
      <c r="AC142" s="206">
        <v>75.55</v>
      </c>
      <c r="AD142" s="206">
        <v>92.3</v>
      </c>
      <c r="AE142" s="206">
        <v>137.76</v>
      </c>
      <c r="AF142" s="206">
        <v>189.78</v>
      </c>
      <c r="AG142" s="206">
        <v>251.19</v>
      </c>
      <c r="AH142" s="206">
        <v>306.87</v>
      </c>
      <c r="AI142" s="206">
        <v>422.75</v>
      </c>
      <c r="AJ142" s="207">
        <v>537.57000000000005</v>
      </c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</row>
    <row r="143" spans="1:65" ht="15" customHeight="1">
      <c r="A143" s="210">
        <v>24</v>
      </c>
      <c r="B143" s="211">
        <v>2</v>
      </c>
      <c r="C143" s="2">
        <v>9.42</v>
      </c>
      <c r="D143" s="2">
        <v>10.199999999999999</v>
      </c>
      <c r="E143" s="2">
        <v>11.05</v>
      </c>
      <c r="F143" s="2">
        <v>11.5</v>
      </c>
      <c r="G143" s="2">
        <v>11.97</v>
      </c>
      <c r="H143" s="2">
        <v>12.97</v>
      </c>
      <c r="I143" s="2">
        <v>14.05</v>
      </c>
      <c r="J143" s="2">
        <v>14.63</v>
      </c>
      <c r="K143" s="2">
        <v>17.170000000000002</v>
      </c>
      <c r="L143" s="2">
        <v>20.149999999999999</v>
      </c>
      <c r="M143" s="2">
        <v>20.98</v>
      </c>
      <c r="N143" s="2">
        <v>23.65</v>
      </c>
      <c r="O143" s="2">
        <v>26.67</v>
      </c>
      <c r="P143" s="2">
        <v>27.76</v>
      </c>
      <c r="Q143" s="2">
        <v>31.31</v>
      </c>
      <c r="R143" s="2">
        <v>33.92</v>
      </c>
      <c r="S143" s="2">
        <v>38.25</v>
      </c>
      <c r="T143" s="2">
        <v>41.44</v>
      </c>
      <c r="U143" s="2">
        <v>48.64</v>
      </c>
      <c r="V143" s="2">
        <v>52.69</v>
      </c>
      <c r="W143" s="2">
        <v>61.84</v>
      </c>
      <c r="X143" s="2">
        <v>64.37</v>
      </c>
      <c r="Y143" s="2">
        <v>75.55</v>
      </c>
      <c r="Z143" s="2">
        <v>100</v>
      </c>
      <c r="AA143" s="2">
        <v>108.34</v>
      </c>
      <c r="AB143" s="2">
        <v>117.37</v>
      </c>
      <c r="AC143" s="2">
        <v>137.76</v>
      </c>
      <c r="AD143" s="2">
        <v>168.3</v>
      </c>
      <c r="AE143" s="2">
        <v>189.78</v>
      </c>
      <c r="AF143" s="2">
        <v>261.45</v>
      </c>
      <c r="AG143" s="2">
        <v>319.41000000000003</v>
      </c>
      <c r="AH143" s="2">
        <v>374.9</v>
      </c>
      <c r="AI143" s="2">
        <v>537.57000000000005</v>
      </c>
      <c r="AJ143" s="208">
        <v>683.57</v>
      </c>
      <c r="AK143" s="2"/>
    </row>
    <row r="144" spans="1:65" ht="15" customHeight="1">
      <c r="A144" s="210">
        <v>24</v>
      </c>
      <c r="B144" s="211">
        <v>3</v>
      </c>
      <c r="C144" s="2">
        <v>78.64</v>
      </c>
      <c r="D144" s="2">
        <v>75.55</v>
      </c>
      <c r="E144" s="2">
        <v>75.55</v>
      </c>
      <c r="F144" s="2">
        <v>72.59</v>
      </c>
      <c r="G144" s="2">
        <v>75.55</v>
      </c>
      <c r="H144" s="2">
        <v>81.849999999999994</v>
      </c>
      <c r="I144" s="2">
        <v>78.64</v>
      </c>
      <c r="J144" s="2">
        <v>75.55</v>
      </c>
      <c r="K144" s="2">
        <v>85.2</v>
      </c>
      <c r="L144" s="2">
        <v>88.68</v>
      </c>
      <c r="M144" s="2">
        <v>92.3</v>
      </c>
      <c r="N144" s="2">
        <v>92.3</v>
      </c>
      <c r="O144" s="2">
        <v>88.68</v>
      </c>
      <c r="P144" s="2">
        <v>92.3</v>
      </c>
      <c r="Q144" s="2">
        <v>104.09</v>
      </c>
      <c r="R144" s="2">
        <v>108.34</v>
      </c>
      <c r="S144" s="2">
        <v>112.76</v>
      </c>
      <c r="T144" s="2">
        <v>122.17</v>
      </c>
      <c r="U144" s="2">
        <v>127.16</v>
      </c>
      <c r="V144" s="2">
        <v>137.76</v>
      </c>
      <c r="W144" s="2">
        <v>143.38999999999999</v>
      </c>
      <c r="X144" s="2">
        <v>149.25</v>
      </c>
      <c r="Y144" s="2">
        <v>168.3</v>
      </c>
      <c r="Z144" s="2">
        <v>189.78</v>
      </c>
      <c r="AA144" s="2">
        <v>205.61</v>
      </c>
      <c r="AB144" s="2">
        <v>214.01</v>
      </c>
      <c r="AC144" s="2">
        <v>251.19</v>
      </c>
      <c r="AD144" s="2">
        <v>294.83</v>
      </c>
      <c r="AE144" s="2">
        <v>332.46</v>
      </c>
      <c r="AF144" s="2">
        <v>390.22</v>
      </c>
      <c r="AG144" s="2">
        <v>440.03</v>
      </c>
      <c r="AH144" s="2">
        <v>476.72</v>
      </c>
      <c r="AI144" s="2">
        <v>683.57</v>
      </c>
      <c r="AJ144" s="208">
        <v>941.7</v>
      </c>
      <c r="AK144" s="2"/>
    </row>
    <row r="145" spans="1:65" ht="15" customHeight="1">
      <c r="A145" s="210">
        <v>24</v>
      </c>
      <c r="B145" s="211">
        <v>4</v>
      </c>
      <c r="C145" s="2">
        <v>205.61</v>
      </c>
      <c r="D145" s="2">
        <v>205.61</v>
      </c>
      <c r="E145" s="2">
        <v>197.54</v>
      </c>
      <c r="F145" s="2">
        <v>197.54</v>
      </c>
      <c r="G145" s="2">
        <v>214.01</v>
      </c>
      <c r="H145" s="2">
        <v>214.01</v>
      </c>
      <c r="I145" s="2">
        <v>214.01</v>
      </c>
      <c r="J145" s="2">
        <v>205.61</v>
      </c>
      <c r="K145" s="2">
        <v>222.75</v>
      </c>
      <c r="L145" s="2">
        <v>222.75</v>
      </c>
      <c r="M145" s="2">
        <v>241.33</v>
      </c>
      <c r="N145" s="2">
        <v>241.33</v>
      </c>
      <c r="O145" s="2">
        <v>261.45</v>
      </c>
      <c r="P145" s="2">
        <v>261.45</v>
      </c>
      <c r="Q145" s="2">
        <v>283.25</v>
      </c>
      <c r="R145" s="2">
        <v>294.83</v>
      </c>
      <c r="S145" s="2">
        <v>332.46</v>
      </c>
      <c r="T145" s="2">
        <v>360.18</v>
      </c>
      <c r="U145" s="2">
        <v>360.18</v>
      </c>
      <c r="V145" s="2">
        <v>406.16</v>
      </c>
      <c r="W145" s="2">
        <v>476.72</v>
      </c>
      <c r="X145" s="2">
        <v>516.47</v>
      </c>
      <c r="Y145" s="2">
        <v>537.57000000000005</v>
      </c>
      <c r="Z145" s="2">
        <v>582.39</v>
      </c>
      <c r="AA145" s="2">
        <v>683.57</v>
      </c>
      <c r="AB145" s="2">
        <v>740.57</v>
      </c>
      <c r="AC145" s="2">
        <v>835.1</v>
      </c>
      <c r="AD145" s="2">
        <v>941.7</v>
      </c>
      <c r="AE145" s="2">
        <v>1061.9100000000001</v>
      </c>
      <c r="AF145" s="2">
        <v>1246.3800000000001</v>
      </c>
      <c r="AG145" s="2">
        <v>1405.48</v>
      </c>
      <c r="AH145" s="2">
        <v>1860.22</v>
      </c>
      <c r="AI145" s="2">
        <v>2015.34</v>
      </c>
      <c r="AJ145" s="208">
        <v>2272.59</v>
      </c>
      <c r="AK145" s="2"/>
    </row>
    <row r="146" spans="1:65" ht="15" customHeight="1">
      <c r="A146" s="210">
        <v>24</v>
      </c>
      <c r="B146" s="211">
        <v>5</v>
      </c>
      <c r="C146" s="2">
        <v>802.32</v>
      </c>
      <c r="D146" s="2">
        <v>869.22</v>
      </c>
      <c r="E146" s="2">
        <v>869.22</v>
      </c>
      <c r="F146" s="2">
        <v>869.22</v>
      </c>
      <c r="G146" s="2">
        <v>802.32</v>
      </c>
      <c r="H146" s="2">
        <v>835.1</v>
      </c>
      <c r="I146" s="2">
        <v>869.22</v>
      </c>
      <c r="J146" s="2">
        <v>869.22</v>
      </c>
      <c r="K146" s="2">
        <v>869.22</v>
      </c>
      <c r="L146" s="2">
        <v>802.32</v>
      </c>
      <c r="M146" s="2">
        <v>869.22</v>
      </c>
      <c r="N146" s="2">
        <v>904.74</v>
      </c>
      <c r="O146" s="2">
        <v>941.7</v>
      </c>
      <c r="P146" s="2">
        <v>941.7</v>
      </c>
      <c r="Q146" s="2">
        <v>941.7</v>
      </c>
      <c r="R146" s="2">
        <v>904.74</v>
      </c>
      <c r="S146" s="2">
        <v>904.74</v>
      </c>
      <c r="T146" s="2">
        <v>980.18</v>
      </c>
      <c r="U146" s="2">
        <v>980.18</v>
      </c>
      <c r="V146" s="2">
        <v>1061.9100000000001</v>
      </c>
      <c r="W146" s="2">
        <v>1105.3</v>
      </c>
      <c r="X146" s="2">
        <v>1105.3</v>
      </c>
      <c r="Y146" s="2">
        <v>1197.46</v>
      </c>
      <c r="Z146" s="2">
        <v>1246.3800000000001</v>
      </c>
      <c r="AA146" s="2">
        <v>1405.48</v>
      </c>
      <c r="AB146" s="2">
        <v>1462.91</v>
      </c>
      <c r="AC146" s="2">
        <v>1584.89</v>
      </c>
      <c r="AD146" s="2">
        <v>1787.2</v>
      </c>
      <c r="AE146" s="2">
        <v>2015.34</v>
      </c>
      <c r="AF146" s="2">
        <v>2365.4499999999998</v>
      </c>
      <c r="AG146" s="2">
        <v>2365.4499999999998</v>
      </c>
      <c r="AH146" s="2">
        <v>2889.81</v>
      </c>
      <c r="AI146" s="2">
        <v>2889.81</v>
      </c>
      <c r="AJ146" s="208">
        <v>3391.84</v>
      </c>
      <c r="AK146" s="2"/>
    </row>
    <row r="147" spans="1:65" ht="15" customHeight="1">
      <c r="A147" s="210">
        <v>24</v>
      </c>
      <c r="B147" s="211">
        <v>6</v>
      </c>
      <c r="C147" s="2">
        <v>2097.6799999999998</v>
      </c>
      <c r="D147" s="2">
        <v>2183.39</v>
      </c>
      <c r="E147" s="2">
        <v>2183.39</v>
      </c>
      <c r="F147" s="2">
        <v>2272.59</v>
      </c>
      <c r="G147" s="2">
        <v>2183.39</v>
      </c>
      <c r="H147" s="2">
        <v>2183.39</v>
      </c>
      <c r="I147" s="2">
        <v>2097.6799999999998</v>
      </c>
      <c r="J147" s="2">
        <v>2183.39</v>
      </c>
      <c r="K147" s="2">
        <v>2183.39</v>
      </c>
      <c r="L147" s="2">
        <v>2015.34</v>
      </c>
      <c r="M147" s="2">
        <v>2015.34</v>
      </c>
      <c r="N147" s="2">
        <v>2015.34</v>
      </c>
      <c r="O147" s="2">
        <v>2015.34</v>
      </c>
      <c r="P147" s="2">
        <v>2183.39</v>
      </c>
      <c r="Q147" s="2">
        <v>2183.39</v>
      </c>
      <c r="R147" s="2">
        <v>2365.4499999999998</v>
      </c>
      <c r="S147" s="2">
        <v>2272.59</v>
      </c>
      <c r="T147" s="2">
        <v>2272.59</v>
      </c>
      <c r="U147" s="2">
        <v>2015.34</v>
      </c>
      <c r="V147" s="2">
        <v>2365.4499999999998</v>
      </c>
      <c r="W147" s="2">
        <v>2365.4499999999998</v>
      </c>
      <c r="X147" s="2">
        <v>2462.09</v>
      </c>
      <c r="Y147" s="2">
        <v>2462.09</v>
      </c>
      <c r="Z147" s="2">
        <v>2462.09</v>
      </c>
      <c r="AA147" s="2">
        <v>2667.39</v>
      </c>
      <c r="AB147" s="2">
        <v>2889.81</v>
      </c>
      <c r="AC147" s="2">
        <v>3130.78</v>
      </c>
      <c r="AD147" s="2">
        <v>3130.78</v>
      </c>
      <c r="AE147" s="2">
        <v>3130.78</v>
      </c>
      <c r="AF147" s="2">
        <v>3530.42</v>
      </c>
      <c r="AG147" s="2">
        <v>3824.8</v>
      </c>
      <c r="AH147" s="2">
        <v>4313.03</v>
      </c>
      <c r="AI147" s="2">
        <v>4672.67</v>
      </c>
      <c r="AJ147" s="208">
        <v>4863.59</v>
      </c>
      <c r="AK147" s="2"/>
    </row>
    <row r="148" spans="1:65" ht="15" customHeight="1">
      <c r="A148" s="268">
        <v>24</v>
      </c>
      <c r="B148" s="269">
        <v>7</v>
      </c>
      <c r="C148" s="30">
        <v>9607.4599999999991</v>
      </c>
      <c r="D148" s="30">
        <v>9607.4599999999991</v>
      </c>
      <c r="E148" s="30">
        <v>9230.33</v>
      </c>
      <c r="F148" s="30">
        <v>9230.33</v>
      </c>
      <c r="G148" s="30">
        <v>8519.91</v>
      </c>
      <c r="H148" s="30">
        <v>9607.4599999999991</v>
      </c>
      <c r="I148" s="30">
        <v>9230.33</v>
      </c>
      <c r="J148" s="30">
        <v>9230.33</v>
      </c>
      <c r="K148" s="30">
        <v>8868.01</v>
      </c>
      <c r="L148" s="30">
        <v>9230.33</v>
      </c>
      <c r="M148" s="30">
        <v>9230.33</v>
      </c>
      <c r="N148" s="30">
        <v>9607.4599999999991</v>
      </c>
      <c r="O148" s="30">
        <v>9607.4599999999991</v>
      </c>
      <c r="P148" s="30">
        <v>9607.4599999999991</v>
      </c>
      <c r="Q148" s="30">
        <v>9607.4599999999991</v>
      </c>
      <c r="R148" s="30">
        <v>10000</v>
      </c>
      <c r="S148" s="30">
        <v>10000</v>
      </c>
      <c r="T148" s="30">
        <v>9607.4599999999991</v>
      </c>
      <c r="U148" s="30">
        <v>9607.4599999999991</v>
      </c>
      <c r="V148" s="30">
        <v>9607.4599999999991</v>
      </c>
      <c r="W148" s="30">
        <v>10000</v>
      </c>
      <c r="X148" s="30">
        <v>10000</v>
      </c>
      <c r="Y148" s="30">
        <v>10000</v>
      </c>
      <c r="Z148" s="30">
        <v>10408.58</v>
      </c>
      <c r="AA148" s="30">
        <v>10408.58</v>
      </c>
      <c r="AB148" s="30">
        <v>10408.58</v>
      </c>
      <c r="AC148" s="30">
        <v>10833.84</v>
      </c>
      <c r="AD148" s="30">
        <v>10833.84</v>
      </c>
      <c r="AE148" s="30">
        <v>10833.84</v>
      </c>
      <c r="AF148" s="30">
        <v>11276.49</v>
      </c>
      <c r="AG148" s="30">
        <v>11737.22</v>
      </c>
      <c r="AH148" s="30">
        <v>12715.92</v>
      </c>
      <c r="AI148" s="30">
        <v>12715.92</v>
      </c>
      <c r="AJ148" s="209">
        <v>12715.92</v>
      </c>
      <c r="AK148" s="2"/>
    </row>
    <row r="149" spans="1:65" ht="15" customHeight="1">
      <c r="A149" s="200">
        <v>25</v>
      </c>
      <c r="B149" s="59">
        <v>1</v>
      </c>
      <c r="C149" s="20">
        <v>1365.74</v>
      </c>
      <c r="D149" s="20">
        <v>1333.33</v>
      </c>
      <c r="E149" s="20">
        <v>1194.44</v>
      </c>
      <c r="F149" s="20">
        <v>708.33</v>
      </c>
      <c r="G149" s="20">
        <v>532.41</v>
      </c>
      <c r="H149" s="20">
        <v>263.89</v>
      </c>
      <c r="I149" s="198">
        <v>120.37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65" ht="15" customHeight="1">
      <c r="A150" s="200">
        <v>25</v>
      </c>
      <c r="B150" s="59">
        <v>2</v>
      </c>
      <c r="C150" s="20">
        <v>1722.22</v>
      </c>
      <c r="D150" s="20">
        <v>1694.44</v>
      </c>
      <c r="E150" s="20">
        <v>1518.52</v>
      </c>
      <c r="F150" s="20">
        <v>907.41</v>
      </c>
      <c r="G150" s="20">
        <v>675.93</v>
      </c>
      <c r="H150" s="20">
        <v>342.59</v>
      </c>
      <c r="I150" s="198">
        <v>162.04</v>
      </c>
      <c r="J150" s="2"/>
    </row>
    <row r="151" spans="1:65" ht="15" customHeight="1">
      <c r="A151" s="200">
        <v>25</v>
      </c>
      <c r="B151" s="59">
        <v>3</v>
      </c>
      <c r="C151" s="20">
        <v>2518.52</v>
      </c>
      <c r="D151" s="20">
        <v>2375</v>
      </c>
      <c r="E151" s="20">
        <v>1962.96</v>
      </c>
      <c r="F151" s="20">
        <v>1189.81</v>
      </c>
      <c r="G151" s="20">
        <v>847.22</v>
      </c>
      <c r="H151" s="20">
        <v>407.41</v>
      </c>
      <c r="I151" s="198">
        <v>189.81</v>
      </c>
      <c r="J151" s="2"/>
    </row>
    <row r="152" spans="1:65" ht="15" customHeight="1">
      <c r="A152" s="202">
        <v>25</v>
      </c>
      <c r="B152" s="203">
        <v>4</v>
      </c>
      <c r="C152" s="26">
        <v>2634.26</v>
      </c>
      <c r="D152" s="26">
        <v>2518.52</v>
      </c>
      <c r="E152" s="26">
        <v>2092.59</v>
      </c>
      <c r="F152" s="26">
        <v>1259.26</v>
      </c>
      <c r="G152" s="26">
        <v>939.81</v>
      </c>
      <c r="H152" s="26">
        <v>472.22</v>
      </c>
      <c r="I152" s="204">
        <v>236.11</v>
      </c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65" ht="15" customHeight="1">
      <c r="A153" s="200">
        <v>26</v>
      </c>
      <c r="B153" s="178" t="s">
        <v>220</v>
      </c>
      <c r="C153" s="2">
        <v>0.8</v>
      </c>
      <c r="D153" s="8">
        <v>1.264</v>
      </c>
      <c r="E153" s="8">
        <v>2.9220000000000002</v>
      </c>
      <c r="F153" s="8">
        <v>2.9220000000000002</v>
      </c>
      <c r="G153" s="8">
        <v>4.6159999999999997</v>
      </c>
      <c r="H153" s="8">
        <v>7.2930000000000001</v>
      </c>
      <c r="I153" s="8">
        <v>12.433</v>
      </c>
      <c r="J153" s="8">
        <v>20.402999999999999</v>
      </c>
      <c r="K153" s="8">
        <v>42.084000000000003</v>
      </c>
      <c r="L153" s="8">
        <v>66.480999999999995</v>
      </c>
      <c r="M153" s="8">
        <v>117.739</v>
      </c>
      <c r="N153" s="8">
        <v>225.03299999999999</v>
      </c>
      <c r="O153" s="8">
        <v>430.1</v>
      </c>
      <c r="P153" s="8">
        <v>733.24400000000003</v>
      </c>
      <c r="Q153" s="8">
        <v>1298.5989999999999</v>
      </c>
      <c r="R153" s="8">
        <v>2051.4299999999998</v>
      </c>
      <c r="S153" s="8">
        <v>3366.5630000000001</v>
      </c>
      <c r="T153" s="8">
        <v>5524.8029999999999</v>
      </c>
      <c r="U153" s="8">
        <v>2299.864</v>
      </c>
      <c r="V153" s="138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</row>
    <row r="154" spans="1:65" ht="15" customHeight="1">
      <c r="A154" s="200">
        <v>26</v>
      </c>
      <c r="B154" s="179" t="s">
        <v>221</v>
      </c>
      <c r="C154" s="8">
        <v>12.914999999999999</v>
      </c>
      <c r="D154" s="8">
        <v>18.199000000000002</v>
      </c>
      <c r="E154" s="8">
        <v>26.64</v>
      </c>
      <c r="F154" s="8">
        <v>38.996000000000002</v>
      </c>
      <c r="G154" s="8">
        <v>49.012999999999998</v>
      </c>
      <c r="H154" s="8">
        <v>69.063000000000002</v>
      </c>
      <c r="I154" s="8">
        <v>90.174000000000007</v>
      </c>
      <c r="J154" s="8">
        <v>127.063</v>
      </c>
      <c r="K154" s="8">
        <v>179.042</v>
      </c>
      <c r="L154" s="8">
        <v>293.82299999999998</v>
      </c>
      <c r="M154" s="8">
        <v>446.80500000000001</v>
      </c>
      <c r="N154" s="8">
        <v>705.82899999999995</v>
      </c>
      <c r="O154" s="8">
        <v>1203.3119999999999</v>
      </c>
      <c r="P154" s="8">
        <v>1900.902</v>
      </c>
      <c r="Q154" s="8">
        <v>3240.6959999999999</v>
      </c>
      <c r="R154" s="8">
        <v>4743.7619999999997</v>
      </c>
      <c r="S154" s="8">
        <v>7493.8410000000003</v>
      </c>
      <c r="T154" s="8">
        <v>11838.21</v>
      </c>
      <c r="U154" s="8">
        <v>16681.005000000001</v>
      </c>
      <c r="V154" s="48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65" ht="15" customHeight="1">
      <c r="A155" s="200">
        <v>26</v>
      </c>
      <c r="B155" s="179" t="s">
        <v>222</v>
      </c>
      <c r="C155" s="8">
        <v>262.084</v>
      </c>
      <c r="D155" s="8">
        <v>329.40499999999997</v>
      </c>
      <c r="E155" s="8">
        <v>355.49</v>
      </c>
      <c r="F155" s="8">
        <v>430.1</v>
      </c>
      <c r="G155" s="8">
        <v>540.58100000000002</v>
      </c>
      <c r="H155" s="8">
        <v>654.03800000000001</v>
      </c>
      <c r="I155" s="8">
        <v>733.24400000000003</v>
      </c>
      <c r="J155" s="8">
        <v>853.96900000000005</v>
      </c>
      <c r="K155" s="8">
        <v>1203.3119999999999</v>
      </c>
      <c r="L155" s="8">
        <v>1571.1489999999999</v>
      </c>
      <c r="M155" s="8">
        <v>2131.107</v>
      </c>
      <c r="N155" s="8">
        <v>2782.5590000000002</v>
      </c>
      <c r="O155" s="8">
        <v>4073.1379999999999</v>
      </c>
      <c r="P155" s="8">
        <v>5318.2449999999999</v>
      </c>
      <c r="Q155" s="8">
        <v>7784.8990000000003</v>
      </c>
      <c r="R155" s="8">
        <v>10969.558000000001</v>
      </c>
      <c r="S155" s="8">
        <v>16057.346</v>
      </c>
      <c r="T155" s="8">
        <v>20965.875</v>
      </c>
      <c r="U155" s="8">
        <v>29542.631000000001</v>
      </c>
      <c r="V155" s="48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65" ht="15" customHeight="1">
      <c r="A156" s="200">
        <v>26</v>
      </c>
      <c r="B156" s="179" t="s">
        <v>223</v>
      </c>
      <c r="C156" s="8">
        <v>1829.8330000000001</v>
      </c>
      <c r="D156" s="8">
        <v>1974.7329999999999</v>
      </c>
      <c r="E156" s="8">
        <v>2051.4299999999998</v>
      </c>
      <c r="F156" s="8">
        <v>2213.8780000000002</v>
      </c>
      <c r="G156" s="8">
        <v>2890.6329999999998</v>
      </c>
      <c r="H156" s="8">
        <v>3497.319</v>
      </c>
      <c r="I156" s="8">
        <v>4231.3360000000002</v>
      </c>
      <c r="J156" s="8">
        <v>4928.0079999999998</v>
      </c>
      <c r="K156" s="8">
        <v>5962.2979999999998</v>
      </c>
      <c r="L156" s="8">
        <v>7493.8410000000003</v>
      </c>
      <c r="M156" s="8">
        <v>9066.6489999999994</v>
      </c>
      <c r="N156" s="8">
        <v>11395.61</v>
      </c>
      <c r="O156" s="8">
        <v>14879.106</v>
      </c>
      <c r="P156" s="8">
        <v>20965.875</v>
      </c>
      <c r="Q156" s="8">
        <v>25366.195</v>
      </c>
      <c r="R156" s="8">
        <v>34406.699999999997</v>
      </c>
      <c r="S156" s="8">
        <v>41627.981</v>
      </c>
      <c r="T156" s="8">
        <v>63302.146999999997</v>
      </c>
      <c r="U156" s="8">
        <v>125687.122</v>
      </c>
      <c r="V156" s="48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65" ht="15" customHeight="1">
      <c r="A157" s="200">
        <v>26</v>
      </c>
      <c r="B157" s="179" t="s">
        <v>228</v>
      </c>
      <c r="C157" s="8">
        <v>7213.6660000000002</v>
      </c>
      <c r="D157" s="8">
        <v>7213.6660000000002</v>
      </c>
      <c r="E157" s="8">
        <v>7213.6660000000002</v>
      </c>
      <c r="F157" s="8">
        <v>7213.6660000000002</v>
      </c>
      <c r="G157" s="8">
        <v>7784.8990000000003</v>
      </c>
      <c r="H157" s="8">
        <v>8401.366</v>
      </c>
      <c r="I157" s="8">
        <v>9418.7929999999997</v>
      </c>
      <c r="J157" s="8">
        <v>11395.61</v>
      </c>
      <c r="K157" s="8">
        <v>12775.648999999999</v>
      </c>
      <c r="L157" s="8">
        <v>13787.322</v>
      </c>
      <c r="M157" s="8">
        <v>18001.933000000001</v>
      </c>
      <c r="N157" s="8">
        <v>20965.875</v>
      </c>
      <c r="O157" s="8">
        <v>25366.195</v>
      </c>
      <c r="P157" s="8">
        <v>31882.04</v>
      </c>
      <c r="Q157" s="8">
        <v>40071.618000000002</v>
      </c>
      <c r="R157" s="8">
        <v>46669.24</v>
      </c>
      <c r="S157" s="8">
        <v>60935.444000000003</v>
      </c>
      <c r="T157" s="8">
        <v>76588.005000000005</v>
      </c>
      <c r="U157" s="8">
        <v>85863.017000000007</v>
      </c>
      <c r="V157" s="48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65" ht="15" customHeight="1">
      <c r="A158" s="200">
        <v>26</v>
      </c>
      <c r="B158" s="179" t="s">
        <v>224</v>
      </c>
      <c r="C158" s="2">
        <v>9816.4716526543798</v>
      </c>
      <c r="D158" s="2">
        <v>9520.0011309452893</v>
      </c>
      <c r="E158" s="8">
        <v>9058.8242611998903</v>
      </c>
      <c r="F158" s="8">
        <v>8037.6485223997797</v>
      </c>
      <c r="G158" s="8">
        <v>7115.2925210184103</v>
      </c>
      <c r="H158" s="8">
        <v>6028.2346953818997</v>
      </c>
      <c r="I158" s="8">
        <v>5534.1179131635899</v>
      </c>
      <c r="J158" s="8">
        <v>4743.5283473456102</v>
      </c>
      <c r="K158" s="8">
        <v>3920.0011309452798</v>
      </c>
      <c r="L158" s="8">
        <v>3195.2959138542801</v>
      </c>
      <c r="M158" s="8">
        <v>2569.4126960725898</v>
      </c>
      <c r="N158" s="8">
        <v>2075.2936519637001</v>
      </c>
      <c r="O158" s="2"/>
      <c r="P158" s="2"/>
      <c r="Q158" s="2"/>
      <c r="R158" s="2"/>
      <c r="S158" s="2"/>
      <c r="T158" s="2"/>
      <c r="U158" s="2"/>
      <c r="V158" s="48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65" ht="15" customHeight="1">
      <c r="A159" s="200">
        <v>26</v>
      </c>
      <c r="B159" s="179" t="s">
        <v>225</v>
      </c>
      <c r="C159" s="2">
        <v>13209.4115651273</v>
      </c>
      <c r="D159" s="2">
        <v>12748.2346953819</v>
      </c>
      <c r="E159" s="8">
        <v>12188.2358263271</v>
      </c>
      <c r="F159" s="8">
        <v>10705.8832177816</v>
      </c>
      <c r="G159" s="8">
        <v>8828.2358263271908</v>
      </c>
      <c r="H159" s="8">
        <v>7214.1167822182997</v>
      </c>
      <c r="I159" s="8">
        <v>6061.1768697453899</v>
      </c>
      <c r="J159" s="8">
        <v>5105.8832177816903</v>
      </c>
      <c r="K159" s="8">
        <v>4414.1201750541704</v>
      </c>
      <c r="L159" s="8">
        <v>3920.0011309452798</v>
      </c>
      <c r="M159" s="8">
        <v>3623.5306092361802</v>
      </c>
      <c r="N159" s="8">
        <v>3360</v>
      </c>
      <c r="O159" s="2"/>
      <c r="P159" s="2"/>
      <c r="Q159" s="2"/>
      <c r="R159" s="2"/>
      <c r="S159" s="2"/>
      <c r="T159" s="2"/>
      <c r="U159" s="2"/>
      <c r="V159" s="48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65" ht="15" customHeight="1">
      <c r="A160" s="200">
        <v>26</v>
      </c>
      <c r="B160" s="179" t="s">
        <v>226</v>
      </c>
      <c r="C160" s="8">
        <v>11754.718000000001</v>
      </c>
      <c r="D160" s="8">
        <v>11391.511</v>
      </c>
      <c r="E160" s="8">
        <v>11061.321</v>
      </c>
      <c r="F160" s="8">
        <v>10301.887000000001</v>
      </c>
      <c r="G160" s="67">
        <v>9179.2469999999994</v>
      </c>
      <c r="H160" s="8">
        <v>7825.4709999999995</v>
      </c>
      <c r="I160" s="8">
        <v>6669.8119999999999</v>
      </c>
      <c r="J160" s="8">
        <v>5910.38</v>
      </c>
      <c r="K160" s="8">
        <v>4952.8310000000001</v>
      </c>
      <c r="L160" s="8">
        <v>3962.2640000000001</v>
      </c>
      <c r="M160" s="8">
        <v>3070.7550000000001</v>
      </c>
      <c r="N160" s="8">
        <v>2641.5129999999999</v>
      </c>
      <c r="O160" s="2"/>
      <c r="P160" s="2"/>
      <c r="Q160" s="2"/>
      <c r="R160" s="2"/>
      <c r="S160" s="2"/>
      <c r="T160" s="2"/>
      <c r="U160" s="2"/>
      <c r="V160" s="48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5" customHeight="1">
      <c r="A161" s="200">
        <v>26</v>
      </c>
      <c r="B161" s="179" t="s">
        <v>227</v>
      </c>
      <c r="C161" s="8">
        <v>12712.264999999999</v>
      </c>
      <c r="D161" s="8">
        <v>12448.115</v>
      </c>
      <c r="E161" s="8">
        <v>11985.85</v>
      </c>
      <c r="F161" s="8">
        <v>10896.226000000001</v>
      </c>
      <c r="G161" s="8">
        <v>9707.5470000000005</v>
      </c>
      <c r="H161" s="8">
        <v>8419.8109999999997</v>
      </c>
      <c r="I161" s="8">
        <v>7594.3410000000003</v>
      </c>
      <c r="J161" s="8">
        <v>6702.8320000000003</v>
      </c>
      <c r="K161" s="8">
        <v>5745.2830000000004</v>
      </c>
      <c r="L161" s="8">
        <v>4655.6610000000001</v>
      </c>
      <c r="M161" s="8">
        <v>3929.2469999999998</v>
      </c>
      <c r="N161" s="8">
        <v>3433.9650000000001</v>
      </c>
      <c r="O161" s="2"/>
      <c r="P161" s="2"/>
      <c r="Q161" s="2"/>
      <c r="R161" s="2"/>
      <c r="S161" s="2"/>
      <c r="T161" s="2"/>
      <c r="U161" s="2"/>
      <c r="V161" s="48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5" customHeight="1">
      <c r="A162" s="200">
        <v>26</v>
      </c>
      <c r="B162" s="59" t="s">
        <v>229</v>
      </c>
      <c r="C162" s="2">
        <v>12051.888000000001</v>
      </c>
      <c r="D162" s="2">
        <v>11820.754999999999</v>
      </c>
      <c r="E162" s="2">
        <v>11358.491</v>
      </c>
      <c r="F162" s="2">
        <v>10500.001</v>
      </c>
      <c r="G162" s="2">
        <v>8915.0930000000008</v>
      </c>
      <c r="H162" s="2">
        <v>7396.2290000000003</v>
      </c>
      <c r="I162" s="2">
        <v>6372.6419999999998</v>
      </c>
      <c r="J162" s="2">
        <v>5712.2650000000003</v>
      </c>
      <c r="K162" s="2">
        <v>4919.8130000000001</v>
      </c>
      <c r="L162" s="2">
        <v>3962.2640000000001</v>
      </c>
      <c r="M162" s="2">
        <v>3367.9250000000002</v>
      </c>
      <c r="N162" s="2">
        <v>2938.6819999999998</v>
      </c>
      <c r="O162" s="30"/>
      <c r="P162" s="30"/>
      <c r="Q162" s="30"/>
      <c r="R162" s="30"/>
      <c r="S162" s="30"/>
      <c r="T162" s="30"/>
      <c r="U162" s="30"/>
      <c r="V162" s="48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5" customHeight="1">
      <c r="A163" s="177">
        <v>27</v>
      </c>
      <c r="B163" s="178">
        <v>1</v>
      </c>
      <c r="C163" s="206">
        <v>1638.655</v>
      </c>
      <c r="D163" s="206">
        <v>1550.42</v>
      </c>
      <c r="E163" s="206">
        <v>1424.37</v>
      </c>
      <c r="F163" s="206">
        <v>1323.529</v>
      </c>
      <c r="G163" s="206">
        <v>1222.6890000000001</v>
      </c>
      <c r="H163" s="206">
        <v>1172.269</v>
      </c>
      <c r="I163" s="206">
        <v>1071.4290000000001</v>
      </c>
      <c r="J163" s="206">
        <v>957.98299999999995</v>
      </c>
      <c r="K163" s="206">
        <v>857.14300000000003</v>
      </c>
      <c r="L163" s="206">
        <v>768.90800000000002</v>
      </c>
      <c r="M163" s="206">
        <v>705.88199999999995</v>
      </c>
      <c r="N163" s="207">
        <v>668.06700000000001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8" ht="15" customHeight="1">
      <c r="A164" s="174">
        <v>27</v>
      </c>
      <c r="B164" s="179">
        <v>2</v>
      </c>
      <c r="C164" s="2">
        <v>4172.2690000000002</v>
      </c>
      <c r="D164" s="2">
        <v>3844.538</v>
      </c>
      <c r="E164" s="2">
        <v>3478.9920000000002</v>
      </c>
      <c r="F164" s="2">
        <v>3176.471</v>
      </c>
      <c r="G164" s="2">
        <v>2861.3449999999998</v>
      </c>
      <c r="H164" s="2">
        <v>2621.8490000000002</v>
      </c>
      <c r="I164" s="2">
        <v>2432.7730000000001</v>
      </c>
      <c r="J164" s="2">
        <v>2180.672</v>
      </c>
      <c r="K164" s="2">
        <v>1815.126</v>
      </c>
      <c r="L164" s="2">
        <v>1525.21</v>
      </c>
      <c r="M164" s="2">
        <v>1348.739</v>
      </c>
      <c r="N164" s="208">
        <v>1184.874</v>
      </c>
      <c r="O164" s="2"/>
    </row>
    <row r="165" spans="1:38" ht="15" customHeight="1">
      <c r="A165" s="174">
        <v>27</v>
      </c>
      <c r="B165" s="179">
        <v>3</v>
      </c>
      <c r="C165" s="2">
        <v>5130.2520000000004</v>
      </c>
      <c r="D165" s="2">
        <v>4726.8909999999996</v>
      </c>
      <c r="E165" s="2">
        <v>4159.6639999999998</v>
      </c>
      <c r="F165" s="2">
        <v>3617.6469999999999</v>
      </c>
      <c r="G165" s="2">
        <v>3264.7060000000001</v>
      </c>
      <c r="H165" s="2">
        <v>2974.79</v>
      </c>
      <c r="I165" s="2">
        <v>2747.8989999999999</v>
      </c>
      <c r="J165" s="2">
        <v>2369.748</v>
      </c>
      <c r="K165" s="2">
        <v>1978.992</v>
      </c>
      <c r="L165" s="2">
        <v>1651.261</v>
      </c>
      <c r="M165" s="2">
        <v>1348.739</v>
      </c>
      <c r="N165" s="208">
        <v>1184.874</v>
      </c>
      <c r="O165" s="2"/>
    </row>
    <row r="166" spans="1:38" ht="15" customHeight="1">
      <c r="A166" s="174">
        <v>27</v>
      </c>
      <c r="B166" s="179">
        <v>4</v>
      </c>
      <c r="C166" s="2">
        <v>5369.7479999999996</v>
      </c>
      <c r="D166" s="2">
        <v>5067.2269999999999</v>
      </c>
      <c r="E166" s="2">
        <v>4537.8149999999996</v>
      </c>
      <c r="F166" s="2">
        <v>3932.7730000000001</v>
      </c>
      <c r="G166" s="2">
        <v>3491.5970000000002</v>
      </c>
      <c r="H166" s="2">
        <v>3176.471</v>
      </c>
      <c r="I166" s="2">
        <v>2899.16</v>
      </c>
      <c r="J166" s="2">
        <v>2508.4029999999998</v>
      </c>
      <c r="K166" s="2">
        <v>2117.6469999999999</v>
      </c>
      <c r="L166" s="2">
        <v>1764.7059999999999</v>
      </c>
      <c r="M166" s="2">
        <v>1512.605</v>
      </c>
      <c r="N166" s="208">
        <v>1298.319</v>
      </c>
      <c r="O166" s="2"/>
      <c r="P166" s="2"/>
      <c r="Q166" s="2"/>
      <c r="R166" s="2"/>
      <c r="S166" s="2"/>
      <c r="T166" s="2"/>
      <c r="U166" s="2"/>
    </row>
    <row r="167" spans="1:38" ht="15" customHeight="1">
      <c r="A167" s="201">
        <v>28</v>
      </c>
      <c r="B167" s="58">
        <v>1</v>
      </c>
      <c r="C167" s="206">
        <v>11.87</v>
      </c>
      <c r="D167" s="206">
        <v>12.51</v>
      </c>
      <c r="E167" s="206">
        <v>14.85</v>
      </c>
      <c r="F167" s="206">
        <v>15.05</v>
      </c>
      <c r="G167" s="206">
        <v>16.29</v>
      </c>
      <c r="H167" s="206">
        <v>16.29</v>
      </c>
      <c r="I167" s="206">
        <v>16.5</v>
      </c>
      <c r="J167" s="206">
        <v>17.399999999999999</v>
      </c>
      <c r="K167" s="206">
        <v>18.34</v>
      </c>
      <c r="L167" s="206">
        <v>19.850000000000001</v>
      </c>
      <c r="M167" s="206">
        <v>19.850000000000001</v>
      </c>
      <c r="N167" s="206">
        <v>21.48</v>
      </c>
      <c r="O167" s="206">
        <v>23.25</v>
      </c>
      <c r="P167" s="206">
        <v>27.23</v>
      </c>
      <c r="Q167" s="206">
        <v>36.880000000000003</v>
      </c>
      <c r="R167" s="206">
        <v>58.5</v>
      </c>
      <c r="S167" s="206">
        <v>71.290000000000006</v>
      </c>
      <c r="T167" s="206">
        <v>136.02000000000001</v>
      </c>
      <c r="U167" s="207">
        <v>233.52</v>
      </c>
      <c r="V167" s="2"/>
    </row>
    <row r="168" spans="1:38" ht="15" customHeight="1">
      <c r="A168" s="200">
        <v>28</v>
      </c>
      <c r="B168" s="59">
        <v>2</v>
      </c>
      <c r="C168" s="2">
        <v>11560.51</v>
      </c>
      <c r="D168" s="2">
        <v>12026.87</v>
      </c>
      <c r="E168" s="2">
        <v>12186.47</v>
      </c>
      <c r="F168" s="2">
        <v>12348.18</v>
      </c>
      <c r="G168" s="2">
        <v>12512.04</v>
      </c>
      <c r="H168" s="2">
        <v>13016.79</v>
      </c>
      <c r="I168" s="2">
        <v>12846.32</v>
      </c>
      <c r="J168" s="2">
        <v>13016.79</v>
      </c>
      <c r="K168" s="2">
        <v>13189.52</v>
      </c>
      <c r="L168" s="2">
        <v>13541.89</v>
      </c>
      <c r="M168" s="2">
        <v>14088.18</v>
      </c>
      <c r="N168" s="2">
        <v>13721.59</v>
      </c>
      <c r="O168" s="2">
        <v>14464.56</v>
      </c>
      <c r="P168" s="2">
        <v>14464.56</v>
      </c>
      <c r="Q168" s="2">
        <v>14851</v>
      </c>
      <c r="R168" s="2">
        <v>15450.1</v>
      </c>
      <c r="S168" s="2">
        <v>16286.66</v>
      </c>
      <c r="T168" s="2">
        <v>16721.78</v>
      </c>
      <c r="U168" s="208">
        <v>17168.52</v>
      </c>
      <c r="V168" s="2"/>
    </row>
    <row r="169" spans="1:38" ht="15" customHeight="1">
      <c r="A169" s="200">
        <v>28</v>
      </c>
      <c r="B169" s="59">
        <v>3</v>
      </c>
      <c r="C169" s="2">
        <v>2606.34</v>
      </c>
      <c r="D169" s="2">
        <v>3134.61</v>
      </c>
      <c r="E169" s="2">
        <v>3261.06</v>
      </c>
      <c r="F169" s="2">
        <v>3348.18</v>
      </c>
      <c r="G169" s="2">
        <v>3529.47</v>
      </c>
      <c r="H169" s="2">
        <v>3623.77</v>
      </c>
      <c r="I169" s="2">
        <v>3671.85</v>
      </c>
      <c r="J169" s="2">
        <v>3720.58</v>
      </c>
      <c r="K169" s="2">
        <v>3720.58</v>
      </c>
      <c r="L169" s="2">
        <v>3870.67</v>
      </c>
      <c r="M169" s="2">
        <v>4080.25</v>
      </c>
      <c r="N169" s="2">
        <v>4474.6899999999996</v>
      </c>
      <c r="O169" s="2">
        <v>4972.3900000000003</v>
      </c>
      <c r="P169" s="2">
        <v>5453.07</v>
      </c>
      <c r="Q169" s="2">
        <v>6059.58</v>
      </c>
      <c r="R169" s="2">
        <v>6472.45</v>
      </c>
      <c r="S169" s="2">
        <v>7581.78</v>
      </c>
      <c r="T169" s="2">
        <v>8650.14</v>
      </c>
      <c r="U169" s="208">
        <v>9869.0400000000009</v>
      </c>
      <c r="V169" s="2"/>
    </row>
    <row r="170" spans="1:38" ht="15" customHeight="1">
      <c r="A170" s="200">
        <v>28</v>
      </c>
      <c r="B170" s="59">
        <v>4</v>
      </c>
      <c r="C170" s="2">
        <v>13189.52</v>
      </c>
      <c r="D170" s="2">
        <v>14088.18</v>
      </c>
      <c r="E170" s="2">
        <v>14464.56</v>
      </c>
      <c r="F170" s="2">
        <v>14656.51</v>
      </c>
      <c r="G170" s="2">
        <v>14656.51</v>
      </c>
      <c r="H170" s="2">
        <v>15247.76</v>
      </c>
      <c r="I170" s="2">
        <v>14851</v>
      </c>
      <c r="J170" s="2">
        <v>15048.07</v>
      </c>
      <c r="K170" s="2">
        <v>15450.1</v>
      </c>
      <c r="L170" s="2">
        <v>15450.1</v>
      </c>
      <c r="M170" s="2">
        <v>15862.87</v>
      </c>
      <c r="N170" s="2">
        <v>16073.37</v>
      </c>
      <c r="O170" s="2">
        <v>16502.79</v>
      </c>
      <c r="P170" s="2">
        <v>16943.68</v>
      </c>
      <c r="Q170" s="2">
        <v>17168.52</v>
      </c>
      <c r="R170" s="2">
        <v>18098.13</v>
      </c>
      <c r="S170" s="2">
        <v>18828.22</v>
      </c>
      <c r="T170" s="2">
        <v>19587.759999999998</v>
      </c>
      <c r="U170" s="208">
        <v>20648.36</v>
      </c>
      <c r="V170" s="2"/>
    </row>
    <row r="171" spans="1:38" ht="15" customHeight="1">
      <c r="A171" s="200">
        <v>28</v>
      </c>
      <c r="B171" s="59">
        <v>5</v>
      </c>
      <c r="C171" s="2">
        <v>16943.68</v>
      </c>
      <c r="D171" s="2">
        <v>17627.189999999999</v>
      </c>
      <c r="E171" s="2">
        <v>17861.11</v>
      </c>
      <c r="F171" s="2">
        <v>18338.29</v>
      </c>
      <c r="G171" s="2">
        <v>18581.64</v>
      </c>
      <c r="H171" s="2">
        <v>19078.07</v>
      </c>
      <c r="I171" s="2">
        <v>18581.64</v>
      </c>
      <c r="J171" s="2">
        <v>18828.22</v>
      </c>
      <c r="K171" s="2">
        <v>19078.07</v>
      </c>
      <c r="L171" s="2">
        <v>19331.23</v>
      </c>
      <c r="M171" s="2">
        <v>19587.759999999998</v>
      </c>
      <c r="N171" s="2">
        <v>19847.689999999999</v>
      </c>
      <c r="O171" s="2">
        <v>20377.939999999999</v>
      </c>
      <c r="P171" s="2">
        <v>20648.36</v>
      </c>
      <c r="Q171" s="2">
        <v>20648.36</v>
      </c>
      <c r="R171" s="2">
        <v>22055.22</v>
      </c>
      <c r="S171" s="2">
        <v>23249.42</v>
      </c>
      <c r="T171" s="2">
        <v>24508.29</v>
      </c>
      <c r="U171" s="208">
        <v>25496.97</v>
      </c>
      <c r="V171" s="2"/>
    </row>
    <row r="172" spans="1:38" ht="15" customHeight="1">
      <c r="A172" s="200">
        <v>28</v>
      </c>
      <c r="B172" s="59">
        <v>6</v>
      </c>
      <c r="C172" s="2">
        <v>8764.92</v>
      </c>
      <c r="D172" s="2">
        <v>8999.09</v>
      </c>
      <c r="E172" s="2">
        <v>9486.35</v>
      </c>
      <c r="F172" s="2">
        <v>9739.7900000000009</v>
      </c>
      <c r="G172" s="2">
        <v>9612.24</v>
      </c>
      <c r="H172" s="2">
        <v>9486.35</v>
      </c>
      <c r="I172" s="2">
        <v>9739.7900000000009</v>
      </c>
      <c r="J172" s="2">
        <v>10000</v>
      </c>
      <c r="K172" s="2">
        <v>10000</v>
      </c>
      <c r="L172" s="2">
        <v>10000</v>
      </c>
      <c r="M172" s="2">
        <v>10132.700000000001</v>
      </c>
      <c r="N172" s="2">
        <v>10681.35</v>
      </c>
      <c r="O172" s="2">
        <v>10681.35</v>
      </c>
      <c r="P172" s="2">
        <v>11112.24</v>
      </c>
      <c r="Q172" s="2">
        <v>11713.92</v>
      </c>
      <c r="R172" s="2">
        <v>12348.18</v>
      </c>
      <c r="S172" s="2">
        <v>12678.08</v>
      </c>
      <c r="T172" s="2">
        <v>13903.68</v>
      </c>
      <c r="U172" s="209">
        <v>13903.68</v>
      </c>
      <c r="V172" s="2"/>
    </row>
    <row r="173" spans="1:38" ht="15" customHeight="1">
      <c r="A173" s="201">
        <v>29</v>
      </c>
      <c r="B173" s="58">
        <v>1</v>
      </c>
      <c r="C173" s="206">
        <v>559.53</v>
      </c>
      <c r="D173" s="206">
        <v>1197.46</v>
      </c>
      <c r="E173" s="206">
        <v>2069.87</v>
      </c>
      <c r="F173" s="206">
        <v>3625.94</v>
      </c>
      <c r="G173" s="206">
        <v>6351.83</v>
      </c>
      <c r="H173" s="206">
        <v>10408.58</v>
      </c>
      <c r="I173" s="206">
        <v>16386.75</v>
      </c>
      <c r="J173" s="206">
        <v>24457.15</v>
      </c>
      <c r="K173" s="206">
        <v>40615.86</v>
      </c>
      <c r="L173" s="206">
        <v>59815.199999999997</v>
      </c>
      <c r="M173" s="206">
        <v>82402.81</v>
      </c>
      <c r="N173" s="206">
        <v>115045.48</v>
      </c>
      <c r="O173" s="206">
        <v>160619.07</v>
      </c>
      <c r="P173" s="206">
        <v>206986.5</v>
      </c>
      <c r="Q173" s="206">
        <v>259712.44</v>
      </c>
      <c r="R173" s="206">
        <v>313077.73</v>
      </c>
      <c r="S173" s="206">
        <v>367466.19</v>
      </c>
      <c r="T173" s="207">
        <v>431303.13</v>
      </c>
      <c r="U173" s="2"/>
    </row>
    <row r="174" spans="1:38" ht="15" customHeight="1">
      <c r="A174" s="200">
        <v>29</v>
      </c>
      <c r="B174" s="59">
        <v>2</v>
      </c>
      <c r="C174" s="2">
        <v>10134.379999999999</v>
      </c>
      <c r="D174" s="2">
        <v>11737.22</v>
      </c>
      <c r="E174" s="2">
        <v>15534.75</v>
      </c>
      <c r="F174" s="2">
        <v>18726.810000000001</v>
      </c>
      <c r="G174" s="2">
        <v>25456.41</v>
      </c>
      <c r="H174" s="2">
        <v>35540.589999999997</v>
      </c>
      <c r="I174" s="2">
        <v>44593.89</v>
      </c>
      <c r="J174" s="2">
        <v>57467.23</v>
      </c>
      <c r="K174" s="2">
        <v>75052.009999999995</v>
      </c>
      <c r="L174" s="2">
        <v>98017.66</v>
      </c>
      <c r="M174" s="2">
        <v>122985.83</v>
      </c>
      <c r="N174" s="2">
        <v>150249</v>
      </c>
      <c r="O174" s="2">
        <v>196224.68</v>
      </c>
      <c r="P174" s="2">
        <v>246209.24</v>
      </c>
      <c r="Q174" s="2">
        <v>288981.18</v>
      </c>
      <c r="R174" s="2">
        <v>325869.32</v>
      </c>
      <c r="S174" s="2">
        <v>382479.97</v>
      </c>
      <c r="T174" s="208">
        <v>454957.69</v>
      </c>
      <c r="U174" s="2"/>
    </row>
    <row r="175" spans="1:38" ht="15" customHeight="1">
      <c r="A175" s="200">
        <v>29</v>
      </c>
      <c r="B175" s="59">
        <v>3</v>
      </c>
      <c r="C175" s="2">
        <v>28325.26</v>
      </c>
      <c r="D175" s="2">
        <v>31517.42</v>
      </c>
      <c r="E175" s="2">
        <v>35540.589999999997</v>
      </c>
      <c r="F175" s="2">
        <v>44002.59</v>
      </c>
      <c r="G175" s="2">
        <v>53044.17</v>
      </c>
      <c r="H175" s="2">
        <v>62259.11</v>
      </c>
      <c r="I175" s="2">
        <v>79168.19</v>
      </c>
      <c r="J175" s="2">
        <v>91689.34</v>
      </c>
      <c r="K175" s="2">
        <v>115045.48</v>
      </c>
      <c r="L175" s="2">
        <v>135031.4</v>
      </c>
      <c r="M175" s="2">
        <v>174012.2</v>
      </c>
      <c r="N175" s="2">
        <v>206986.5</v>
      </c>
      <c r="O175" s="2">
        <v>233408.11</v>
      </c>
      <c r="P175" s="2">
        <v>285149.40000000002</v>
      </c>
      <c r="Q175" s="2">
        <v>325869.32</v>
      </c>
      <c r="R175" s="2">
        <v>367466.19</v>
      </c>
      <c r="S175" s="2">
        <v>425584.21</v>
      </c>
      <c r="T175" s="208">
        <v>492894.1</v>
      </c>
      <c r="U175" s="2"/>
    </row>
    <row r="176" spans="1:38" ht="15" customHeight="1">
      <c r="A176" s="200">
        <v>29</v>
      </c>
      <c r="B176" s="59">
        <v>4</v>
      </c>
      <c r="C176" s="2">
        <v>198861.51</v>
      </c>
      <c r="D176" s="2">
        <v>212586.77</v>
      </c>
      <c r="E176" s="2">
        <v>212586.77</v>
      </c>
      <c r="F176" s="2">
        <v>233408.11</v>
      </c>
      <c r="G176" s="2">
        <v>246209.24</v>
      </c>
      <c r="H176" s="2">
        <v>259712.44</v>
      </c>
      <c r="I176" s="2">
        <v>273956.21999999997</v>
      </c>
      <c r="J176" s="2">
        <v>288981.18</v>
      </c>
      <c r="K176" s="2">
        <v>288981.18</v>
      </c>
      <c r="L176" s="2">
        <v>304830.19</v>
      </c>
      <c r="M176" s="2">
        <v>325869.32</v>
      </c>
      <c r="N176" s="2">
        <v>343741.43</v>
      </c>
      <c r="O176" s="2">
        <v>367466.19</v>
      </c>
      <c r="P176" s="2">
        <v>403456.86</v>
      </c>
      <c r="Q176" s="2">
        <v>442972.55</v>
      </c>
      <c r="R176" s="2">
        <v>461071.33</v>
      </c>
      <c r="S176" s="2">
        <v>513032.56</v>
      </c>
      <c r="T176" s="208">
        <v>570849.65</v>
      </c>
      <c r="U176" s="2"/>
    </row>
    <row r="177" spans="1:28" ht="15" customHeight="1">
      <c r="A177" s="202">
        <v>29</v>
      </c>
      <c r="B177" s="203">
        <v>5</v>
      </c>
      <c r="C177" s="30">
        <v>72105.94</v>
      </c>
      <c r="D177" s="30">
        <v>76060.539999999994</v>
      </c>
      <c r="E177" s="30">
        <v>79168.19</v>
      </c>
      <c r="F177" s="30">
        <v>85769.59</v>
      </c>
      <c r="G177" s="30">
        <v>96717.99</v>
      </c>
      <c r="H177" s="30">
        <v>104782.77</v>
      </c>
      <c r="I177" s="30">
        <v>119745.96</v>
      </c>
      <c r="J177" s="30">
        <v>133240.94</v>
      </c>
      <c r="K177" s="30">
        <v>162777.44</v>
      </c>
      <c r="L177" s="30">
        <v>188522.12</v>
      </c>
      <c r="M177" s="30">
        <v>209767.95</v>
      </c>
      <c r="N177" s="30">
        <v>252870.72</v>
      </c>
      <c r="O177" s="30">
        <v>285149.40000000002</v>
      </c>
      <c r="P177" s="30">
        <v>348360.56</v>
      </c>
      <c r="Q177" s="30">
        <v>398107.17</v>
      </c>
      <c r="R177" s="30">
        <v>425584.21</v>
      </c>
      <c r="S177" s="30">
        <v>479909.58</v>
      </c>
      <c r="T177" s="209">
        <v>548441.66</v>
      </c>
      <c r="U177" s="2"/>
    </row>
    <row r="178" spans="1:28" ht="15" customHeight="1">
      <c r="A178" s="200">
        <v>30</v>
      </c>
      <c r="B178" s="59">
        <v>1</v>
      </c>
      <c r="C178" s="2">
        <v>2511.9</v>
      </c>
      <c r="D178" s="2">
        <v>2523.81</v>
      </c>
      <c r="E178" s="2">
        <v>2178.5700000000002</v>
      </c>
      <c r="F178" s="2">
        <v>1702.38</v>
      </c>
      <c r="G178" s="2">
        <v>1333.33</v>
      </c>
      <c r="H178" s="2">
        <v>1095.24</v>
      </c>
      <c r="I178" s="2">
        <v>916.67</v>
      </c>
      <c r="J178" s="2">
        <v>702.38</v>
      </c>
      <c r="K178" s="2">
        <v>547.62</v>
      </c>
      <c r="L178" s="2">
        <v>416.67</v>
      </c>
      <c r="M178" s="2">
        <v>333.33</v>
      </c>
      <c r="N178" s="2">
        <v>250</v>
      </c>
      <c r="O178" s="208">
        <v>202.38</v>
      </c>
      <c r="P178" s="2"/>
      <c r="Q178" s="2"/>
      <c r="R178" s="2"/>
      <c r="S178" s="2"/>
      <c r="T178" s="2"/>
    </row>
    <row r="179" spans="1:28" ht="15" customHeight="1">
      <c r="A179" s="200">
        <v>30</v>
      </c>
      <c r="B179" s="59">
        <v>2</v>
      </c>
      <c r="C179" s="2">
        <v>5595.24</v>
      </c>
      <c r="D179" s="2">
        <v>5357.14</v>
      </c>
      <c r="E179" s="2">
        <v>4738.1000000000004</v>
      </c>
      <c r="F179" s="2">
        <v>4035.71</v>
      </c>
      <c r="G179" s="2">
        <v>3416.67</v>
      </c>
      <c r="H179" s="2">
        <v>3000</v>
      </c>
      <c r="I179" s="2">
        <v>2464.29</v>
      </c>
      <c r="J179" s="2">
        <v>1964.29</v>
      </c>
      <c r="K179" s="2">
        <v>1547.62</v>
      </c>
      <c r="L179" s="2">
        <v>1261.9000000000001</v>
      </c>
      <c r="M179" s="2">
        <v>1023.81</v>
      </c>
      <c r="N179" s="2">
        <v>785.71</v>
      </c>
      <c r="O179" s="208">
        <v>559.52</v>
      </c>
      <c r="P179" s="2"/>
    </row>
    <row r="180" spans="1:28" ht="15" customHeight="1">
      <c r="A180" s="202">
        <v>30</v>
      </c>
      <c r="B180" s="203">
        <v>3</v>
      </c>
      <c r="C180" s="30">
        <v>5738.1</v>
      </c>
      <c r="D180" s="30">
        <v>5511.9</v>
      </c>
      <c r="E180" s="30">
        <v>4916.67</v>
      </c>
      <c r="F180" s="30">
        <v>4226.1899999999996</v>
      </c>
      <c r="G180" s="30">
        <v>3642.86</v>
      </c>
      <c r="H180" s="30">
        <v>3214.29</v>
      </c>
      <c r="I180" s="30">
        <v>2726.19</v>
      </c>
      <c r="J180" s="30">
        <v>2130.9499999999998</v>
      </c>
      <c r="K180" s="30">
        <v>1773.81</v>
      </c>
      <c r="L180" s="30">
        <v>1452.38</v>
      </c>
      <c r="M180" s="30">
        <v>1178.57</v>
      </c>
      <c r="N180" s="30">
        <v>904.76</v>
      </c>
      <c r="O180" s="209">
        <v>690.48</v>
      </c>
      <c r="P180" s="2"/>
    </row>
    <row r="181" spans="1:28" ht="15" customHeight="1">
      <c r="A181" s="200">
        <v>31</v>
      </c>
      <c r="B181" s="59">
        <v>1</v>
      </c>
      <c r="C181" s="20">
        <v>1190.48</v>
      </c>
      <c r="D181" s="20">
        <v>1150.79</v>
      </c>
      <c r="E181" s="20">
        <v>1051.5899999999999</v>
      </c>
      <c r="F181" s="20">
        <v>1001.98</v>
      </c>
      <c r="G181" s="20">
        <v>873.02</v>
      </c>
      <c r="H181" s="20">
        <v>803.57</v>
      </c>
      <c r="I181" s="20">
        <v>694.44</v>
      </c>
      <c r="J181" s="20">
        <v>625</v>
      </c>
      <c r="K181" s="20">
        <v>515.87</v>
      </c>
      <c r="L181" s="198">
        <v>476.19</v>
      </c>
      <c r="M181" s="2"/>
      <c r="N181" s="2"/>
      <c r="O181" s="2"/>
    </row>
    <row r="182" spans="1:28" ht="15" customHeight="1">
      <c r="A182" s="200">
        <v>31</v>
      </c>
      <c r="B182" s="59">
        <v>2</v>
      </c>
      <c r="C182" s="20">
        <v>1587.3</v>
      </c>
      <c r="D182" s="20">
        <v>1527.78</v>
      </c>
      <c r="E182" s="20">
        <v>1408.73</v>
      </c>
      <c r="F182" s="20">
        <v>1309.52</v>
      </c>
      <c r="G182" s="20">
        <v>1160.71</v>
      </c>
      <c r="H182" s="20">
        <v>1081.3499999999999</v>
      </c>
      <c r="I182" s="20">
        <v>972.22</v>
      </c>
      <c r="J182" s="20">
        <v>863.1</v>
      </c>
      <c r="K182" s="20">
        <v>833.33</v>
      </c>
      <c r="L182" s="198">
        <v>753.97</v>
      </c>
      <c r="M182" s="2"/>
    </row>
    <row r="183" spans="1:28" ht="15" customHeight="1">
      <c r="A183" s="200">
        <v>31</v>
      </c>
      <c r="B183" s="59">
        <v>3</v>
      </c>
      <c r="C183" s="20">
        <v>2371.0300000000002</v>
      </c>
      <c r="D183" s="20">
        <v>2281.75</v>
      </c>
      <c r="E183" s="20">
        <v>2172.62</v>
      </c>
      <c r="F183" s="20">
        <v>2073.41</v>
      </c>
      <c r="G183" s="20">
        <v>1855.16</v>
      </c>
      <c r="H183" s="20">
        <v>1716.27</v>
      </c>
      <c r="I183" s="20">
        <v>1527.78</v>
      </c>
      <c r="J183" s="20">
        <v>1359.13</v>
      </c>
      <c r="K183" s="20">
        <v>1220.24</v>
      </c>
      <c r="L183" s="198">
        <v>1140.8699999999999</v>
      </c>
      <c r="M183" s="2"/>
    </row>
    <row r="184" spans="1:28" ht="15" customHeight="1">
      <c r="A184" s="200">
        <v>31</v>
      </c>
      <c r="B184" s="59">
        <v>4</v>
      </c>
      <c r="C184" s="20">
        <v>3541.67</v>
      </c>
      <c r="D184" s="20">
        <v>3353.17</v>
      </c>
      <c r="E184" s="20">
        <v>3115.08</v>
      </c>
      <c r="F184" s="20">
        <v>2867.06</v>
      </c>
      <c r="G184" s="20">
        <v>2609.13</v>
      </c>
      <c r="H184" s="20">
        <v>2311.5100000000002</v>
      </c>
      <c r="I184" s="20">
        <v>2083.33</v>
      </c>
      <c r="J184" s="20">
        <v>1865.08</v>
      </c>
      <c r="K184" s="20">
        <v>1696.43</v>
      </c>
      <c r="L184" s="198">
        <v>1547.62</v>
      </c>
      <c r="M184" s="2"/>
    </row>
    <row r="185" spans="1:28" ht="15" customHeight="1">
      <c r="A185" s="200">
        <v>31</v>
      </c>
      <c r="B185" s="59">
        <v>5</v>
      </c>
      <c r="C185" s="20">
        <v>4186.51</v>
      </c>
      <c r="D185" s="20">
        <v>4017.86</v>
      </c>
      <c r="E185" s="20">
        <v>3759.92</v>
      </c>
      <c r="F185" s="20">
        <v>3472.22</v>
      </c>
      <c r="G185" s="20">
        <v>3184.52</v>
      </c>
      <c r="H185" s="20">
        <v>2867.06</v>
      </c>
      <c r="I185" s="20">
        <v>2619.0500000000002</v>
      </c>
      <c r="J185" s="20">
        <v>2380.9499999999998</v>
      </c>
      <c r="K185" s="26">
        <v>2162.6999999999998</v>
      </c>
      <c r="L185" s="204">
        <v>2013.89</v>
      </c>
      <c r="M185" s="2"/>
    </row>
    <row r="186" spans="1:28" ht="15" customHeight="1">
      <c r="A186" s="177">
        <v>32</v>
      </c>
      <c r="B186" s="178">
        <v>1</v>
      </c>
      <c r="C186" s="206"/>
      <c r="D186" s="206"/>
      <c r="E186" s="206"/>
      <c r="F186" s="206"/>
      <c r="G186" s="194">
        <v>2054</v>
      </c>
      <c r="H186" s="206"/>
      <c r="I186" s="206"/>
      <c r="J186" s="207"/>
      <c r="K186" s="2"/>
      <c r="L186" s="2"/>
    </row>
    <row r="187" spans="1:28" ht="15" customHeight="1">
      <c r="A187" s="174">
        <v>32</v>
      </c>
      <c r="B187" s="179">
        <v>2</v>
      </c>
      <c r="C187" s="2">
        <v>4652.4059999999999</v>
      </c>
      <c r="D187" s="2">
        <v>4625.6679999999997</v>
      </c>
      <c r="E187" s="2">
        <v>4318.1819999999998</v>
      </c>
      <c r="F187" s="2">
        <v>3910.4279999999999</v>
      </c>
      <c r="G187" s="2">
        <v>2627.0050000000001</v>
      </c>
      <c r="H187" s="2">
        <v>1664.4390000000001</v>
      </c>
      <c r="I187" s="2">
        <v>1076.203</v>
      </c>
      <c r="J187" s="208">
        <v>755.34799999999996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8" ht="15" customHeight="1">
      <c r="A188" s="201">
        <v>33</v>
      </c>
      <c r="B188" s="178">
        <v>1</v>
      </c>
      <c r="C188" s="206">
        <v>0.16500000000000001</v>
      </c>
      <c r="D188" s="206">
        <v>0.44700000000000001</v>
      </c>
      <c r="E188" s="206">
        <v>1.099</v>
      </c>
      <c r="F188" s="206">
        <v>1.9350000000000001</v>
      </c>
      <c r="G188" s="206">
        <v>4.4480000000000004</v>
      </c>
      <c r="H188" s="206">
        <v>6.8570000000000002</v>
      </c>
      <c r="I188" s="206">
        <v>10.928000000000001</v>
      </c>
      <c r="J188" s="206">
        <v>14.746</v>
      </c>
      <c r="K188" s="206">
        <v>20.571000000000002</v>
      </c>
      <c r="L188" s="206">
        <v>25.969000000000001</v>
      </c>
      <c r="M188" s="206">
        <v>32.783999999999999</v>
      </c>
      <c r="N188" s="206">
        <v>50.537999999999997</v>
      </c>
      <c r="O188" s="206">
        <v>92.013999999999996</v>
      </c>
      <c r="P188" s="206">
        <v>156.74</v>
      </c>
      <c r="Q188" s="206">
        <v>315.35199999999998</v>
      </c>
      <c r="R188" s="206">
        <v>724.83799999999997</v>
      </c>
      <c r="S188" s="206">
        <v>1155.183</v>
      </c>
      <c r="T188" s="206">
        <v>2484.1669999999999</v>
      </c>
      <c r="U188" s="206">
        <v>4231.6139999999996</v>
      </c>
      <c r="V188" s="206">
        <v>6309.5730000000003</v>
      </c>
      <c r="W188" s="206">
        <v>10055.638000000001</v>
      </c>
      <c r="X188" s="206">
        <v>15501.062</v>
      </c>
      <c r="Y188" s="206">
        <v>36835.372000000003</v>
      </c>
      <c r="Z188" s="206">
        <v>71683.91</v>
      </c>
      <c r="AA188" s="207">
        <v>245675.272</v>
      </c>
      <c r="AB188" s="2"/>
    </row>
    <row r="189" spans="1:28" ht="15" customHeight="1">
      <c r="A189" s="200">
        <v>33</v>
      </c>
      <c r="B189" s="179">
        <v>2</v>
      </c>
      <c r="C189" s="2">
        <v>1.028</v>
      </c>
      <c r="D189" s="2">
        <v>2.4430000000000001</v>
      </c>
      <c r="E189" s="2">
        <v>4.5990000000000002</v>
      </c>
      <c r="F189" s="2">
        <v>8.657</v>
      </c>
      <c r="G189" s="2">
        <v>14.746</v>
      </c>
      <c r="H189" s="2">
        <v>28.696999999999999</v>
      </c>
      <c r="I189" s="2">
        <v>54.017000000000003</v>
      </c>
      <c r="J189" s="2">
        <v>101.678</v>
      </c>
      <c r="K189" s="2">
        <v>226.05600000000001</v>
      </c>
      <c r="L189" s="2">
        <v>398.10700000000003</v>
      </c>
      <c r="M189" s="2">
        <v>655.94500000000005</v>
      </c>
      <c r="N189" s="2">
        <v>1117.3589999999999</v>
      </c>
      <c r="O189" s="2">
        <v>2174.4499999999998</v>
      </c>
      <c r="P189" s="2">
        <v>3829.4160000000002</v>
      </c>
      <c r="Q189" s="2">
        <v>5342.0860000000002</v>
      </c>
      <c r="R189" s="2">
        <v>7452.28</v>
      </c>
      <c r="S189" s="2">
        <v>10396.029</v>
      </c>
      <c r="T189" s="2">
        <v>16025.784</v>
      </c>
      <c r="U189" s="2">
        <v>24704.216</v>
      </c>
      <c r="V189" s="2">
        <v>31187.165000000001</v>
      </c>
      <c r="W189" s="2">
        <v>103385.071</v>
      </c>
      <c r="X189" s="2">
        <v>114243.454</v>
      </c>
      <c r="Y189" s="2">
        <v>130515.66800000001</v>
      </c>
      <c r="Z189" s="2">
        <v>139501.31899999999</v>
      </c>
      <c r="AA189" s="208">
        <v>188234.31400000001</v>
      </c>
      <c r="AB189" s="2"/>
    </row>
    <row r="190" spans="1:28" ht="15" customHeight="1">
      <c r="A190" s="200">
        <v>33</v>
      </c>
      <c r="B190" s="179">
        <v>3</v>
      </c>
      <c r="C190" s="2">
        <v>1.4830000000000001</v>
      </c>
      <c r="D190" s="2">
        <v>3.2970000000000002</v>
      </c>
      <c r="E190" s="2">
        <v>6.415</v>
      </c>
      <c r="F190" s="2">
        <v>12.907999999999999</v>
      </c>
      <c r="G190" s="2">
        <v>21.986999999999998</v>
      </c>
      <c r="H190" s="2">
        <v>44.237000000000002</v>
      </c>
      <c r="I190" s="2">
        <v>77.905000000000001</v>
      </c>
      <c r="J190" s="2">
        <v>146.64400000000001</v>
      </c>
      <c r="K190" s="2">
        <v>218.655</v>
      </c>
      <c r="L190" s="2">
        <v>385.072</v>
      </c>
      <c r="M190" s="2">
        <v>634.46799999999996</v>
      </c>
      <c r="N190" s="2">
        <v>1319.72</v>
      </c>
      <c r="O190" s="2">
        <v>2103.2530000000002</v>
      </c>
      <c r="P190" s="2">
        <v>3465.4450000000002</v>
      </c>
      <c r="Q190" s="2">
        <v>6743.9709999999995</v>
      </c>
      <c r="R190" s="2">
        <v>9726.393</v>
      </c>
      <c r="S190" s="2">
        <v>15501.062</v>
      </c>
      <c r="T190" s="2">
        <v>25540.472000000002</v>
      </c>
      <c r="U190" s="2">
        <v>34462.707999999999</v>
      </c>
      <c r="V190" s="2">
        <v>46501.811999999998</v>
      </c>
      <c r="W190" s="2">
        <v>118110.67600000001</v>
      </c>
      <c r="X190" s="2">
        <v>134933.71599999999</v>
      </c>
      <c r="Y190" s="2">
        <v>176109.641</v>
      </c>
      <c r="Z190" s="2">
        <v>194606.179</v>
      </c>
      <c r="AA190" s="208">
        <v>237631.28400000001</v>
      </c>
      <c r="AB190" s="2"/>
    </row>
    <row r="191" spans="1:28" ht="15" customHeight="1">
      <c r="A191" s="200">
        <v>33</v>
      </c>
      <c r="B191" s="179">
        <v>4</v>
      </c>
      <c r="C191" s="2">
        <v>1234.7139999999999</v>
      </c>
      <c r="D191" s="2">
        <v>1117.3589999999999</v>
      </c>
      <c r="E191" s="2">
        <v>1364.394</v>
      </c>
      <c r="F191" s="2">
        <v>1458.329</v>
      </c>
      <c r="G191" s="2">
        <v>1611.4949999999999</v>
      </c>
      <c r="H191" s="2">
        <v>1780.748</v>
      </c>
      <c r="I191" s="2">
        <v>1967.777</v>
      </c>
      <c r="J191" s="2">
        <v>2484.1669999999999</v>
      </c>
      <c r="K191" s="2">
        <v>3033.386</v>
      </c>
      <c r="L191" s="2">
        <v>3465.4450000000002</v>
      </c>
      <c r="M191" s="2">
        <v>4522.9489999999996</v>
      </c>
      <c r="N191" s="2">
        <v>5522.9189999999999</v>
      </c>
      <c r="O191" s="2">
        <v>8234.982</v>
      </c>
      <c r="P191" s="2">
        <v>10396.029</v>
      </c>
      <c r="Q191" s="2">
        <v>13568.446</v>
      </c>
      <c r="R191" s="2">
        <v>21624.186000000002</v>
      </c>
      <c r="S191" s="2">
        <v>28222.95</v>
      </c>
      <c r="T191" s="2">
        <v>39371.387999999999</v>
      </c>
      <c r="U191" s="2">
        <v>53125.277000000002</v>
      </c>
      <c r="V191" s="2">
        <v>64870.642</v>
      </c>
      <c r="W191" s="2">
        <v>93558.733999999997</v>
      </c>
      <c r="X191" s="30">
        <v>106884.73</v>
      </c>
      <c r="Y191" s="30">
        <v>130515.66800000001</v>
      </c>
      <c r="Z191" s="30">
        <v>144223.538</v>
      </c>
      <c r="AA191" s="209">
        <v>144223.538</v>
      </c>
      <c r="AB191" s="2"/>
    </row>
    <row r="192" spans="1:28" ht="15" customHeight="1">
      <c r="A192" s="177">
        <v>34</v>
      </c>
      <c r="B192" s="178">
        <v>1</v>
      </c>
      <c r="C192" s="206">
        <v>12.914999999999999</v>
      </c>
      <c r="D192" s="206">
        <v>16.238</v>
      </c>
      <c r="E192" s="206">
        <v>23.045000000000002</v>
      </c>
      <c r="F192" s="206">
        <v>34.515000000000001</v>
      </c>
      <c r="G192" s="206">
        <v>50.322000000000003</v>
      </c>
      <c r="H192" s="206">
        <v>79.540000000000006</v>
      </c>
      <c r="I192" s="206">
        <v>130.90600000000001</v>
      </c>
      <c r="J192" s="206">
        <v>224.32499999999999</v>
      </c>
      <c r="K192" s="206">
        <v>394.904</v>
      </c>
      <c r="L192" s="206">
        <v>676.721</v>
      </c>
      <c r="M192" s="206">
        <v>1191.306</v>
      </c>
      <c r="N192" s="206">
        <v>2125.6190000000001</v>
      </c>
      <c r="O192" s="206">
        <v>3593.8139999999999</v>
      </c>
      <c r="P192" s="206">
        <v>6076.1109999999999</v>
      </c>
      <c r="Q192" s="206">
        <v>10135.565000000001</v>
      </c>
      <c r="R192" s="206">
        <v>15386.311</v>
      </c>
      <c r="S192" s="206">
        <v>23994.79</v>
      </c>
      <c r="T192" s="206">
        <v>34515.303</v>
      </c>
      <c r="U192" s="206">
        <v>54555.947999999997</v>
      </c>
      <c r="V192" s="207">
        <v>78475.997000000003</v>
      </c>
      <c r="W192" s="206"/>
      <c r="X192" s="2"/>
      <c r="Y192" s="2"/>
      <c r="Z192" s="2"/>
      <c r="AA192" s="2"/>
    </row>
    <row r="193" spans="1:35" ht="15" customHeight="1">
      <c r="A193" s="174">
        <v>34</v>
      </c>
      <c r="B193" s="179">
        <v>2</v>
      </c>
      <c r="C193" s="2">
        <v>35.314</v>
      </c>
      <c r="D193" s="2">
        <v>46.612000000000002</v>
      </c>
      <c r="E193" s="2">
        <v>60.752000000000002</v>
      </c>
      <c r="F193" s="2">
        <v>83.281000000000006</v>
      </c>
      <c r="G193" s="2">
        <v>120.075</v>
      </c>
      <c r="H193" s="2">
        <v>173.124</v>
      </c>
      <c r="I193" s="2">
        <v>272.65699999999998</v>
      </c>
      <c r="J193" s="2">
        <v>440.38799999999998</v>
      </c>
      <c r="K193" s="2">
        <v>702.38499999999999</v>
      </c>
      <c r="L193" s="2">
        <v>1134.4739999999999</v>
      </c>
      <c r="M193" s="2">
        <v>1764.3119999999999</v>
      </c>
      <c r="N193" s="2">
        <v>2709.422</v>
      </c>
      <c r="O193" s="2">
        <v>3487.1109999999999</v>
      </c>
      <c r="P193" s="2">
        <v>4488.0200000000004</v>
      </c>
      <c r="Q193" s="2">
        <v>5423.0870000000004</v>
      </c>
      <c r="R193" s="2">
        <v>7248.9309999999996</v>
      </c>
      <c r="S193" s="2">
        <v>9448.0560000000005</v>
      </c>
      <c r="T193" s="2">
        <v>13116.206</v>
      </c>
      <c r="U193" s="2">
        <v>22564.445</v>
      </c>
      <c r="V193" s="208">
        <v>44597.968000000001</v>
      </c>
      <c r="W193" s="2"/>
      <c r="X193" s="2"/>
    </row>
    <row r="194" spans="1:35" ht="15" customHeight="1">
      <c r="A194" s="174">
        <v>34</v>
      </c>
      <c r="B194" s="179">
        <v>3</v>
      </c>
      <c r="C194" s="2">
        <v>90.447999999999993</v>
      </c>
      <c r="D194" s="2">
        <v>112.73</v>
      </c>
      <c r="E194" s="2">
        <v>151.857</v>
      </c>
      <c r="F194" s="2">
        <v>212.67099999999999</v>
      </c>
      <c r="G194" s="2">
        <v>290.221</v>
      </c>
      <c r="H194" s="2">
        <v>417.11200000000002</v>
      </c>
      <c r="I194" s="2">
        <v>599.48400000000004</v>
      </c>
      <c r="J194" s="2">
        <v>872.827</v>
      </c>
      <c r="K194" s="2">
        <v>1321.163</v>
      </c>
      <c r="L194" s="2">
        <v>2025.865</v>
      </c>
      <c r="M194" s="2">
        <v>3027.002</v>
      </c>
      <c r="N194" s="2">
        <v>4641.5889999999999</v>
      </c>
      <c r="O194" s="2">
        <v>6935.3590000000004</v>
      </c>
      <c r="P194" s="2">
        <v>10634.643</v>
      </c>
      <c r="Q194" s="2">
        <v>15284.37</v>
      </c>
      <c r="R194" s="2">
        <v>20857.807000000001</v>
      </c>
      <c r="S194" s="2">
        <v>28097.252</v>
      </c>
      <c r="T194" s="2">
        <v>36406.71</v>
      </c>
      <c r="U194" s="2">
        <v>40908.574000000001</v>
      </c>
      <c r="V194" s="208"/>
      <c r="W194" s="2"/>
      <c r="X194" s="2"/>
    </row>
    <row r="195" spans="1:35" ht="15" customHeight="1">
      <c r="A195" s="174">
        <v>34</v>
      </c>
      <c r="B195" s="179">
        <v>4</v>
      </c>
      <c r="C195" s="2">
        <v>3445.652</v>
      </c>
      <c r="D195" s="2">
        <v>4025.1489999999999</v>
      </c>
      <c r="E195" s="2">
        <v>4825.5219999999999</v>
      </c>
      <c r="F195" s="2">
        <v>5422.2209999999995</v>
      </c>
      <c r="G195" s="2">
        <v>6252.6180000000004</v>
      </c>
      <c r="H195" s="2">
        <v>6935.3590000000004</v>
      </c>
      <c r="I195" s="2">
        <v>7894.5559999999996</v>
      </c>
      <c r="J195" s="2">
        <v>9103.5830000000005</v>
      </c>
      <c r="K195" s="2">
        <v>10097.629000000001</v>
      </c>
      <c r="L195" s="2">
        <v>11494.184999999999</v>
      </c>
      <c r="M195" s="2">
        <v>13254.485000000001</v>
      </c>
      <c r="N195" s="2">
        <v>14893.466</v>
      </c>
      <c r="O195" s="2">
        <v>17625.125</v>
      </c>
      <c r="P195" s="2">
        <v>19804.556</v>
      </c>
      <c r="Q195" s="2">
        <v>22837.564999999999</v>
      </c>
      <c r="R195" s="2">
        <v>25661.539000000001</v>
      </c>
      <c r="S195" s="2">
        <v>29591.526999999998</v>
      </c>
      <c r="T195" s="2">
        <v>31165.269</v>
      </c>
      <c r="U195" s="2">
        <v>31571.613000000001</v>
      </c>
      <c r="V195" s="208">
        <v>30368.205000000002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5" ht="15" customHeight="1">
      <c r="A196" s="201">
        <v>35</v>
      </c>
      <c r="B196" s="58">
        <v>1</v>
      </c>
      <c r="C196" s="194">
        <v>0.45</v>
      </c>
      <c r="D196" s="194">
        <v>0.42</v>
      </c>
      <c r="E196" s="194">
        <v>0.41</v>
      </c>
      <c r="F196" s="194">
        <v>0.42</v>
      </c>
      <c r="G196" s="194">
        <v>0.41</v>
      </c>
      <c r="H196" s="194">
        <v>0.46</v>
      </c>
      <c r="I196" s="194">
        <v>0.44</v>
      </c>
      <c r="J196" s="194">
        <v>0.46</v>
      </c>
      <c r="K196" s="194">
        <v>0.5</v>
      </c>
      <c r="L196" s="194">
        <v>0.45</v>
      </c>
      <c r="M196" s="194">
        <v>0.45</v>
      </c>
      <c r="N196" s="194">
        <v>0.55000000000000004</v>
      </c>
      <c r="O196" s="194">
        <v>0.5</v>
      </c>
      <c r="P196" s="194">
        <v>0.45</v>
      </c>
      <c r="Q196" s="194">
        <v>0.44</v>
      </c>
      <c r="R196" s="194">
        <v>0.44</v>
      </c>
      <c r="S196" s="194">
        <v>0.49</v>
      </c>
      <c r="T196" s="194">
        <v>0.49</v>
      </c>
      <c r="U196" s="194">
        <v>0.52</v>
      </c>
      <c r="V196" s="194">
        <v>0.56999999999999995</v>
      </c>
      <c r="W196" s="194">
        <v>0.63</v>
      </c>
      <c r="X196" s="194">
        <v>0.68</v>
      </c>
      <c r="Y196" s="194">
        <v>0.75</v>
      </c>
      <c r="Z196" s="194">
        <v>0.83</v>
      </c>
      <c r="AA196" s="194">
        <v>0.82</v>
      </c>
      <c r="AB196" s="194">
        <v>0.95</v>
      </c>
      <c r="AC196" s="194">
        <v>0.97</v>
      </c>
      <c r="AD196" s="194">
        <v>0.98</v>
      </c>
      <c r="AE196" s="194">
        <v>0.97</v>
      </c>
      <c r="AF196" s="194">
        <v>1.36</v>
      </c>
      <c r="AG196" s="194">
        <v>1.33</v>
      </c>
      <c r="AH196" s="197">
        <v>2.4900000000000002</v>
      </c>
      <c r="AI196" s="2"/>
    </row>
    <row r="197" spans="1:35" ht="15" customHeight="1">
      <c r="A197" s="200">
        <v>35</v>
      </c>
      <c r="B197" s="59">
        <v>2</v>
      </c>
      <c r="C197" s="20">
        <v>0.49</v>
      </c>
      <c r="D197" s="20">
        <v>0.48</v>
      </c>
      <c r="E197" s="20">
        <v>0.48</v>
      </c>
      <c r="F197" s="20">
        <v>0.46</v>
      </c>
      <c r="G197" s="20">
        <v>0.46</v>
      </c>
      <c r="H197" s="20">
        <v>0.43</v>
      </c>
      <c r="I197" s="20">
        <v>0.43</v>
      </c>
      <c r="J197" s="20">
        <v>0.43</v>
      </c>
      <c r="K197" s="20">
        <v>0.47</v>
      </c>
      <c r="L197" s="20">
        <v>0.44</v>
      </c>
      <c r="M197" s="20">
        <v>0.42</v>
      </c>
      <c r="N197" s="20">
        <v>0.43</v>
      </c>
      <c r="O197" s="20">
        <v>0.43</v>
      </c>
      <c r="P197" s="20">
        <v>0.43</v>
      </c>
      <c r="Q197" s="20">
        <v>0.42</v>
      </c>
      <c r="R197" s="20">
        <v>0.48</v>
      </c>
      <c r="S197" s="20">
        <v>0.53</v>
      </c>
      <c r="T197" s="20">
        <v>0.62</v>
      </c>
      <c r="U197" s="20">
        <v>0.56000000000000005</v>
      </c>
      <c r="V197" s="20">
        <v>0.52</v>
      </c>
      <c r="W197" s="20">
        <v>0.49</v>
      </c>
      <c r="X197" s="20">
        <v>0.59</v>
      </c>
      <c r="Y197" s="20">
        <v>0.57999999999999996</v>
      </c>
      <c r="Z197" s="20">
        <v>0.7</v>
      </c>
      <c r="AA197" s="20">
        <v>0.76</v>
      </c>
      <c r="AB197" s="20">
        <v>0.89</v>
      </c>
      <c r="AC197" s="20">
        <v>0.93</v>
      </c>
      <c r="AD197" s="20">
        <v>0.98</v>
      </c>
      <c r="AE197" s="20">
        <v>0.92</v>
      </c>
      <c r="AF197" s="20">
        <v>1.3</v>
      </c>
      <c r="AG197" s="20">
        <v>1.44</v>
      </c>
      <c r="AH197" s="198">
        <v>2.58</v>
      </c>
      <c r="AI197" s="2"/>
    </row>
    <row r="198" spans="1:35" ht="15" customHeight="1">
      <c r="A198" s="200">
        <v>35</v>
      </c>
      <c r="B198" s="59">
        <v>3</v>
      </c>
      <c r="C198" s="20">
        <v>0.16</v>
      </c>
      <c r="D198" s="20">
        <v>0.16</v>
      </c>
      <c r="E198" s="20">
        <v>0.16</v>
      </c>
      <c r="F198" s="20">
        <v>0.16</v>
      </c>
      <c r="G198" s="20">
        <v>0.16</v>
      </c>
      <c r="H198" s="20">
        <v>0.17</v>
      </c>
      <c r="I198" s="20">
        <v>0.17</v>
      </c>
      <c r="J198" s="20">
        <v>0.18</v>
      </c>
      <c r="K198" s="20">
        <v>0.19</v>
      </c>
      <c r="L198" s="20">
        <v>0.2</v>
      </c>
      <c r="M198" s="20">
        <v>0.21</v>
      </c>
      <c r="N198" s="20">
        <v>0.21</v>
      </c>
      <c r="O198" s="20">
        <v>0.22</v>
      </c>
      <c r="P198" s="20">
        <v>0.23</v>
      </c>
      <c r="Q198" s="20">
        <v>0.25</v>
      </c>
      <c r="R198" s="20">
        <v>0.25</v>
      </c>
      <c r="S198" s="20">
        <v>0.24</v>
      </c>
      <c r="T198" s="20">
        <v>0.24</v>
      </c>
      <c r="U198" s="20">
        <v>0.28000000000000003</v>
      </c>
      <c r="V198" s="20">
        <v>0.28000000000000003</v>
      </c>
      <c r="W198" s="20">
        <v>0.31</v>
      </c>
      <c r="X198" s="20">
        <v>0.31</v>
      </c>
      <c r="Y198" s="20">
        <v>0.32</v>
      </c>
      <c r="Z198" s="20">
        <v>0.35</v>
      </c>
      <c r="AA198" s="20">
        <v>0.34</v>
      </c>
      <c r="AB198" s="20">
        <v>0.38</v>
      </c>
      <c r="AC198" s="20">
        <v>0.39</v>
      </c>
      <c r="AD198" s="20">
        <v>0.43</v>
      </c>
      <c r="AE198" s="20">
        <v>0.47</v>
      </c>
      <c r="AF198" s="20">
        <v>0.53</v>
      </c>
      <c r="AG198" s="20">
        <v>0.56999999999999995</v>
      </c>
      <c r="AH198" s="198">
        <v>0.8</v>
      </c>
      <c r="AI198" s="2"/>
    </row>
    <row r="199" spans="1:35" ht="15" customHeight="1">
      <c r="A199" s="202">
        <v>35</v>
      </c>
      <c r="B199" s="203">
        <v>4</v>
      </c>
      <c r="C199" s="26">
        <v>1.04</v>
      </c>
      <c r="D199" s="26">
        <v>1.06</v>
      </c>
      <c r="E199" s="26">
        <v>0.98</v>
      </c>
      <c r="F199" s="26">
        <v>0.98</v>
      </c>
      <c r="G199" s="26">
        <v>1.19</v>
      </c>
      <c r="H199" s="26">
        <v>1.25</v>
      </c>
      <c r="I199" s="26">
        <v>1.1299999999999999</v>
      </c>
      <c r="J199" s="26">
        <v>1.22</v>
      </c>
      <c r="K199" s="26">
        <v>1.38</v>
      </c>
      <c r="L199" s="26">
        <v>1.36</v>
      </c>
      <c r="M199" s="26">
        <v>1.38</v>
      </c>
      <c r="N199" s="26">
        <v>1.53</v>
      </c>
      <c r="O199" s="26">
        <v>1.44</v>
      </c>
      <c r="P199" s="26">
        <v>1.53</v>
      </c>
      <c r="Q199" s="26">
        <v>1.67</v>
      </c>
      <c r="R199" s="26">
        <v>1.66</v>
      </c>
      <c r="S199" s="26">
        <v>1.7</v>
      </c>
      <c r="T199" s="26">
        <v>1.66</v>
      </c>
      <c r="U199" s="26">
        <v>1.81</v>
      </c>
      <c r="V199" s="26">
        <v>1.61</v>
      </c>
      <c r="W199" s="26">
        <v>1.7</v>
      </c>
      <c r="X199" s="26">
        <v>1.83</v>
      </c>
      <c r="Y199" s="26">
        <v>1.72</v>
      </c>
      <c r="Z199" s="26">
        <v>1.67</v>
      </c>
      <c r="AA199" s="26">
        <v>1.88</v>
      </c>
      <c r="AB199" s="26">
        <v>2.0099999999999998</v>
      </c>
      <c r="AC199" s="26">
        <v>2.2599999999999998</v>
      </c>
      <c r="AD199" s="26">
        <v>2.74</v>
      </c>
      <c r="AE199" s="26">
        <v>2.84</v>
      </c>
      <c r="AF199" s="26">
        <v>3.25</v>
      </c>
      <c r="AG199" s="26">
        <v>4.2</v>
      </c>
      <c r="AH199" s="204">
        <v>5.38</v>
      </c>
      <c r="AI199" s="2"/>
    </row>
    <row r="200" spans="1:35" ht="15" customHeight="1">
      <c r="A200" s="200">
        <v>36</v>
      </c>
      <c r="B200" s="59">
        <v>1</v>
      </c>
      <c r="C200" s="139">
        <v>4.0170000000000003</v>
      </c>
      <c r="D200" s="139">
        <v>3.4380000000000002</v>
      </c>
      <c r="E200" s="139">
        <v>2.5880000000000001</v>
      </c>
      <c r="F200" s="139">
        <v>1.9830000000000001</v>
      </c>
      <c r="G200" s="139">
        <v>1.5449999999999999</v>
      </c>
      <c r="H200" s="139">
        <v>1.3260000000000001</v>
      </c>
      <c r="I200" s="20">
        <v>0.96599999999999997</v>
      </c>
      <c r="J200" s="20">
        <v>0.60499999999999998</v>
      </c>
      <c r="K200" s="20">
        <v>0.38600000000000001</v>
      </c>
      <c r="L200" s="20">
        <v>0.309</v>
      </c>
      <c r="M200" s="20">
        <v>0.219</v>
      </c>
      <c r="N200" s="198">
        <v>0.14199999999999999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5" ht="15" customHeight="1">
      <c r="A201" s="200">
        <v>36</v>
      </c>
      <c r="B201" s="59">
        <v>2</v>
      </c>
      <c r="C201" s="139">
        <v>8.343</v>
      </c>
      <c r="D201" s="139">
        <v>8.0730000000000004</v>
      </c>
      <c r="E201" s="139">
        <v>7.532</v>
      </c>
      <c r="F201" s="139">
        <v>6.1159999999999997</v>
      </c>
      <c r="G201" s="139">
        <v>4.9180000000000001</v>
      </c>
      <c r="H201" s="139">
        <v>4.1970000000000001</v>
      </c>
      <c r="I201" s="20">
        <v>3.27</v>
      </c>
      <c r="J201" s="139">
        <v>2.2919999999999998</v>
      </c>
      <c r="K201" s="139">
        <v>1.7769999999999999</v>
      </c>
      <c r="L201" s="139">
        <v>1.3779999999999999</v>
      </c>
      <c r="M201" s="139">
        <v>1.0169999999999999</v>
      </c>
      <c r="N201" s="198">
        <v>0.502</v>
      </c>
      <c r="O201" s="2"/>
    </row>
    <row r="202" spans="1:35" ht="15" customHeight="1">
      <c r="A202" s="200">
        <v>36</v>
      </c>
      <c r="B202" s="59">
        <v>3</v>
      </c>
      <c r="C202" s="139">
        <v>5.3819999999999997</v>
      </c>
      <c r="D202" s="139">
        <v>4.8029999999999999</v>
      </c>
      <c r="E202" s="20">
        <v>3.85</v>
      </c>
      <c r="F202" s="139">
        <v>3.258</v>
      </c>
      <c r="G202" s="139">
        <v>2.742</v>
      </c>
      <c r="H202" s="139">
        <v>2.2269999999999999</v>
      </c>
      <c r="I202" s="139">
        <v>1.609</v>
      </c>
      <c r="J202" s="139">
        <v>1.1970000000000001</v>
      </c>
      <c r="K202" s="20">
        <v>0.94</v>
      </c>
      <c r="L202" s="20">
        <v>0.72099999999999997</v>
      </c>
      <c r="M202" s="20">
        <v>0.51500000000000001</v>
      </c>
      <c r="N202" s="198">
        <v>0.33500000000000002</v>
      </c>
      <c r="O202" s="2"/>
    </row>
    <row r="203" spans="1:35" ht="15" customHeight="1">
      <c r="A203" s="200">
        <v>36</v>
      </c>
      <c r="B203" s="59">
        <v>4</v>
      </c>
      <c r="C203" s="139">
        <v>7.4029999999999996</v>
      </c>
      <c r="D203" s="139">
        <v>7.1970000000000001</v>
      </c>
      <c r="E203" s="139">
        <v>6.6950000000000003</v>
      </c>
      <c r="F203" s="139">
        <v>5.524</v>
      </c>
      <c r="G203" s="139">
        <v>4.4160000000000004</v>
      </c>
      <c r="H203" s="139">
        <v>3.7730000000000001</v>
      </c>
      <c r="I203" s="20">
        <v>2.82</v>
      </c>
      <c r="J203" s="139">
        <v>2112</v>
      </c>
      <c r="K203" s="139">
        <v>1.6479999999999999</v>
      </c>
      <c r="L203" s="139">
        <v>1.236</v>
      </c>
      <c r="M203" s="20">
        <v>0.88800000000000001</v>
      </c>
      <c r="N203" s="198">
        <v>0.45100000000000001</v>
      </c>
      <c r="O203" s="2"/>
    </row>
    <row r="204" spans="1:35" ht="15" customHeight="1">
      <c r="A204" s="201">
        <v>37</v>
      </c>
      <c r="B204" s="178">
        <v>1</v>
      </c>
      <c r="C204" s="206">
        <v>3774.82</v>
      </c>
      <c r="D204" s="206">
        <v>3498.5610000000001</v>
      </c>
      <c r="E204" s="206">
        <v>3135.971</v>
      </c>
      <c r="F204" s="206">
        <v>2796.4029999999998</v>
      </c>
      <c r="G204" s="206">
        <v>2537.41</v>
      </c>
      <c r="H204" s="206">
        <v>2261.1509999999998</v>
      </c>
      <c r="I204" s="206">
        <v>1921.5830000000001</v>
      </c>
      <c r="J204" s="206">
        <v>1570.5039999999999</v>
      </c>
      <c r="K204" s="206">
        <v>1288.489</v>
      </c>
      <c r="L204" s="206">
        <v>1023.741</v>
      </c>
      <c r="M204" s="206">
        <v>799.28099999999995</v>
      </c>
      <c r="N204" s="206">
        <v>551.79899999999998</v>
      </c>
      <c r="O204" s="207">
        <v>402.15800000000002</v>
      </c>
      <c r="P204" s="2"/>
    </row>
    <row r="205" spans="1:35" ht="15" customHeight="1">
      <c r="A205" s="200">
        <v>37</v>
      </c>
      <c r="B205" s="179">
        <v>2</v>
      </c>
      <c r="C205" s="2">
        <v>3820.8629999999998</v>
      </c>
      <c r="D205" s="2">
        <v>3579.1370000000002</v>
      </c>
      <c r="E205" s="2">
        <v>3245.3240000000001</v>
      </c>
      <c r="F205" s="2">
        <v>2934.5320000000002</v>
      </c>
      <c r="G205" s="2">
        <v>2664.029</v>
      </c>
      <c r="H205" s="2">
        <v>2416.547</v>
      </c>
      <c r="I205" s="2">
        <v>2094.2449999999999</v>
      </c>
      <c r="J205" s="2">
        <v>1714.3879999999999</v>
      </c>
      <c r="K205" s="2">
        <v>1403.597</v>
      </c>
      <c r="L205" s="2">
        <v>1138.8489999999999</v>
      </c>
      <c r="M205" s="2">
        <v>885.61199999999997</v>
      </c>
      <c r="N205" s="2">
        <v>592.08600000000001</v>
      </c>
      <c r="O205" s="208"/>
      <c r="P205" s="2"/>
    </row>
    <row r="206" spans="1:35" ht="15" customHeight="1">
      <c r="A206" s="200">
        <v>37</v>
      </c>
      <c r="B206" s="179">
        <v>3</v>
      </c>
      <c r="C206" s="2">
        <v>3475.54</v>
      </c>
      <c r="D206" s="2">
        <v>3302.8780000000002</v>
      </c>
      <c r="E206" s="2">
        <v>2974.82</v>
      </c>
      <c r="F206" s="2">
        <v>2652.518</v>
      </c>
      <c r="G206" s="2">
        <v>2376.259</v>
      </c>
      <c r="H206" s="2">
        <v>2140.288</v>
      </c>
      <c r="I206" s="2">
        <v>1829.4960000000001</v>
      </c>
      <c r="J206" s="2">
        <v>1478.4169999999999</v>
      </c>
      <c r="K206" s="2">
        <v>1173.3810000000001</v>
      </c>
      <c r="L206" s="2">
        <v>879.85599999999999</v>
      </c>
      <c r="M206" s="2">
        <v>563.30899999999997</v>
      </c>
      <c r="N206" s="2">
        <v>356.11500000000001</v>
      </c>
      <c r="O206" s="208"/>
      <c r="P206" s="2"/>
    </row>
    <row r="207" spans="1:35" ht="15" customHeight="1">
      <c r="A207" s="200">
        <v>37</v>
      </c>
      <c r="B207" s="179">
        <v>4</v>
      </c>
      <c r="C207" s="2">
        <v>3999.2809999999999</v>
      </c>
      <c r="D207" s="2">
        <v>3820.8629999999998</v>
      </c>
      <c r="E207" s="2">
        <v>3481.2950000000001</v>
      </c>
      <c r="F207" s="2">
        <v>3124.46</v>
      </c>
      <c r="G207" s="2">
        <v>2836.6909999999998</v>
      </c>
      <c r="H207" s="2">
        <v>2589.2089999999998</v>
      </c>
      <c r="I207" s="2">
        <v>2232.3739999999998</v>
      </c>
      <c r="J207" s="2">
        <v>1846.7629999999999</v>
      </c>
      <c r="K207" s="2">
        <v>1564.748</v>
      </c>
      <c r="L207" s="2">
        <v>1265.4680000000001</v>
      </c>
      <c r="M207" s="2">
        <v>1052.518</v>
      </c>
      <c r="N207" s="2">
        <v>822.30200000000002</v>
      </c>
      <c r="O207" s="208">
        <v>523.02200000000005</v>
      </c>
      <c r="P207" s="2"/>
    </row>
    <row r="208" spans="1:35" ht="15" customHeight="1">
      <c r="A208" s="200">
        <v>37</v>
      </c>
      <c r="B208" s="179">
        <v>5</v>
      </c>
      <c r="C208" s="2">
        <v>3653.9569999999999</v>
      </c>
      <c r="D208" s="2">
        <v>3510.0720000000001</v>
      </c>
      <c r="E208" s="2">
        <v>3205.0360000000001</v>
      </c>
      <c r="F208" s="2">
        <v>2894.2449999999999</v>
      </c>
      <c r="G208" s="2">
        <v>2612.23</v>
      </c>
      <c r="H208" s="2">
        <v>2393.5250000000001</v>
      </c>
      <c r="I208" s="2">
        <v>2082.7339999999999</v>
      </c>
      <c r="J208" s="2">
        <v>1708.633</v>
      </c>
      <c r="K208" s="2">
        <v>1426.6189999999999</v>
      </c>
      <c r="L208" s="2">
        <v>1069.7840000000001</v>
      </c>
      <c r="M208" s="2">
        <v>701.43899999999996</v>
      </c>
      <c r="N208" s="2">
        <v>448.20100000000002</v>
      </c>
      <c r="O208" s="208">
        <v>287.05</v>
      </c>
      <c r="P208" s="2"/>
    </row>
    <row r="209" spans="1:16" ht="15" customHeight="1">
      <c r="A209" s="200">
        <v>37</v>
      </c>
      <c r="B209" s="179">
        <v>6</v>
      </c>
      <c r="C209" s="2">
        <v>4315.8270000000002</v>
      </c>
      <c r="D209" s="2">
        <v>4171.942</v>
      </c>
      <c r="E209" s="2">
        <v>3838.1289999999999</v>
      </c>
      <c r="F209" s="2">
        <v>3475.54</v>
      </c>
      <c r="G209" s="2">
        <v>3130.2159999999999</v>
      </c>
      <c r="H209" s="2">
        <v>2848.201</v>
      </c>
      <c r="I209" s="2">
        <v>2479.8560000000002</v>
      </c>
      <c r="J209" s="2">
        <v>2036.691</v>
      </c>
      <c r="K209" s="2">
        <v>1593.5250000000001</v>
      </c>
      <c r="L209" s="2">
        <v>1017.986</v>
      </c>
      <c r="M209" s="2">
        <v>626.61900000000003</v>
      </c>
      <c r="N209" s="2">
        <v>384.892</v>
      </c>
      <c r="O209" s="208"/>
      <c r="P209" s="2"/>
    </row>
    <row r="210" spans="1:16" ht="15" customHeight="1">
      <c r="A210" s="202">
        <v>37</v>
      </c>
      <c r="B210" s="180">
        <v>7</v>
      </c>
      <c r="C210" s="30">
        <v>3918.7049999999999</v>
      </c>
      <c r="D210" s="30">
        <v>3746.0430000000001</v>
      </c>
      <c r="E210" s="30">
        <v>3458.2730000000001</v>
      </c>
      <c r="F210" s="30">
        <v>3158.9929999999999</v>
      </c>
      <c r="G210" s="30">
        <v>2923.0219999999999</v>
      </c>
      <c r="H210" s="30">
        <v>2692.806</v>
      </c>
      <c r="I210" s="30">
        <v>2428.058</v>
      </c>
      <c r="J210" s="30">
        <v>2030.9349999999999</v>
      </c>
      <c r="K210" s="30">
        <v>1668.345</v>
      </c>
      <c r="L210" s="30">
        <v>1305.7550000000001</v>
      </c>
      <c r="M210" s="30">
        <v>1029.4960000000001</v>
      </c>
      <c r="N210" s="30">
        <v>810.79100000000005</v>
      </c>
      <c r="O210" s="209">
        <v>643.88499999999999</v>
      </c>
      <c r="P210" s="2"/>
    </row>
    <row r="211" spans="1:16" ht="15" customHeight="1">
      <c r="A211" s="201">
        <v>38</v>
      </c>
      <c r="B211" s="58">
        <v>1</v>
      </c>
      <c r="C211" s="2"/>
      <c r="D211" s="2"/>
      <c r="E211" s="94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6" ht="15" customHeight="1">
      <c r="A212" s="200">
        <v>38</v>
      </c>
      <c r="B212" s="59">
        <v>2</v>
      </c>
      <c r="E212" s="94"/>
    </row>
    <row r="213" spans="1:16" ht="15" customHeight="1">
      <c r="A213" s="200">
        <v>38</v>
      </c>
      <c r="B213" s="59">
        <v>3</v>
      </c>
      <c r="E213" s="94"/>
    </row>
    <row r="214" spans="1:16" ht="15" customHeight="1">
      <c r="A214" s="200">
        <v>38</v>
      </c>
      <c r="B214" s="59">
        <v>4</v>
      </c>
    </row>
    <row r="215" spans="1:16" ht="15" customHeight="1">
      <c r="A215" s="200">
        <v>38</v>
      </c>
      <c r="B215" s="59">
        <v>5</v>
      </c>
    </row>
    <row r="216" spans="1:16" ht="15" customHeight="1">
      <c r="A216" s="200">
        <v>38</v>
      </c>
      <c r="B216" s="59">
        <v>6</v>
      </c>
    </row>
    <row r="217" spans="1:16" ht="15" customHeight="1">
      <c r="A217" s="201">
        <v>39</v>
      </c>
      <c r="B217" s="58">
        <v>1</v>
      </c>
    </row>
    <row r="218" spans="1:16" ht="15" customHeight="1">
      <c r="A218" s="200">
        <v>39</v>
      </c>
      <c r="B218" s="59">
        <v>2</v>
      </c>
    </row>
    <row r="219" spans="1:16" ht="15" customHeight="1">
      <c r="A219" s="200">
        <v>39</v>
      </c>
      <c r="B219" s="59">
        <v>3</v>
      </c>
    </row>
    <row r="220" spans="1:16" ht="15" customHeight="1">
      <c r="A220" s="200">
        <v>39</v>
      </c>
      <c r="B220" s="59">
        <v>4</v>
      </c>
    </row>
    <row r="221" spans="1:16" ht="15" customHeight="1">
      <c r="A221" s="200">
        <v>39</v>
      </c>
      <c r="B221" s="59">
        <v>5</v>
      </c>
      <c r="E221" s="94"/>
    </row>
    <row r="222" spans="1:16" ht="15" customHeight="1">
      <c r="A222" s="200">
        <v>39</v>
      </c>
      <c r="B222" s="59">
        <v>6</v>
      </c>
      <c r="E222" s="94"/>
    </row>
    <row r="223" spans="1:16" ht="15" customHeight="1">
      <c r="A223" s="200">
        <v>39</v>
      </c>
      <c r="B223" s="59">
        <v>7</v>
      </c>
      <c r="E223" s="94"/>
    </row>
    <row r="224" spans="1:16" ht="15" customHeight="1">
      <c r="A224" s="200">
        <v>39</v>
      </c>
      <c r="B224" s="59">
        <v>8</v>
      </c>
      <c r="C224" s="2"/>
      <c r="D224" s="2"/>
      <c r="E224" s="94"/>
      <c r="F224" s="2"/>
      <c r="G224" s="2"/>
      <c r="H224" s="2"/>
    </row>
    <row r="225" spans="1:27" ht="15" customHeight="1">
      <c r="A225" s="174">
        <v>41</v>
      </c>
      <c r="B225" s="179">
        <v>1</v>
      </c>
      <c r="C225" s="2">
        <v>0.43099999999999999</v>
      </c>
      <c r="D225" s="2">
        <v>0.82899999999999996</v>
      </c>
      <c r="E225" s="2">
        <v>1.4950000000000001</v>
      </c>
      <c r="F225" s="2">
        <v>2.8140000000000001</v>
      </c>
      <c r="G225" s="2">
        <v>4.8540000000000001</v>
      </c>
      <c r="H225" s="2">
        <v>9.1359999999999992</v>
      </c>
      <c r="I225" s="206">
        <v>15.087999999999999</v>
      </c>
      <c r="J225" s="206">
        <v>27.187999999999999</v>
      </c>
      <c r="K225" s="206">
        <v>45.889000000000003</v>
      </c>
      <c r="L225" s="206">
        <v>79.161000000000001</v>
      </c>
      <c r="M225" s="206">
        <v>152.29300000000001</v>
      </c>
      <c r="N225" s="206">
        <v>257.048</v>
      </c>
      <c r="O225" s="206">
        <v>463.19600000000003</v>
      </c>
      <c r="P225" s="206">
        <v>764.93899999999996</v>
      </c>
      <c r="Q225" s="206">
        <v>1263.248</v>
      </c>
      <c r="R225" s="206">
        <v>1997.1279999999999</v>
      </c>
      <c r="S225" s="206">
        <v>3022.5880000000002</v>
      </c>
      <c r="T225" s="206">
        <v>4475.8919999999998</v>
      </c>
      <c r="U225" s="206">
        <v>7076.15</v>
      </c>
      <c r="V225" s="206">
        <v>10031.207</v>
      </c>
      <c r="W225" s="206">
        <v>14533.880999999999</v>
      </c>
      <c r="X225" s="206">
        <v>21521.982</v>
      </c>
      <c r="Y225" s="206">
        <v>29207.468000000001</v>
      </c>
      <c r="Z225" s="207">
        <v>36325.911</v>
      </c>
      <c r="AA225" s="2"/>
    </row>
    <row r="226" spans="1:27" ht="15" customHeight="1">
      <c r="A226" s="174">
        <v>41</v>
      </c>
      <c r="B226" s="179">
        <v>2</v>
      </c>
      <c r="C226" s="2">
        <v>98.453999999999994</v>
      </c>
      <c r="D226" s="2">
        <v>112.21899999999999</v>
      </c>
      <c r="E226" s="2">
        <v>145.792</v>
      </c>
      <c r="F226" s="2">
        <v>189.41</v>
      </c>
      <c r="G226" s="2">
        <v>230.49</v>
      </c>
      <c r="H226" s="2">
        <v>312.798</v>
      </c>
      <c r="I226" s="2">
        <v>406.37900000000002</v>
      </c>
      <c r="J226" s="2">
        <v>527.95600000000002</v>
      </c>
      <c r="K226" s="2">
        <v>685.90700000000004</v>
      </c>
      <c r="L226" s="2">
        <v>853.07600000000002</v>
      </c>
      <c r="M226" s="2">
        <v>1060.9880000000001</v>
      </c>
      <c r="N226" s="2">
        <v>1471.615</v>
      </c>
      <c r="O226" s="2">
        <v>1830.277</v>
      </c>
      <c r="P226" s="2">
        <v>2326.547</v>
      </c>
      <c r="Q226" s="2">
        <v>3298.1309999999999</v>
      </c>
      <c r="R226" s="2">
        <v>4675.4570000000003</v>
      </c>
      <c r="S226" s="2">
        <v>6208.1679999999997</v>
      </c>
      <c r="T226" s="2">
        <v>7891.4769999999999</v>
      </c>
      <c r="U226" s="2">
        <v>11187.022000000001</v>
      </c>
      <c r="V226" s="2">
        <v>15181.9</v>
      </c>
      <c r="W226" s="2">
        <v>21057.654999999999</v>
      </c>
      <c r="X226" s="2">
        <v>29207.468000000001</v>
      </c>
      <c r="Y226" s="2">
        <v>39637.434999999998</v>
      </c>
      <c r="Z226" s="208">
        <v>47193.656000000003</v>
      </c>
      <c r="AA226" s="2"/>
    </row>
    <row r="227" spans="1:27" ht="15" customHeight="1">
      <c r="A227" s="174">
        <v>41</v>
      </c>
      <c r="B227" s="179">
        <v>3</v>
      </c>
      <c r="C227" s="2">
        <v>1408.8009999999999</v>
      </c>
      <c r="D227" s="2">
        <v>1471.615</v>
      </c>
      <c r="E227" s="2">
        <v>1537.23</v>
      </c>
      <c r="F227" s="2">
        <v>1677.366</v>
      </c>
      <c r="G227" s="2">
        <v>1870.636</v>
      </c>
      <c r="H227" s="2">
        <v>2377.848</v>
      </c>
      <c r="I227" s="2">
        <v>2770.0639999999999</v>
      </c>
      <c r="J227" s="2">
        <v>3521.1509999999998</v>
      </c>
      <c r="K227" s="2">
        <v>4574.5860000000002</v>
      </c>
      <c r="L227" s="2">
        <v>5566.7560000000003</v>
      </c>
      <c r="M227" s="2">
        <v>6774.1139999999996</v>
      </c>
      <c r="N227" s="2">
        <v>8610.8770000000004</v>
      </c>
      <c r="O227" s="2">
        <v>10478.466</v>
      </c>
      <c r="P227" s="2">
        <v>13319.642</v>
      </c>
      <c r="Q227" s="2">
        <v>16931.187000000002</v>
      </c>
      <c r="R227" s="2">
        <v>22481.578000000001</v>
      </c>
      <c r="S227" s="2">
        <v>29207.468000000001</v>
      </c>
      <c r="T227" s="2">
        <v>37126.906999999999</v>
      </c>
      <c r="U227" s="2">
        <v>51495.902000000002</v>
      </c>
      <c r="V227" s="2">
        <v>71426.038</v>
      </c>
      <c r="W227" s="2">
        <v>92794.808999999994</v>
      </c>
      <c r="X227" s="2">
        <v>128708.603</v>
      </c>
      <c r="Y227" s="2">
        <v>163607.209</v>
      </c>
      <c r="Z227" s="208">
        <v>217241.01</v>
      </c>
      <c r="AA227" s="2"/>
    </row>
    <row r="228" spans="1:27" ht="15" customHeight="1">
      <c r="A228" s="174">
        <v>41</v>
      </c>
      <c r="B228" s="179">
        <v>4</v>
      </c>
      <c r="C228" s="2">
        <v>15181.9</v>
      </c>
      <c r="D228" s="2">
        <v>14220.319</v>
      </c>
      <c r="E228" s="2">
        <v>13032.277</v>
      </c>
      <c r="F228" s="2">
        <v>11685.815000000001</v>
      </c>
      <c r="G228" s="2">
        <v>11187.022000000001</v>
      </c>
      <c r="H228" s="2">
        <v>11187.022000000001</v>
      </c>
      <c r="I228" s="2">
        <v>10945.666999999999</v>
      </c>
      <c r="J228" s="2">
        <v>11433.699000000001</v>
      </c>
      <c r="K228" s="2">
        <v>11433.699000000001</v>
      </c>
      <c r="L228" s="2">
        <v>12476.012000000001</v>
      </c>
      <c r="M228" s="2">
        <v>13913.522000000001</v>
      </c>
      <c r="N228" s="2">
        <v>15181.9</v>
      </c>
      <c r="O228" s="2">
        <v>16931.187000000002</v>
      </c>
      <c r="P228" s="2">
        <v>18882.030999999999</v>
      </c>
      <c r="Q228" s="2">
        <v>21521.982</v>
      </c>
      <c r="R228" s="2">
        <v>24001.787</v>
      </c>
      <c r="S228" s="2">
        <v>26189.826000000001</v>
      </c>
      <c r="T228" s="2">
        <v>32572.809000000001</v>
      </c>
      <c r="U228" s="2">
        <v>37126.906999999999</v>
      </c>
      <c r="V228" s="2">
        <v>42317.726999999999</v>
      </c>
      <c r="W228" s="2">
        <v>52631.4</v>
      </c>
      <c r="X228" s="2">
        <v>65458.722000000002</v>
      </c>
      <c r="Y228" s="2">
        <v>101254.124</v>
      </c>
      <c r="Z228" s="208">
        <v>194796.215</v>
      </c>
      <c r="AA228" s="2"/>
    </row>
    <row r="229" spans="1:27" ht="15" customHeight="1">
      <c r="A229" s="174">
        <v>41</v>
      </c>
      <c r="B229" s="179">
        <v>5</v>
      </c>
      <c r="C229" s="2">
        <v>48234.29</v>
      </c>
      <c r="D229" s="2">
        <v>45179.258999999998</v>
      </c>
      <c r="E229" s="2">
        <v>45179.258999999998</v>
      </c>
      <c r="F229" s="2">
        <v>43250.843999999997</v>
      </c>
      <c r="G229" s="2">
        <v>41404.741000000002</v>
      </c>
      <c r="H229" s="2">
        <v>40511.451999999997</v>
      </c>
      <c r="I229" s="2">
        <v>37945.565000000002</v>
      </c>
      <c r="J229" s="2">
        <v>37945.565000000002</v>
      </c>
      <c r="K229" s="2">
        <v>38782.275999999998</v>
      </c>
      <c r="L229" s="2">
        <v>39637.434999999998</v>
      </c>
      <c r="M229" s="2">
        <v>38782.275999999998</v>
      </c>
      <c r="N229" s="2">
        <v>40511.451999999997</v>
      </c>
      <c r="O229" s="2">
        <v>40511.451999999997</v>
      </c>
      <c r="P229" s="2">
        <v>43250.843999999997</v>
      </c>
      <c r="Q229" s="2">
        <v>46175.474000000002</v>
      </c>
      <c r="R229" s="2">
        <v>45179.258999999998</v>
      </c>
      <c r="S229" s="2">
        <v>49297.868999999999</v>
      </c>
      <c r="T229" s="2">
        <v>52631.4</v>
      </c>
      <c r="U229" s="2">
        <v>54978.063999999998</v>
      </c>
      <c r="V229" s="2">
        <v>65458.722000000002</v>
      </c>
      <c r="W229" s="2">
        <v>76255.880999999994</v>
      </c>
      <c r="X229" s="2">
        <v>83207.482000000004</v>
      </c>
      <c r="Y229" s="2">
        <v>203481.54800000001</v>
      </c>
      <c r="Z229" s="208">
        <v>307962.59499999997</v>
      </c>
      <c r="AA229" s="2"/>
    </row>
    <row r="230" spans="1:27" ht="15" customHeight="1">
      <c r="A230" s="174">
        <v>41</v>
      </c>
      <c r="B230" s="179">
        <v>6</v>
      </c>
      <c r="C230" s="2">
        <v>222031.234</v>
      </c>
      <c r="D230" s="2">
        <v>222031.234</v>
      </c>
      <c r="E230" s="2">
        <v>203481.54800000001</v>
      </c>
      <c r="F230" s="2">
        <v>194796.215</v>
      </c>
      <c r="G230" s="2">
        <v>182458.34599999999</v>
      </c>
      <c r="H230" s="2">
        <v>170901.92499999999</v>
      </c>
      <c r="I230" s="2">
        <v>163607.209</v>
      </c>
      <c r="J230" s="2">
        <v>156623.85800000001</v>
      </c>
      <c r="K230" s="2">
        <v>149938.58100000001</v>
      </c>
      <c r="L230" s="2">
        <v>146703.723</v>
      </c>
      <c r="M230" s="2">
        <v>137411.90400000001</v>
      </c>
      <c r="N230" s="2">
        <v>134447.304</v>
      </c>
      <c r="O230" s="2">
        <v>134447.304</v>
      </c>
      <c r="P230" s="2">
        <v>125931.773</v>
      </c>
      <c r="Q230" s="2">
        <v>120556.546</v>
      </c>
      <c r="R230" s="2">
        <v>117955.59299999999</v>
      </c>
      <c r="S230" s="2">
        <v>112920.819</v>
      </c>
      <c r="T230" s="2">
        <v>110484.603</v>
      </c>
      <c r="U230" s="2">
        <v>103486.80499999999</v>
      </c>
      <c r="V230" s="2">
        <v>105768.71799999999</v>
      </c>
      <c r="W230" s="2">
        <v>103486.80499999999</v>
      </c>
      <c r="X230" s="30">
        <v>108100.947</v>
      </c>
      <c r="Y230" s="30">
        <v>237045.02900000001</v>
      </c>
      <c r="Z230" s="209">
        <v>417935.83199999999</v>
      </c>
      <c r="AA230" s="2"/>
    </row>
    <row r="231" spans="1:27" ht="15" customHeight="1">
      <c r="A231" s="177">
        <v>42</v>
      </c>
      <c r="B231" s="178" t="s">
        <v>220</v>
      </c>
      <c r="C231" s="206">
        <v>0.36699999999999999</v>
      </c>
      <c r="D231" s="206">
        <v>0.53600000000000003</v>
      </c>
      <c r="E231" s="206">
        <v>1.1759999999999999</v>
      </c>
      <c r="F231" s="206">
        <v>2.3159999999999998</v>
      </c>
      <c r="G231" s="206">
        <v>3.67</v>
      </c>
      <c r="H231" s="206">
        <v>5.08</v>
      </c>
      <c r="I231" s="206">
        <v>10.557</v>
      </c>
      <c r="J231" s="206">
        <v>21.350999999999999</v>
      </c>
      <c r="K231" s="206">
        <v>45.585000000000001</v>
      </c>
      <c r="L231" s="206">
        <v>108.46599999999999</v>
      </c>
      <c r="M231" s="206">
        <v>251.18899999999999</v>
      </c>
      <c r="N231" s="206">
        <v>521.97199999999998</v>
      </c>
      <c r="O231" s="206">
        <v>1208.796</v>
      </c>
      <c r="P231" s="206">
        <v>2315.826</v>
      </c>
      <c r="Q231" s="206">
        <v>4683.6909999999998</v>
      </c>
      <c r="R231" s="206">
        <v>8973.0720000000001</v>
      </c>
      <c r="S231" s="206">
        <v>15848.932000000001</v>
      </c>
      <c r="T231" s="206">
        <v>28762.294999999998</v>
      </c>
      <c r="U231" s="206">
        <v>46836.91</v>
      </c>
      <c r="V231" s="206">
        <v>100000</v>
      </c>
      <c r="W231" s="207">
        <v>102745.94899999999</v>
      </c>
      <c r="X231" s="2"/>
      <c r="Y231" s="2"/>
      <c r="Z231" s="2"/>
    </row>
    <row r="232" spans="1:27" ht="15" customHeight="1">
      <c r="A232" s="174">
        <v>42</v>
      </c>
      <c r="B232" s="179" t="s">
        <v>221</v>
      </c>
      <c r="C232" s="2">
        <v>1.4610000000000001</v>
      </c>
      <c r="D232" s="2">
        <v>3.67</v>
      </c>
      <c r="E232" s="2">
        <v>6.8440000000000003</v>
      </c>
      <c r="F232" s="2">
        <v>16.283999999999999</v>
      </c>
      <c r="G232" s="2">
        <v>34.768000000000001</v>
      </c>
      <c r="H232" s="2">
        <v>59.768000000000001</v>
      </c>
      <c r="I232" s="2">
        <v>117.649</v>
      </c>
      <c r="J232" s="2">
        <v>191.58099999999999</v>
      </c>
      <c r="K232" s="2">
        <v>303.63600000000002</v>
      </c>
      <c r="L232" s="2">
        <v>431.81099999999998</v>
      </c>
      <c r="M232" s="2">
        <v>703.16800000000001</v>
      </c>
      <c r="N232" s="2">
        <v>1114.4449999999999</v>
      </c>
      <c r="O232" s="2">
        <v>1915.8119999999999</v>
      </c>
      <c r="P232" s="2">
        <v>3572.2449999999999</v>
      </c>
      <c r="Q232" s="2">
        <v>6482.8310000000001</v>
      </c>
      <c r="R232" s="2">
        <v>11764.9</v>
      </c>
      <c r="S232" s="2">
        <v>20780.073</v>
      </c>
      <c r="T232" s="2">
        <v>36703.364999999998</v>
      </c>
      <c r="U232" s="2">
        <v>56616.26</v>
      </c>
      <c r="V232" s="2">
        <v>102745.94899999999</v>
      </c>
      <c r="W232" s="208">
        <v>114504.757</v>
      </c>
      <c r="X232" s="2"/>
    </row>
    <row r="233" spans="1:27" ht="15" customHeight="1">
      <c r="A233" s="174">
        <v>42</v>
      </c>
      <c r="B233" s="179" t="s">
        <v>222</v>
      </c>
      <c r="C233" s="2">
        <v>1241.989</v>
      </c>
      <c r="D233" s="2">
        <v>849.98599999999999</v>
      </c>
      <c r="E233" s="2">
        <v>536.30499999999995</v>
      </c>
      <c r="F233" s="2">
        <v>420.27100000000002</v>
      </c>
      <c r="G233" s="2">
        <v>431.81099999999998</v>
      </c>
      <c r="H233" s="2">
        <v>566.16300000000001</v>
      </c>
      <c r="I233" s="2">
        <v>614.09500000000003</v>
      </c>
      <c r="J233" s="2">
        <v>947.26300000000003</v>
      </c>
      <c r="K233" s="2">
        <v>1208.796</v>
      </c>
      <c r="L233" s="2">
        <v>1719.0719999999999</v>
      </c>
      <c r="M233" s="2">
        <v>2651.7310000000002</v>
      </c>
      <c r="N233" s="2">
        <v>3981.0720000000001</v>
      </c>
      <c r="O233" s="2">
        <v>6843.75</v>
      </c>
      <c r="P233" s="2">
        <v>11144.455</v>
      </c>
      <c r="Q233" s="2">
        <v>18646.11</v>
      </c>
      <c r="R233" s="2">
        <v>27245.457999999999</v>
      </c>
      <c r="S233" s="2">
        <v>46836.91</v>
      </c>
      <c r="T233" s="2">
        <v>61409.462</v>
      </c>
      <c r="U233" s="2">
        <v>42027.099000000002</v>
      </c>
      <c r="V233" s="2">
        <v>105567.299</v>
      </c>
      <c r="W233" s="208">
        <v>114504.757</v>
      </c>
      <c r="X233" s="2"/>
    </row>
    <row r="234" spans="1:27" ht="15" customHeight="1">
      <c r="A234" s="174">
        <v>42</v>
      </c>
      <c r="B234" s="179" t="s">
        <v>224</v>
      </c>
      <c r="C234" s="2">
        <v>172565.29399999999</v>
      </c>
      <c r="D234" s="2">
        <v>177107.5</v>
      </c>
      <c r="E234" s="2">
        <v>192711.80600000001</v>
      </c>
      <c r="F234" s="2">
        <v>241901.704</v>
      </c>
      <c r="G234" s="2">
        <v>332553.69500000001</v>
      </c>
      <c r="H234" s="2">
        <v>309622.24699999997</v>
      </c>
      <c r="I234" s="2">
        <v>249886.791</v>
      </c>
      <c r="J234" s="2">
        <v>237233.658</v>
      </c>
      <c r="K234" s="2">
        <v>256464.228</v>
      </c>
      <c r="L234" s="2">
        <v>313670.66700000002</v>
      </c>
      <c r="M234" s="2">
        <v>436856.201</v>
      </c>
      <c r="N234" s="2">
        <v>688334.78599999996</v>
      </c>
      <c r="O234" s="2">
        <v>1063648.93</v>
      </c>
      <c r="P234" s="2">
        <v>1811798.9939999999</v>
      </c>
      <c r="Q234" s="2">
        <v>3229742.0809999998</v>
      </c>
      <c r="R234" s="2"/>
      <c r="S234" s="2"/>
      <c r="T234" s="2"/>
      <c r="U234" s="2"/>
      <c r="V234" s="2"/>
      <c r="W234" s="208"/>
      <c r="X234" s="2"/>
    </row>
    <row r="235" spans="1:27" ht="15" customHeight="1">
      <c r="A235" s="174">
        <v>42</v>
      </c>
      <c r="B235" s="179" t="s">
        <v>225</v>
      </c>
      <c r="C235" s="2">
        <v>324024.821</v>
      </c>
      <c r="D235" s="2">
        <v>352573.484</v>
      </c>
      <c r="E235" s="2">
        <v>336901.951</v>
      </c>
      <c r="F235" s="2">
        <v>401482.978</v>
      </c>
      <c r="G235" s="2">
        <v>463155.02</v>
      </c>
      <c r="H235" s="2">
        <v>409382.95899999997</v>
      </c>
      <c r="I235" s="2">
        <v>313670.66700000002</v>
      </c>
      <c r="J235" s="2">
        <v>282709.18300000002</v>
      </c>
      <c r="K235" s="2">
        <v>301681.48700000002</v>
      </c>
      <c r="L235" s="2">
        <v>396301.2</v>
      </c>
      <c r="M235" s="2">
        <v>573872.26100000006</v>
      </c>
      <c r="N235" s="2">
        <v>940159.83299999998</v>
      </c>
      <c r="O235" s="2">
        <v>1697857.625</v>
      </c>
      <c r="P235" s="2">
        <v>2873373.6290000002</v>
      </c>
      <c r="Q235" s="2">
        <v>5189095.6780000003</v>
      </c>
      <c r="R235" s="2"/>
      <c r="S235" s="2"/>
      <c r="T235" s="2"/>
      <c r="U235" s="2"/>
      <c r="V235" s="2"/>
      <c r="W235" s="208"/>
      <c r="X235" s="2"/>
    </row>
    <row r="236" spans="1:27" ht="15" customHeight="1">
      <c r="A236" s="174">
        <v>42</v>
      </c>
      <c r="B236" s="179" t="s">
        <v>226</v>
      </c>
      <c r="C236" s="2">
        <v>324024.821</v>
      </c>
      <c r="D236" s="2">
        <v>352573.484</v>
      </c>
      <c r="E236" s="2">
        <v>336901.951</v>
      </c>
      <c r="F236" s="2">
        <v>401482.978</v>
      </c>
      <c r="G236" s="2">
        <v>548364.22199999995</v>
      </c>
      <c r="H236" s="2">
        <v>472268.52100000001</v>
      </c>
      <c r="I236" s="2">
        <v>313670.66700000002</v>
      </c>
      <c r="J236" s="2">
        <v>282709.18300000002</v>
      </c>
      <c r="K236" s="2">
        <v>301681.48700000002</v>
      </c>
      <c r="L236" s="2">
        <v>396301.2</v>
      </c>
      <c r="M236" s="2">
        <v>573872.26100000006</v>
      </c>
      <c r="N236" s="2">
        <v>940159.83299999998</v>
      </c>
      <c r="O236" s="2">
        <v>1697857.625</v>
      </c>
      <c r="P236" s="2">
        <v>2873373.6290000002</v>
      </c>
      <c r="Q236" s="2">
        <v>10065164.437000001</v>
      </c>
      <c r="R236" s="2"/>
      <c r="S236" s="30"/>
      <c r="T236" s="30"/>
      <c r="U236" s="30"/>
      <c r="V236" s="30"/>
      <c r="W236" s="209"/>
      <c r="X236" s="2"/>
    </row>
    <row r="237" spans="1:27" ht="15" customHeight="1">
      <c r="A237" s="201">
        <v>43</v>
      </c>
      <c r="B237" s="58">
        <v>1</v>
      </c>
      <c r="C237" s="206">
        <v>0.36</v>
      </c>
      <c r="D237" s="206">
        <v>0.65</v>
      </c>
      <c r="E237" s="206">
        <v>1.085</v>
      </c>
      <c r="F237" s="206">
        <v>1.8580000000000001</v>
      </c>
      <c r="G237" s="206">
        <v>3.2650000000000001</v>
      </c>
      <c r="H237" s="206">
        <v>6.1970000000000001</v>
      </c>
      <c r="I237" s="206">
        <v>11.763</v>
      </c>
      <c r="J237" s="206">
        <v>24.11</v>
      </c>
      <c r="K237" s="206">
        <v>42.372999999999998</v>
      </c>
      <c r="L237" s="206">
        <v>98.727000000000004</v>
      </c>
      <c r="M237" s="206">
        <v>202.35900000000001</v>
      </c>
      <c r="N237" s="206">
        <v>394.04599999999999</v>
      </c>
      <c r="O237" s="206">
        <v>850.15700000000004</v>
      </c>
      <c r="P237" s="206">
        <v>1742.559</v>
      </c>
      <c r="Q237" s="206">
        <v>2835.895</v>
      </c>
      <c r="R237" s="207">
        <v>4735.0510000000004</v>
      </c>
      <c r="S237" s="2"/>
      <c r="T237" s="2"/>
      <c r="U237" s="2"/>
      <c r="V237" s="2"/>
      <c r="W237" s="2"/>
    </row>
    <row r="238" spans="1:27" ht="15" customHeight="1">
      <c r="A238" s="200">
        <v>43</v>
      </c>
      <c r="B238" s="59">
        <v>2</v>
      </c>
      <c r="C238" s="2">
        <v>0.159</v>
      </c>
      <c r="D238" s="2">
        <v>0.317</v>
      </c>
      <c r="E238" s="2">
        <v>0.57099999999999995</v>
      </c>
      <c r="F238" s="2">
        <v>0.93</v>
      </c>
      <c r="G238" s="2">
        <v>1.593</v>
      </c>
      <c r="H238" s="2">
        <v>2.66</v>
      </c>
      <c r="I238" s="2">
        <v>4.4409999999999998</v>
      </c>
      <c r="J238" s="2">
        <v>8.0079999999999991</v>
      </c>
      <c r="K238" s="2">
        <v>12.381</v>
      </c>
      <c r="L238" s="2">
        <v>24.736000000000001</v>
      </c>
      <c r="M238" s="2">
        <v>42.372999999999998</v>
      </c>
      <c r="N238" s="2">
        <v>86.850999999999999</v>
      </c>
      <c r="O238" s="2">
        <v>156.60499999999999</v>
      </c>
      <c r="P238" s="2">
        <v>337.87599999999998</v>
      </c>
      <c r="Q238" s="2">
        <v>710.52099999999996</v>
      </c>
      <c r="R238" s="208">
        <v>1281.17</v>
      </c>
      <c r="S238" s="2"/>
    </row>
    <row r="239" spans="1:27" ht="15" customHeight="1">
      <c r="A239" s="202">
        <v>43</v>
      </c>
      <c r="B239" s="203">
        <v>3</v>
      </c>
      <c r="C239" s="30">
        <v>414.77300000000002</v>
      </c>
      <c r="D239" s="30">
        <v>447.92599999999999</v>
      </c>
      <c r="E239" s="30">
        <v>549.87</v>
      </c>
      <c r="F239" s="30">
        <v>641.28399999999999</v>
      </c>
      <c r="G239" s="30">
        <v>675.01499999999999</v>
      </c>
      <c r="H239" s="30">
        <v>787.23400000000004</v>
      </c>
      <c r="I239" s="30">
        <v>941.94600000000003</v>
      </c>
      <c r="J239" s="30">
        <v>1070.741</v>
      </c>
      <c r="K239" s="30">
        <v>1127.0630000000001</v>
      </c>
      <c r="L239" s="30">
        <v>1348.56</v>
      </c>
      <c r="M239" s="30">
        <v>1532.953</v>
      </c>
      <c r="N239" s="30">
        <v>2032.2529999999999</v>
      </c>
      <c r="O239" s="30">
        <v>2370.1080000000002</v>
      </c>
      <c r="P239" s="30">
        <v>2985.0639999999999</v>
      </c>
      <c r="Q239" s="30">
        <v>3857.1889999999999</v>
      </c>
      <c r="R239" s="209">
        <v>4984.116</v>
      </c>
      <c r="S239" s="2"/>
    </row>
    <row r="240" spans="1:27" ht="15" customHeight="1">
      <c r="A240" s="200">
        <v>44</v>
      </c>
      <c r="B240" s="59" t="s">
        <v>220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3" ht="15" customHeight="1">
      <c r="A241" s="200">
        <v>44</v>
      </c>
      <c r="B241" s="59" t="s">
        <v>221</v>
      </c>
    </row>
    <row r="242" spans="1:13" ht="15" customHeight="1">
      <c r="A242" s="200">
        <v>44</v>
      </c>
      <c r="B242" s="59" t="s">
        <v>222</v>
      </c>
    </row>
    <row r="243" spans="1:13" ht="15" customHeight="1">
      <c r="A243" s="200">
        <v>44</v>
      </c>
      <c r="B243" s="59" t="s">
        <v>223</v>
      </c>
    </row>
    <row r="244" spans="1:13" ht="15" customHeight="1">
      <c r="A244" s="200">
        <v>44</v>
      </c>
      <c r="B244" s="59" t="s">
        <v>228</v>
      </c>
    </row>
    <row r="245" spans="1:13" ht="15" customHeight="1">
      <c r="A245" s="200">
        <v>44</v>
      </c>
      <c r="B245" s="59" t="s">
        <v>224</v>
      </c>
    </row>
    <row r="246" spans="1:13" ht="15" customHeight="1">
      <c r="A246" s="200">
        <v>44</v>
      </c>
      <c r="B246" s="59" t="s">
        <v>225</v>
      </c>
    </row>
    <row r="247" spans="1:13" ht="15" customHeight="1">
      <c r="A247" s="200">
        <v>44</v>
      </c>
      <c r="B247" s="59" t="s">
        <v>226</v>
      </c>
    </row>
    <row r="248" spans="1:13" ht="15" customHeight="1">
      <c r="A248" s="200">
        <v>44</v>
      </c>
      <c r="B248" s="59" t="s">
        <v>227</v>
      </c>
    </row>
    <row r="249" spans="1:13" ht="15" customHeight="1">
      <c r="A249" s="200">
        <v>44</v>
      </c>
      <c r="B249" s="59" t="s">
        <v>229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3" ht="15" customHeight="1">
      <c r="A250" s="177">
        <v>45</v>
      </c>
      <c r="B250" s="178" t="s">
        <v>220</v>
      </c>
      <c r="C250" s="206">
        <v>1.137</v>
      </c>
      <c r="D250" s="206">
        <v>2.3740000000000001</v>
      </c>
      <c r="E250" s="206">
        <v>4.88</v>
      </c>
      <c r="F250" s="206">
        <v>10.526</v>
      </c>
      <c r="G250" s="206">
        <v>21.986000000000001</v>
      </c>
      <c r="H250" s="206">
        <v>46.664000000000001</v>
      </c>
      <c r="I250" s="206">
        <v>109.032</v>
      </c>
      <c r="J250" s="206">
        <v>263.04399999999998</v>
      </c>
      <c r="K250" s="206">
        <v>962.29899999999998</v>
      </c>
      <c r="L250" s="207">
        <v>1555.7260000000001</v>
      </c>
      <c r="M250" s="2"/>
    </row>
    <row r="251" spans="1:13" ht="15" customHeight="1">
      <c r="A251" s="174">
        <v>45</v>
      </c>
      <c r="B251" s="179" t="s">
        <v>221</v>
      </c>
      <c r="C251" s="2">
        <v>4.0919999999999996</v>
      </c>
      <c r="D251" s="2">
        <v>8.548</v>
      </c>
      <c r="E251" s="2">
        <v>19.035</v>
      </c>
      <c r="F251" s="2">
        <v>39.128</v>
      </c>
      <c r="G251" s="2">
        <v>89.971000000000004</v>
      </c>
      <c r="H251" s="2">
        <v>203.59299999999999</v>
      </c>
      <c r="I251" s="2">
        <v>460.70299999999997</v>
      </c>
      <c r="J251" s="2">
        <v>1283.76</v>
      </c>
      <c r="K251" s="2">
        <v>2555.703</v>
      </c>
      <c r="L251" s="208">
        <v>4405.0410000000002</v>
      </c>
      <c r="M251" s="2"/>
    </row>
    <row r="252" spans="1:13" ht="15" customHeight="1">
      <c r="A252" s="174">
        <v>45</v>
      </c>
      <c r="B252" s="179" t="s">
        <v>222</v>
      </c>
      <c r="C252" s="2">
        <v>10.359</v>
      </c>
      <c r="D252" s="2">
        <v>22.701000000000001</v>
      </c>
      <c r="E252" s="2">
        <v>48.183</v>
      </c>
      <c r="F252" s="2">
        <v>107.3</v>
      </c>
      <c r="G252" s="2">
        <v>254.75299999999999</v>
      </c>
      <c r="H252" s="2">
        <v>567.31600000000003</v>
      </c>
      <c r="I252" s="2">
        <v>1204.114</v>
      </c>
      <c r="J252" s="2">
        <v>2813.4229999999998</v>
      </c>
      <c r="K252" s="2">
        <v>6067.81</v>
      </c>
      <c r="L252" s="208">
        <v>10798.904</v>
      </c>
      <c r="M252" s="2"/>
    </row>
    <row r="253" spans="1:13" ht="15" customHeight="1">
      <c r="A253" s="174">
        <v>45</v>
      </c>
      <c r="B253" s="179" t="s">
        <v>223</v>
      </c>
      <c r="C253" s="2">
        <v>44.475999999999999</v>
      </c>
      <c r="D253" s="2">
        <v>80.430999999999997</v>
      </c>
      <c r="E253" s="2">
        <v>176.26900000000001</v>
      </c>
      <c r="F253" s="2">
        <v>345.34100000000001</v>
      </c>
      <c r="G253" s="2">
        <v>698.59900000000005</v>
      </c>
      <c r="H253" s="2">
        <v>1390.7670000000001</v>
      </c>
      <c r="I253" s="2">
        <v>3753.2620000000002</v>
      </c>
      <c r="J253" s="2">
        <v>6897.0730000000003</v>
      </c>
      <c r="K253" s="2">
        <v>12878.782999999999</v>
      </c>
      <c r="L253" s="208">
        <v>24830.933000000001</v>
      </c>
      <c r="M253" s="2"/>
    </row>
    <row r="254" spans="1:13" ht="15" customHeight="1">
      <c r="A254" s="174">
        <v>45</v>
      </c>
      <c r="B254" s="179" t="s">
        <v>224</v>
      </c>
      <c r="C254" s="2"/>
      <c r="D254" s="2"/>
      <c r="E254" s="2"/>
      <c r="F254" s="2"/>
      <c r="G254" s="2"/>
      <c r="H254" s="2"/>
      <c r="I254" s="2"/>
      <c r="J254" s="2"/>
      <c r="K254" s="2"/>
      <c r="L254" s="208"/>
      <c r="M254" s="2"/>
    </row>
    <row r="255" spans="1:13" ht="15" customHeight="1">
      <c r="A255" s="174">
        <v>45</v>
      </c>
      <c r="B255" s="179" t="s">
        <v>225</v>
      </c>
      <c r="C255" s="2"/>
      <c r="D255" s="2"/>
      <c r="E255" s="2"/>
      <c r="F255" s="2"/>
      <c r="G255" s="2"/>
      <c r="H255" s="2"/>
      <c r="I255" s="2"/>
      <c r="J255" s="2"/>
      <c r="K255" s="2"/>
      <c r="L255" s="208"/>
      <c r="M255" s="2"/>
    </row>
    <row r="256" spans="1:13" ht="15" customHeight="1">
      <c r="A256" s="174">
        <v>45</v>
      </c>
      <c r="B256" s="179" t="s">
        <v>226</v>
      </c>
      <c r="C256" s="2"/>
      <c r="D256" s="2"/>
      <c r="E256" s="2"/>
      <c r="F256" s="2"/>
      <c r="G256" s="2"/>
      <c r="H256" s="2"/>
      <c r="I256" s="2"/>
      <c r="J256" s="2"/>
      <c r="K256" s="2"/>
      <c r="L256" s="208"/>
      <c r="M256" s="2"/>
    </row>
    <row r="257" spans="1:28" ht="15" customHeight="1">
      <c r="A257" s="174">
        <v>45</v>
      </c>
      <c r="B257" s="179" t="s">
        <v>227</v>
      </c>
      <c r="C257" s="2"/>
      <c r="D257" s="2"/>
      <c r="E257" s="2"/>
      <c r="F257" s="2"/>
      <c r="G257" s="2"/>
      <c r="H257" s="2"/>
      <c r="I257" s="2"/>
      <c r="J257" s="2"/>
      <c r="K257" s="2"/>
      <c r="L257" s="208"/>
      <c r="M257" s="2"/>
      <c r="N257" s="2"/>
      <c r="O257" s="2"/>
      <c r="P257" s="2"/>
      <c r="Q257" s="2"/>
      <c r="R257" s="2"/>
      <c r="S257" s="2"/>
      <c r="T257" s="2"/>
      <c r="U257" s="2"/>
    </row>
    <row r="258" spans="1:28" ht="15" customHeight="1">
      <c r="A258" s="177">
        <v>46</v>
      </c>
      <c r="B258" s="178">
        <v>1</v>
      </c>
      <c r="C258" s="206">
        <v>11.877000000000001</v>
      </c>
      <c r="D258" s="206">
        <v>12.69</v>
      </c>
      <c r="E258" s="206">
        <v>14.484999999999999</v>
      </c>
      <c r="F258" s="206">
        <v>15.476000000000001</v>
      </c>
      <c r="G258" s="206">
        <v>16.754999999999999</v>
      </c>
      <c r="H258" s="206">
        <v>16.533999999999999</v>
      </c>
      <c r="I258" s="206">
        <v>17.433</v>
      </c>
      <c r="J258" s="206">
        <v>17.433</v>
      </c>
      <c r="K258" s="206">
        <v>18.626000000000001</v>
      </c>
      <c r="L258" s="206">
        <v>20.164999999999999</v>
      </c>
      <c r="M258" s="206">
        <v>20.434000000000001</v>
      </c>
      <c r="N258" s="206">
        <v>21.260999999999999</v>
      </c>
      <c r="O258" s="206">
        <v>24.268999999999998</v>
      </c>
      <c r="P258" s="206">
        <v>28.071999999999999</v>
      </c>
      <c r="Q258" s="206">
        <v>36.578000000000003</v>
      </c>
      <c r="R258" s="206">
        <v>60.48</v>
      </c>
      <c r="S258" s="206">
        <v>71.832999999999998</v>
      </c>
      <c r="T258" s="206">
        <v>135.57599999999999</v>
      </c>
      <c r="U258" s="207">
        <v>230.18100000000001</v>
      </c>
      <c r="V258" s="2"/>
    </row>
    <row r="259" spans="1:28" ht="15" customHeight="1">
      <c r="A259" s="174">
        <v>46</v>
      </c>
      <c r="B259" s="179">
        <v>2</v>
      </c>
      <c r="C259" s="2">
        <v>12358.165999999999</v>
      </c>
      <c r="D259" s="2">
        <v>12858.651</v>
      </c>
      <c r="E259" s="2">
        <v>13203.518</v>
      </c>
      <c r="F259" s="2">
        <v>13203.518</v>
      </c>
      <c r="G259" s="2">
        <v>13029.942999999999</v>
      </c>
      <c r="H259" s="2">
        <v>13557.634</v>
      </c>
      <c r="I259" s="2">
        <v>13557.634</v>
      </c>
      <c r="J259" s="2">
        <v>14873.521000000001</v>
      </c>
      <c r="K259" s="2">
        <v>14294.612999999999</v>
      </c>
      <c r="L259" s="2">
        <v>14294.612999999999</v>
      </c>
      <c r="M259" s="2">
        <v>14677.993</v>
      </c>
      <c r="N259" s="2">
        <v>14677.993</v>
      </c>
      <c r="O259" s="2">
        <v>14873.521000000001</v>
      </c>
      <c r="P259" s="2">
        <v>15272.427</v>
      </c>
      <c r="Q259" s="2">
        <v>15475.874</v>
      </c>
      <c r="R259" s="2">
        <v>15890.933999999999</v>
      </c>
      <c r="S259" s="2">
        <v>16977.941999999999</v>
      </c>
      <c r="T259" s="2">
        <v>17900.846000000001</v>
      </c>
      <c r="U259" s="208">
        <v>19125.341</v>
      </c>
      <c r="V259" s="2"/>
    </row>
    <row r="260" spans="1:28" ht="15" customHeight="1">
      <c r="A260" s="174">
        <v>46</v>
      </c>
      <c r="B260" s="179">
        <v>3</v>
      </c>
      <c r="C260" s="2">
        <v>13921.248</v>
      </c>
      <c r="D260" s="2">
        <v>14485.035</v>
      </c>
      <c r="E260" s="2">
        <v>14485.035</v>
      </c>
      <c r="F260" s="2">
        <v>14677.993</v>
      </c>
      <c r="G260" s="2">
        <v>15071.654</v>
      </c>
      <c r="H260" s="2">
        <v>15071.654</v>
      </c>
      <c r="I260" s="2">
        <v>15272.427</v>
      </c>
      <c r="J260" s="2">
        <v>13921.248</v>
      </c>
      <c r="K260" s="2">
        <v>15682.031000000001</v>
      </c>
      <c r="L260" s="2">
        <v>15890.933999999999</v>
      </c>
      <c r="M260" s="2">
        <v>16534.490000000002</v>
      </c>
      <c r="N260" s="2">
        <v>16317.126</v>
      </c>
      <c r="O260" s="2">
        <v>16977.941999999999</v>
      </c>
      <c r="P260" s="2">
        <v>16977.941999999999</v>
      </c>
      <c r="Q260" s="2">
        <v>17433.288</v>
      </c>
      <c r="R260" s="2">
        <v>18380.944</v>
      </c>
      <c r="S260" s="2">
        <v>19380.114000000001</v>
      </c>
      <c r="T260" s="2">
        <v>20433.597000000002</v>
      </c>
      <c r="U260" s="208">
        <v>21831.343000000001</v>
      </c>
      <c r="V260" s="2"/>
    </row>
    <row r="261" spans="1:28" ht="15" customHeight="1">
      <c r="A261" s="174">
        <v>46</v>
      </c>
      <c r="B261" s="179">
        <v>4</v>
      </c>
      <c r="C261" s="2">
        <v>17433.288</v>
      </c>
      <c r="D261" s="2">
        <v>18380.944</v>
      </c>
      <c r="E261" s="2">
        <v>18625.8</v>
      </c>
      <c r="F261" s="2">
        <v>19125.341</v>
      </c>
      <c r="G261" s="2">
        <v>19638.28</v>
      </c>
      <c r="H261" s="2">
        <v>19380.114000000001</v>
      </c>
      <c r="I261" s="2">
        <v>20164.975999999999</v>
      </c>
      <c r="J261" s="2">
        <v>19899.884999999998</v>
      </c>
      <c r="K261" s="2">
        <v>20433.597000000002</v>
      </c>
      <c r="L261" s="2">
        <v>20433.597000000002</v>
      </c>
      <c r="M261" s="2">
        <v>20705.796999999999</v>
      </c>
      <c r="N261" s="2">
        <v>20981.623</v>
      </c>
      <c r="O261" s="2">
        <v>21544.347000000002</v>
      </c>
      <c r="P261" s="2">
        <v>21544.347000000002</v>
      </c>
      <c r="Q261" s="2">
        <v>22416.857</v>
      </c>
      <c r="R261" s="2">
        <v>22715.475999999999</v>
      </c>
      <c r="S261" s="2">
        <v>24269.312000000002</v>
      </c>
      <c r="T261" s="2">
        <v>25929.437999999998</v>
      </c>
      <c r="U261" s="208">
        <v>27338.936000000002</v>
      </c>
      <c r="V261" s="2"/>
    </row>
    <row r="262" spans="1:28" ht="15" customHeight="1">
      <c r="A262" s="174">
        <v>46</v>
      </c>
      <c r="B262" s="179">
        <v>5</v>
      </c>
      <c r="C262" s="2">
        <v>8877.1970000000001</v>
      </c>
      <c r="D262" s="2">
        <v>9868.5390000000007</v>
      </c>
      <c r="E262" s="2">
        <v>10000</v>
      </c>
      <c r="F262" s="2">
        <v>9738.8070000000007</v>
      </c>
      <c r="G262" s="2">
        <v>10133.212</v>
      </c>
      <c r="H262" s="2">
        <v>10000</v>
      </c>
      <c r="I262" s="2">
        <v>9868.5390000000007</v>
      </c>
      <c r="J262" s="2">
        <v>10133.212</v>
      </c>
      <c r="K262" s="2">
        <v>10543.59</v>
      </c>
      <c r="L262" s="2">
        <v>10543.59</v>
      </c>
      <c r="M262" s="2">
        <v>10826.367</v>
      </c>
      <c r="N262" s="2">
        <v>10970.587</v>
      </c>
      <c r="O262" s="2">
        <v>11116.728999999999</v>
      </c>
      <c r="P262" s="2">
        <v>11721.022999999999</v>
      </c>
      <c r="Q262" s="2">
        <v>12035.379000000001</v>
      </c>
      <c r="R262" s="2">
        <v>12358.165999999999</v>
      </c>
      <c r="S262" s="2">
        <v>12858.651</v>
      </c>
      <c r="T262" s="2">
        <v>13738.237999999999</v>
      </c>
      <c r="U262" s="208">
        <v>14873.521000000001</v>
      </c>
      <c r="V262" s="2"/>
    </row>
    <row r="263" spans="1:28" ht="15" customHeight="1">
      <c r="A263" s="175">
        <v>46</v>
      </c>
      <c r="B263" s="180">
        <v>6</v>
      </c>
      <c r="C263" s="30">
        <v>2662.4859999999999</v>
      </c>
      <c r="D263" s="30">
        <v>3204.4029999999998</v>
      </c>
      <c r="E263" s="30">
        <v>3378.5909999999999</v>
      </c>
      <c r="F263" s="30">
        <v>3378.5909999999999</v>
      </c>
      <c r="G263" s="30">
        <v>3423.598</v>
      </c>
      <c r="H263" s="30">
        <v>3562.248</v>
      </c>
      <c r="I263" s="30">
        <v>3755.8879999999999</v>
      </c>
      <c r="J263" s="30">
        <v>3755.8879999999999</v>
      </c>
      <c r="K263" s="30">
        <v>3755.8879999999999</v>
      </c>
      <c r="L263" s="30">
        <v>4066.2620000000002</v>
      </c>
      <c r="M263" s="30">
        <v>4287.3</v>
      </c>
      <c r="N263" s="30">
        <v>4641.5889999999999</v>
      </c>
      <c r="O263" s="30">
        <v>5228.665</v>
      </c>
      <c r="P263" s="30">
        <v>5586.3280000000004</v>
      </c>
      <c r="Q263" s="30">
        <v>6210.1689999999999</v>
      </c>
      <c r="R263" s="30">
        <v>6547.7479999999996</v>
      </c>
      <c r="S263" s="30">
        <v>7880.4629999999997</v>
      </c>
      <c r="T263" s="30">
        <v>9236.7090000000007</v>
      </c>
      <c r="U263" s="209">
        <v>10000</v>
      </c>
      <c r="V263" s="2"/>
      <c r="W263" s="2"/>
      <c r="X263" s="2"/>
      <c r="Y263" s="2"/>
      <c r="Z263" s="2"/>
      <c r="AA263" s="2"/>
    </row>
    <row r="264" spans="1:28" ht="15" customHeight="1">
      <c r="A264" s="174">
        <v>47</v>
      </c>
      <c r="B264" s="179" t="s">
        <v>220</v>
      </c>
      <c r="C264" s="2">
        <v>0.48399999999999999</v>
      </c>
      <c r="D264" s="2">
        <v>0.66</v>
      </c>
      <c r="E264" s="2">
        <v>0.70299999999999996</v>
      </c>
      <c r="F264" s="2">
        <v>0.504</v>
      </c>
      <c r="G264" s="2">
        <v>0.377</v>
      </c>
      <c r="H264" s="2">
        <v>0.66</v>
      </c>
      <c r="I264" s="2">
        <v>0.79600000000000004</v>
      </c>
      <c r="J264" s="2">
        <v>0.40100000000000002</v>
      </c>
      <c r="K264" s="2">
        <v>1.133</v>
      </c>
      <c r="L264" s="2">
        <v>1.087</v>
      </c>
      <c r="M264" s="2">
        <v>2.246</v>
      </c>
      <c r="N264" s="2">
        <v>2.597</v>
      </c>
      <c r="O264" s="2">
        <v>5.367</v>
      </c>
      <c r="P264" s="2">
        <v>8.1270000000000007</v>
      </c>
      <c r="Q264" s="2">
        <v>14.228</v>
      </c>
      <c r="R264" s="2">
        <v>23.899000000000001</v>
      </c>
      <c r="S264" s="2">
        <v>43.615000000000002</v>
      </c>
      <c r="T264" s="2">
        <v>73.260000000000005</v>
      </c>
      <c r="U264" s="2">
        <v>139.36199999999999</v>
      </c>
      <c r="V264" s="206">
        <v>270.66500000000002</v>
      </c>
      <c r="W264" s="206">
        <v>436.154</v>
      </c>
      <c r="X264" s="206">
        <v>779.63599999999997</v>
      </c>
      <c r="Y264" s="206"/>
      <c r="Z264" s="206"/>
      <c r="AA264" s="207"/>
      <c r="AB264" s="2"/>
    </row>
    <row r="265" spans="1:28" ht="15" customHeight="1">
      <c r="A265" s="174">
        <v>47</v>
      </c>
      <c r="B265" s="179">
        <v>2</v>
      </c>
      <c r="C265" s="2">
        <v>3.6190000000000002</v>
      </c>
      <c r="D265" s="2">
        <v>2.5430000000000001</v>
      </c>
      <c r="E265" s="2">
        <v>3.6949999999999998</v>
      </c>
      <c r="F265" s="2">
        <v>5.4790000000000001</v>
      </c>
      <c r="G265" s="2">
        <v>3.9319999999999999</v>
      </c>
      <c r="H265" s="2">
        <v>5.9539999999999997</v>
      </c>
      <c r="I265" s="2">
        <v>7.96</v>
      </c>
      <c r="J265" s="2">
        <v>9.2040000000000006</v>
      </c>
      <c r="K265" s="2">
        <v>13.37</v>
      </c>
      <c r="L265" s="2">
        <v>17.149000000000001</v>
      </c>
      <c r="M265" s="2">
        <v>19.829000000000001</v>
      </c>
      <c r="N265" s="2">
        <v>26.510999999999999</v>
      </c>
      <c r="O265" s="2">
        <v>34.003999999999998</v>
      </c>
      <c r="P265" s="2">
        <v>40.984000000000002</v>
      </c>
      <c r="Q265" s="2">
        <v>51.488999999999997</v>
      </c>
      <c r="R265" s="2">
        <v>79.597999999999999</v>
      </c>
      <c r="S265" s="2">
        <v>102.096</v>
      </c>
      <c r="T265" s="2">
        <v>145.26499999999999</v>
      </c>
      <c r="U265" s="2">
        <v>224.57</v>
      </c>
      <c r="V265" s="2">
        <v>361.875</v>
      </c>
      <c r="W265" s="2">
        <v>571.15899999999999</v>
      </c>
      <c r="X265" s="2">
        <v>979.47</v>
      </c>
      <c r="Y265" s="2">
        <v>1787.5260000000001</v>
      </c>
      <c r="Z265" s="2">
        <v>3471.6869999999999</v>
      </c>
      <c r="AA265" s="208">
        <v>7325.9650000000001</v>
      </c>
      <c r="AB265" s="2"/>
    </row>
    <row r="266" spans="1:28" ht="15" customHeight="1">
      <c r="A266" s="174">
        <v>47</v>
      </c>
      <c r="B266" s="179">
        <v>3</v>
      </c>
      <c r="C266" s="2">
        <v>23.408000000000001</v>
      </c>
      <c r="D266" s="2">
        <v>24.4</v>
      </c>
      <c r="E266" s="2">
        <v>30.024999999999999</v>
      </c>
      <c r="F266" s="2">
        <v>30.024999999999999</v>
      </c>
      <c r="G266" s="2">
        <v>33.305999999999997</v>
      </c>
      <c r="H266" s="2">
        <v>37.72</v>
      </c>
      <c r="I266" s="2">
        <v>33.305999999999997</v>
      </c>
      <c r="J266" s="2">
        <v>36.186999999999998</v>
      </c>
      <c r="K266" s="2">
        <v>40.984000000000002</v>
      </c>
      <c r="L266" s="2">
        <v>40.984000000000002</v>
      </c>
      <c r="M266" s="2">
        <v>40.984000000000002</v>
      </c>
      <c r="N266" s="2">
        <v>48.381999999999998</v>
      </c>
      <c r="O266" s="2">
        <v>54.795000000000002</v>
      </c>
      <c r="P266" s="2">
        <v>59.534999999999997</v>
      </c>
      <c r="Q266" s="2">
        <v>68.84</v>
      </c>
      <c r="R266" s="2">
        <v>73.260000000000005</v>
      </c>
      <c r="S266" s="2">
        <v>86.483999999999995</v>
      </c>
      <c r="T266" s="2">
        <v>110.929</v>
      </c>
      <c r="U266" s="2">
        <v>164.51900000000001</v>
      </c>
      <c r="V266" s="2">
        <v>219.959</v>
      </c>
      <c r="W266" s="2">
        <v>340.041</v>
      </c>
      <c r="X266" s="2">
        <v>583.13099999999997</v>
      </c>
      <c r="Y266" s="2">
        <v>1109.29</v>
      </c>
      <c r="Z266" s="2">
        <v>2199.5929999999998</v>
      </c>
      <c r="AA266" s="208">
        <v>4641.5889999999999</v>
      </c>
      <c r="AB266" s="2"/>
    </row>
    <row r="267" spans="1:28" ht="15" customHeight="1">
      <c r="A267" s="174">
        <v>47</v>
      </c>
      <c r="B267" s="179" t="s">
        <v>223</v>
      </c>
      <c r="C267" s="2">
        <v>102.096</v>
      </c>
      <c r="D267" s="2">
        <v>161.14099999999999</v>
      </c>
      <c r="E267" s="2">
        <v>161.14099999999999</v>
      </c>
      <c r="F267" s="2">
        <v>215.44300000000001</v>
      </c>
      <c r="G267" s="2">
        <v>259.666</v>
      </c>
      <c r="H267" s="2">
        <v>306.54000000000002</v>
      </c>
      <c r="I267" s="2">
        <v>401.42399999999998</v>
      </c>
      <c r="J267" s="2">
        <v>473.88799999999998</v>
      </c>
      <c r="K267" s="2">
        <v>583.13099999999997</v>
      </c>
      <c r="L267" s="2">
        <v>747.952</v>
      </c>
      <c r="M267" s="2">
        <v>959.36099999999999</v>
      </c>
      <c r="N267" s="2">
        <v>1180.5170000000001</v>
      </c>
      <c r="O267" s="2">
        <v>1483.1030000000001</v>
      </c>
      <c r="P267" s="2">
        <v>1824.9929999999999</v>
      </c>
      <c r="Q267" s="2">
        <v>2154.4349999999999</v>
      </c>
      <c r="R267" s="2">
        <v>2596.6559999999999</v>
      </c>
      <c r="S267" s="2">
        <v>3129.6480000000001</v>
      </c>
      <c r="T267" s="2">
        <v>3772.0419999999999</v>
      </c>
      <c r="U267" s="2">
        <v>4271.9939999999997</v>
      </c>
      <c r="V267" s="2">
        <v>5148.8670000000002</v>
      </c>
      <c r="W267" s="2">
        <v>6078.3230000000003</v>
      </c>
      <c r="X267" s="2">
        <v>7959.777</v>
      </c>
      <c r="Y267" s="2"/>
      <c r="Z267" s="2"/>
      <c r="AA267" s="208"/>
      <c r="AB267" s="2"/>
    </row>
    <row r="268" spans="1:28" ht="15" customHeight="1">
      <c r="A268" s="174">
        <v>47</v>
      </c>
      <c r="B268" s="179">
        <v>5</v>
      </c>
      <c r="C268" s="2">
        <v>1365.008</v>
      </c>
      <c r="D268" s="2">
        <v>901.47799999999995</v>
      </c>
      <c r="E268" s="2">
        <v>882.97</v>
      </c>
      <c r="F268" s="2">
        <v>1180.5170000000001</v>
      </c>
      <c r="G268" s="2">
        <v>1230.5239999999999</v>
      </c>
      <c r="H268" s="2">
        <v>1256.317</v>
      </c>
      <c r="I268" s="2">
        <v>1483.1030000000001</v>
      </c>
      <c r="J268" s="2">
        <v>1750.827</v>
      </c>
      <c r="K268" s="2">
        <v>1902.3009999999999</v>
      </c>
      <c r="L268" s="2">
        <v>2199.5929999999998</v>
      </c>
      <c r="M268" s="2">
        <v>2439.9859999999999</v>
      </c>
      <c r="N268" s="2">
        <v>2940.82</v>
      </c>
      <c r="O268" s="2">
        <v>3065.395</v>
      </c>
      <c r="P268" s="2">
        <v>3400.4119999999998</v>
      </c>
      <c r="Q268" s="2">
        <v>3851.107</v>
      </c>
      <c r="R268" s="2">
        <v>4271.9939999999997</v>
      </c>
      <c r="S268" s="2">
        <v>4738.88</v>
      </c>
      <c r="T268" s="2">
        <v>5043.1589999999997</v>
      </c>
      <c r="U268" s="2">
        <v>5711.5860000000002</v>
      </c>
      <c r="V268" s="2">
        <v>5711.5860000000002</v>
      </c>
      <c r="W268" s="2">
        <v>6205.7290000000003</v>
      </c>
      <c r="X268" s="2">
        <v>7796.36</v>
      </c>
      <c r="Y268" s="2">
        <v>9794.6970000000001</v>
      </c>
      <c r="Z268" s="2">
        <v>13095.35</v>
      </c>
      <c r="AA268" s="208">
        <v>21102.034</v>
      </c>
      <c r="AB268" s="2"/>
    </row>
    <row r="269" spans="1:28" ht="15" customHeight="1">
      <c r="A269" s="174">
        <v>47</v>
      </c>
      <c r="B269" s="179" t="s">
        <v>224</v>
      </c>
      <c r="C269" s="2">
        <v>1.131</v>
      </c>
      <c r="D269" s="2">
        <v>1.105</v>
      </c>
      <c r="E269" s="2">
        <v>1.0820000000000001</v>
      </c>
      <c r="F269" s="2">
        <v>1.0589999999999999</v>
      </c>
      <c r="G269" s="2">
        <v>1.026</v>
      </c>
      <c r="H269" s="2">
        <v>0.95699999999999996</v>
      </c>
      <c r="I269" s="2">
        <v>0.85199999999999998</v>
      </c>
      <c r="J269" s="2">
        <v>0.78</v>
      </c>
      <c r="K269" s="2">
        <v>0.70099999999999996</v>
      </c>
      <c r="L269" s="2">
        <v>0.68500000000000005</v>
      </c>
      <c r="M269" s="2">
        <v>0.63400000000000001</v>
      </c>
      <c r="N269" s="2">
        <v>0.53900000000000003</v>
      </c>
      <c r="O269" s="2">
        <v>0.436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08"/>
      <c r="AB269" s="2"/>
    </row>
    <row r="270" spans="1:28" ht="15" customHeight="1">
      <c r="A270" s="175">
        <v>47</v>
      </c>
      <c r="B270" s="180" t="s">
        <v>227</v>
      </c>
      <c r="C270" s="30">
        <v>1.395</v>
      </c>
      <c r="D270" s="30">
        <v>1.37</v>
      </c>
      <c r="E270" s="30">
        <v>1.349</v>
      </c>
      <c r="F270" s="30">
        <v>1.3280000000000001</v>
      </c>
      <c r="G270" s="30">
        <v>1.3069999999999999</v>
      </c>
      <c r="H270" s="30">
        <v>1.254</v>
      </c>
      <c r="I270" s="30">
        <v>1.1679999999999999</v>
      </c>
      <c r="J270" s="30">
        <v>1.121</v>
      </c>
      <c r="K270" s="30">
        <v>1.077</v>
      </c>
      <c r="L270" s="30">
        <v>0.98199999999999998</v>
      </c>
      <c r="M270" s="30">
        <v>0.82399999999999995</v>
      </c>
      <c r="N270" s="30">
        <v>0.68</v>
      </c>
      <c r="O270" s="30">
        <v>0.57999999999999996</v>
      </c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209"/>
      <c r="AB270" s="2"/>
    </row>
    <row r="271" spans="1:28" ht="15" customHeight="1">
      <c r="A271" s="177">
        <v>48</v>
      </c>
      <c r="B271" s="178">
        <v>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8" ht="15" customHeight="1">
      <c r="A272" s="174">
        <v>48</v>
      </c>
      <c r="B272" s="179">
        <v>2</v>
      </c>
    </row>
    <row r="273" spans="1:19" ht="15" customHeight="1">
      <c r="A273" s="174">
        <v>48</v>
      </c>
      <c r="B273" s="179">
        <v>3</v>
      </c>
    </row>
    <row r="274" spans="1:19" ht="15" customHeight="1">
      <c r="A274" s="174">
        <v>48</v>
      </c>
      <c r="B274" s="179">
        <v>4</v>
      </c>
    </row>
    <row r="275" spans="1:19" ht="15" customHeight="1">
      <c r="A275" s="174">
        <v>48</v>
      </c>
      <c r="B275" s="179">
        <v>5</v>
      </c>
    </row>
    <row r="276" spans="1:19" ht="15" customHeight="1">
      <c r="A276" s="174">
        <v>48</v>
      </c>
      <c r="B276" s="179">
        <v>6</v>
      </c>
    </row>
    <row r="277" spans="1:19" ht="15" customHeight="1">
      <c r="A277" s="174">
        <v>48</v>
      </c>
      <c r="B277" s="179">
        <v>7</v>
      </c>
    </row>
    <row r="278" spans="1:19" ht="15" customHeight="1">
      <c r="A278" s="174">
        <v>48</v>
      </c>
      <c r="B278" s="179">
        <v>8</v>
      </c>
    </row>
    <row r="279" spans="1:19" ht="15" customHeight="1">
      <c r="A279" s="174">
        <v>48</v>
      </c>
      <c r="B279" s="179">
        <v>9</v>
      </c>
    </row>
    <row r="280" spans="1:19" ht="15" customHeight="1">
      <c r="A280" s="174">
        <v>48</v>
      </c>
      <c r="B280" s="179">
        <v>10</v>
      </c>
    </row>
    <row r="281" spans="1:19" ht="15" customHeight="1">
      <c r="A281" s="174">
        <v>48</v>
      </c>
      <c r="B281" s="179">
        <v>11</v>
      </c>
    </row>
    <row r="282" spans="1:19" ht="15" customHeight="1">
      <c r="A282" s="174">
        <v>48</v>
      </c>
      <c r="B282" s="179">
        <v>12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9" ht="15" customHeight="1">
      <c r="A283" s="266">
        <v>49</v>
      </c>
      <c r="B283" s="58">
        <v>1</v>
      </c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7"/>
      <c r="S283" s="2"/>
    </row>
    <row r="284" spans="1:19" ht="15" customHeight="1">
      <c r="A284" s="210">
        <v>49</v>
      </c>
      <c r="B284" s="59">
        <v>2</v>
      </c>
      <c r="C284" s="2">
        <v>3.173</v>
      </c>
      <c r="D284" s="2">
        <v>3.11</v>
      </c>
      <c r="E284" s="2">
        <v>3.0489999999999999</v>
      </c>
      <c r="F284" s="2">
        <v>2.3069999999999999</v>
      </c>
      <c r="G284" s="2">
        <v>13.302</v>
      </c>
      <c r="H284" s="2">
        <v>17.577000000000002</v>
      </c>
      <c r="I284" s="2">
        <v>26.7</v>
      </c>
      <c r="J284" s="2">
        <v>79.802999999999997</v>
      </c>
      <c r="K284" s="2">
        <v>99.338999999999999</v>
      </c>
      <c r="L284" s="2">
        <v>191.61099999999999</v>
      </c>
      <c r="M284" s="2">
        <v>377.024</v>
      </c>
      <c r="N284" s="2">
        <v>771.98400000000004</v>
      </c>
      <c r="O284" s="2">
        <v>1549.5360000000001</v>
      </c>
      <c r="P284" s="2">
        <v>3172.7869999999998</v>
      </c>
      <c r="Q284" s="2">
        <v>5651.4690000000001</v>
      </c>
      <c r="R284" s="208">
        <v>8584.5509999999995</v>
      </c>
      <c r="S284" s="2"/>
    </row>
    <row r="285" spans="1:19" ht="15" customHeight="1">
      <c r="A285" s="210">
        <v>49</v>
      </c>
      <c r="B285" s="59">
        <v>3</v>
      </c>
      <c r="C285" s="2">
        <v>14.694000000000001</v>
      </c>
      <c r="D285" s="2">
        <v>17.931000000000001</v>
      </c>
      <c r="E285" s="2">
        <v>32.581000000000003</v>
      </c>
      <c r="F285" s="2">
        <v>46.622</v>
      </c>
      <c r="G285" s="2">
        <v>76.688000000000002</v>
      </c>
      <c r="H285" s="2">
        <v>163.40199999999999</v>
      </c>
      <c r="I285" s="2">
        <v>341.30399999999997</v>
      </c>
      <c r="J285" s="2">
        <v>658.33</v>
      </c>
      <c r="K285" s="2">
        <v>1295.364</v>
      </c>
      <c r="L285" s="2">
        <v>2449.34</v>
      </c>
      <c r="M285" s="2">
        <v>4362.8419999999996</v>
      </c>
      <c r="N285" s="2">
        <v>7618.06</v>
      </c>
      <c r="O285" s="2">
        <v>13842.367</v>
      </c>
      <c r="P285" s="2">
        <v>22320.462</v>
      </c>
      <c r="Q285" s="2">
        <v>33904.658000000003</v>
      </c>
      <c r="R285" s="208">
        <v>54670.389000000003</v>
      </c>
      <c r="S285" s="2"/>
    </row>
    <row r="286" spans="1:19" ht="15" customHeight="1">
      <c r="A286" s="200">
        <v>50</v>
      </c>
      <c r="B286" s="59">
        <v>1</v>
      </c>
      <c r="C286" s="2">
        <v>3950.7959999999998</v>
      </c>
      <c r="D286" s="2">
        <v>3933.43</v>
      </c>
      <c r="E286" s="2">
        <v>3916.0639999999999</v>
      </c>
      <c r="F286" s="2">
        <v>3855.2820000000002</v>
      </c>
      <c r="G286" s="2">
        <v>3768.4520000000002</v>
      </c>
      <c r="H286" s="2">
        <v>3612.1559999999999</v>
      </c>
      <c r="I286" s="2">
        <v>3455.8609999999999</v>
      </c>
      <c r="J286" s="2">
        <v>3195.3690000000001</v>
      </c>
      <c r="K286" s="2">
        <v>2943.56</v>
      </c>
      <c r="L286" s="2">
        <v>2709.1170000000002</v>
      </c>
      <c r="M286" s="2">
        <v>2483.357</v>
      </c>
      <c r="N286" s="2">
        <v>2301.0129999999999</v>
      </c>
      <c r="O286" s="2">
        <v>2092.6190000000001</v>
      </c>
      <c r="P286" s="2">
        <v>1892.9090000000001</v>
      </c>
      <c r="Q286" s="2">
        <v>1727.931</v>
      </c>
      <c r="R286" s="208">
        <v>1554.269</v>
      </c>
      <c r="S286" s="2"/>
    </row>
    <row r="287" spans="1:19" ht="15" customHeight="1">
      <c r="A287" s="200">
        <v>50</v>
      </c>
      <c r="B287" s="59">
        <v>2</v>
      </c>
      <c r="C287" s="2">
        <v>4619.3919999999998</v>
      </c>
      <c r="D287" s="2">
        <v>4602.0259999999998</v>
      </c>
      <c r="E287" s="2">
        <v>4567.2939999999999</v>
      </c>
      <c r="F287" s="2">
        <v>4497.8289999999997</v>
      </c>
      <c r="G287" s="2">
        <v>4350.2169999999996</v>
      </c>
      <c r="H287" s="2">
        <v>4202.6049999999996</v>
      </c>
      <c r="I287" s="2">
        <v>4028.944</v>
      </c>
      <c r="J287" s="2">
        <v>3785.8180000000002</v>
      </c>
      <c r="K287" s="2">
        <v>3455.8609999999999</v>
      </c>
      <c r="L287" s="2">
        <v>3186.6860000000001</v>
      </c>
      <c r="M287" s="2">
        <v>2978.2919999999999</v>
      </c>
      <c r="N287" s="2">
        <v>2795.9479999999999</v>
      </c>
      <c r="O287" s="2">
        <v>2604.92</v>
      </c>
      <c r="P287" s="2">
        <v>2422.576</v>
      </c>
      <c r="Q287" s="2">
        <v>2179.4499999999998</v>
      </c>
      <c r="R287" s="208">
        <v>1918.9580000000001</v>
      </c>
      <c r="S287" s="2"/>
    </row>
    <row r="288" spans="1:19" ht="15" customHeight="1">
      <c r="A288" s="200">
        <v>50</v>
      </c>
      <c r="B288" s="59">
        <v>3</v>
      </c>
      <c r="C288" s="2">
        <v>4489.1459999999997</v>
      </c>
      <c r="D288" s="2">
        <v>4497.8289999999997</v>
      </c>
      <c r="E288" s="2">
        <v>4419.6819999999998</v>
      </c>
      <c r="F288" s="2">
        <v>4358.8999999999996</v>
      </c>
      <c r="G288" s="2">
        <v>4228.6540000000005</v>
      </c>
      <c r="H288" s="2">
        <v>4107.0910000000003</v>
      </c>
      <c r="I288" s="2">
        <v>3924.7469999999998</v>
      </c>
      <c r="J288" s="2">
        <v>3672.9380000000001</v>
      </c>
      <c r="K288" s="2">
        <v>3316.9319999999998</v>
      </c>
      <c r="L288" s="2">
        <v>3021.7080000000001</v>
      </c>
      <c r="M288" s="2">
        <v>2787.2649999999999</v>
      </c>
      <c r="N288" s="2">
        <v>2587.5540000000001</v>
      </c>
      <c r="O288" s="2">
        <v>2361.7950000000001</v>
      </c>
      <c r="P288" s="2">
        <v>2179.4499999999998</v>
      </c>
      <c r="Q288" s="2">
        <v>1971.056</v>
      </c>
      <c r="R288" s="208">
        <v>1745.297</v>
      </c>
      <c r="S288" s="2"/>
    </row>
    <row r="289" spans="1:19" ht="15" customHeight="1">
      <c r="A289" s="200">
        <v>50</v>
      </c>
      <c r="B289" s="59">
        <v>4</v>
      </c>
      <c r="C289" s="2">
        <v>5253.2560000000003</v>
      </c>
      <c r="D289" s="2">
        <v>5227.2070000000003</v>
      </c>
      <c r="E289" s="2">
        <v>5201.1580000000004</v>
      </c>
      <c r="F289" s="2">
        <v>5157.7420000000002</v>
      </c>
      <c r="G289" s="2">
        <v>5027.4960000000001</v>
      </c>
      <c r="H289" s="2">
        <v>4897.25</v>
      </c>
      <c r="I289" s="2">
        <v>4723.5889999999999</v>
      </c>
      <c r="J289" s="30">
        <v>4419.6819999999998</v>
      </c>
      <c r="K289" s="30">
        <v>3959.4789999999998</v>
      </c>
      <c r="L289" s="30">
        <v>3707.67</v>
      </c>
      <c r="M289" s="30">
        <v>3386.3969999999999</v>
      </c>
      <c r="N289" s="30">
        <v>3151.9540000000002</v>
      </c>
      <c r="O289" s="30">
        <v>2926.194</v>
      </c>
      <c r="P289" s="30">
        <v>2648.3359999999998</v>
      </c>
      <c r="Q289" s="30">
        <v>2405.21</v>
      </c>
      <c r="R289" s="209">
        <v>2127.3519999999999</v>
      </c>
      <c r="S289" s="2"/>
    </row>
    <row r="290" spans="1:19" ht="15" customHeight="1">
      <c r="A290" s="201">
        <v>51</v>
      </c>
      <c r="B290" s="58">
        <v>1</v>
      </c>
      <c r="C290" s="206">
        <v>4591.2049999999999</v>
      </c>
      <c r="D290" s="206">
        <v>4281.759</v>
      </c>
      <c r="E290" s="206">
        <v>3410.4229999999998</v>
      </c>
      <c r="F290" s="206">
        <v>1757.329</v>
      </c>
      <c r="G290" s="206">
        <v>1203.5830000000001</v>
      </c>
      <c r="H290" s="206">
        <v>674.26700000000005</v>
      </c>
      <c r="I290" s="207">
        <v>454.39699999999999</v>
      </c>
      <c r="J290" s="2"/>
      <c r="K290" s="2"/>
      <c r="L290" s="2"/>
      <c r="M290" s="2"/>
      <c r="N290" s="2"/>
      <c r="O290" s="2"/>
      <c r="P290" s="2"/>
      <c r="Q290" s="2"/>
      <c r="R290" s="2"/>
    </row>
    <row r="291" spans="1:19" ht="15" customHeight="1">
      <c r="A291" s="200">
        <v>51</v>
      </c>
      <c r="B291" s="59">
        <v>2</v>
      </c>
      <c r="C291" s="2">
        <v>6228.0129999999999</v>
      </c>
      <c r="D291" s="2">
        <v>5983.7129999999997</v>
      </c>
      <c r="E291" s="2">
        <v>5169.3810000000003</v>
      </c>
      <c r="F291" s="2">
        <v>3809.4459999999999</v>
      </c>
      <c r="G291" s="2">
        <v>3019.5439999999999</v>
      </c>
      <c r="H291" s="2">
        <v>2099.3490000000002</v>
      </c>
      <c r="I291" s="208">
        <v>1504.886</v>
      </c>
      <c r="J291" s="2"/>
    </row>
    <row r="292" spans="1:19" ht="15" customHeight="1">
      <c r="A292" s="200">
        <v>51</v>
      </c>
      <c r="B292" s="59">
        <v>3</v>
      </c>
      <c r="C292" s="2">
        <v>6081.433</v>
      </c>
      <c r="D292" s="2">
        <v>5837.134</v>
      </c>
      <c r="E292" s="2">
        <v>4973.9409999999998</v>
      </c>
      <c r="F292" s="2">
        <v>3459.2829999999999</v>
      </c>
      <c r="G292" s="2">
        <v>2775.2440000000001</v>
      </c>
      <c r="H292" s="2">
        <v>1887.6220000000001</v>
      </c>
      <c r="I292" s="208">
        <v>1342.02</v>
      </c>
      <c r="J292" s="2"/>
    </row>
    <row r="293" spans="1:19" ht="15" customHeight="1">
      <c r="A293" s="200">
        <v>51</v>
      </c>
      <c r="B293" s="59">
        <v>4</v>
      </c>
      <c r="C293" s="2">
        <v>5902.28</v>
      </c>
      <c r="D293" s="2">
        <v>5657.98</v>
      </c>
      <c r="E293" s="2">
        <v>4794.7879999999996</v>
      </c>
      <c r="F293" s="2">
        <v>3296.4169999999999</v>
      </c>
      <c r="G293" s="2">
        <v>2522.8009999999999</v>
      </c>
      <c r="H293" s="2">
        <v>1773.616</v>
      </c>
      <c r="I293" s="208">
        <v>1244.3</v>
      </c>
      <c r="J293" s="2"/>
    </row>
    <row r="294" spans="1:19" ht="15" customHeight="1">
      <c r="A294" s="200">
        <v>51</v>
      </c>
      <c r="B294" s="59">
        <v>5</v>
      </c>
      <c r="C294" s="2">
        <v>6089.5770000000002</v>
      </c>
      <c r="D294" s="2">
        <v>5771.9870000000001</v>
      </c>
      <c r="E294" s="2">
        <v>4876.2209999999995</v>
      </c>
      <c r="F294" s="2">
        <v>3565.1469999999999</v>
      </c>
      <c r="G294" s="2">
        <v>2889.2510000000002</v>
      </c>
      <c r="H294" s="2">
        <v>1952.769</v>
      </c>
      <c r="I294" s="208">
        <v>1325.7329999999999</v>
      </c>
      <c r="J294" s="2"/>
    </row>
    <row r="295" spans="1:19" ht="15" customHeight="1">
      <c r="A295" s="200">
        <v>51</v>
      </c>
      <c r="B295" s="59">
        <v>6</v>
      </c>
      <c r="C295" s="2">
        <v>6016.2870000000003</v>
      </c>
      <c r="D295" s="2">
        <v>5739.4139999999998</v>
      </c>
      <c r="E295" s="2">
        <v>4436.482</v>
      </c>
      <c r="F295" s="2">
        <v>3060.261</v>
      </c>
      <c r="G295" s="2">
        <v>2522.8009999999999</v>
      </c>
      <c r="H295" s="2">
        <v>1757.329</v>
      </c>
      <c r="I295" s="208">
        <v>1154.723</v>
      </c>
      <c r="J295" s="2"/>
    </row>
    <row r="296" spans="1:19" ht="15" customHeight="1">
      <c r="A296" s="202">
        <v>51</v>
      </c>
      <c r="B296" s="203">
        <v>7</v>
      </c>
      <c r="C296" s="30">
        <v>5723.1270000000004</v>
      </c>
      <c r="D296" s="30">
        <v>5478.8270000000002</v>
      </c>
      <c r="E296" s="30">
        <v>4697.0680000000002</v>
      </c>
      <c r="F296" s="30">
        <v>3141.694</v>
      </c>
      <c r="G296" s="30">
        <v>2408.7950000000001</v>
      </c>
      <c r="H296" s="30">
        <v>1578.4559999999999</v>
      </c>
      <c r="I296" s="209">
        <v>1138.4359999999999</v>
      </c>
      <c r="J296" s="2"/>
    </row>
    <row r="297" spans="1:19" ht="15" customHeight="1">
      <c r="A297" s="205">
        <v>52</v>
      </c>
      <c r="B297" s="179">
        <v>1</v>
      </c>
      <c r="C297" s="2"/>
      <c r="D297" s="2"/>
      <c r="E297" s="2"/>
      <c r="F297" s="2"/>
      <c r="G297" s="2"/>
      <c r="H297" s="2"/>
      <c r="I297" s="2"/>
    </row>
    <row r="298" spans="1:19" ht="15" customHeight="1">
      <c r="A298" s="205">
        <v>52</v>
      </c>
      <c r="B298" s="179">
        <v>2</v>
      </c>
    </row>
    <row r="299" spans="1:19" ht="15" customHeight="1">
      <c r="A299" s="205">
        <v>52</v>
      </c>
      <c r="B299" s="179">
        <v>3</v>
      </c>
    </row>
    <row r="300" spans="1:19" ht="15" customHeight="1">
      <c r="A300" s="213">
        <v>52</v>
      </c>
      <c r="B300" s="180">
        <v>4</v>
      </c>
    </row>
    <row r="301" spans="1:19" ht="15" customHeight="1">
      <c r="A301" s="205">
        <v>53</v>
      </c>
      <c r="B301" s="179">
        <v>1</v>
      </c>
    </row>
    <row r="302" spans="1:19" ht="15" customHeight="1">
      <c r="A302" s="205">
        <v>53</v>
      </c>
      <c r="B302" s="179">
        <v>2</v>
      </c>
    </row>
    <row r="303" spans="1:19" ht="15" customHeight="1">
      <c r="A303" s="205">
        <v>53</v>
      </c>
      <c r="B303" s="179">
        <v>3</v>
      </c>
    </row>
    <row r="304" spans="1:19" ht="15" customHeight="1">
      <c r="A304" s="205">
        <v>53</v>
      </c>
      <c r="B304" s="179">
        <v>4</v>
      </c>
    </row>
    <row r="305" spans="1:18" ht="15" customHeight="1">
      <c r="A305" s="205">
        <v>53</v>
      </c>
      <c r="B305" s="179">
        <v>5</v>
      </c>
      <c r="C305" s="2"/>
      <c r="D305" s="2"/>
      <c r="E305" s="2"/>
      <c r="F305" s="2"/>
      <c r="G305" s="2"/>
      <c r="H305" s="2"/>
      <c r="I305" s="2"/>
      <c r="J305" s="2"/>
    </row>
    <row r="306" spans="1:18" ht="15" customHeight="1">
      <c r="A306" s="201">
        <v>54</v>
      </c>
      <c r="B306" s="178">
        <v>1</v>
      </c>
      <c r="C306" s="206">
        <v>355.04300000000001</v>
      </c>
      <c r="D306" s="206">
        <v>335.15899999999999</v>
      </c>
      <c r="E306" s="206">
        <v>297.11799999999999</v>
      </c>
      <c r="F306" s="206">
        <v>276.36900000000003</v>
      </c>
      <c r="G306" s="206">
        <v>210.66300000000001</v>
      </c>
      <c r="H306" s="206">
        <v>142.363</v>
      </c>
      <c r="I306" s="206">
        <v>108.646</v>
      </c>
      <c r="J306" s="207">
        <v>87.031999999999996</v>
      </c>
      <c r="K306" s="2"/>
    </row>
    <row r="307" spans="1:18" ht="15" customHeight="1">
      <c r="A307" s="200">
        <v>54</v>
      </c>
      <c r="B307" s="179">
        <v>2</v>
      </c>
      <c r="C307" s="2">
        <v>662.82399999999996</v>
      </c>
      <c r="D307" s="2">
        <v>632.56500000000005</v>
      </c>
      <c r="E307" s="2">
        <v>559.07799999999997</v>
      </c>
      <c r="F307" s="2">
        <v>389.625</v>
      </c>
      <c r="G307" s="2">
        <v>302.30500000000001</v>
      </c>
      <c r="H307" s="2">
        <v>248.703</v>
      </c>
      <c r="I307" s="2">
        <v>198.559</v>
      </c>
      <c r="J307" s="208">
        <v>150.14400000000001</v>
      </c>
      <c r="K307" s="2"/>
    </row>
    <row r="308" spans="1:18" ht="15" customHeight="1">
      <c r="A308" s="200">
        <v>54</v>
      </c>
      <c r="B308" s="179">
        <v>3</v>
      </c>
      <c r="C308" s="2">
        <v>523.63099999999997</v>
      </c>
      <c r="D308" s="2">
        <v>495.101</v>
      </c>
      <c r="E308" s="2">
        <v>418.15600000000001</v>
      </c>
      <c r="F308" s="2">
        <v>340.346</v>
      </c>
      <c r="G308" s="2">
        <v>265.99400000000003</v>
      </c>
      <c r="H308" s="2">
        <v>208.06899999999999</v>
      </c>
      <c r="I308" s="2">
        <v>168.3</v>
      </c>
      <c r="J308" s="208">
        <v>141.499</v>
      </c>
      <c r="K308" s="2"/>
    </row>
    <row r="309" spans="1:18" ht="15" customHeight="1">
      <c r="A309" s="202">
        <v>54</v>
      </c>
      <c r="B309" s="180">
        <v>4</v>
      </c>
      <c r="C309" s="30">
        <v>292.79500000000002</v>
      </c>
      <c r="D309" s="30">
        <v>284.14999999999998</v>
      </c>
      <c r="E309" s="30">
        <v>260.80700000000002</v>
      </c>
      <c r="F309" s="30">
        <v>256.48399999999998</v>
      </c>
      <c r="G309" s="30">
        <v>164.84100000000001</v>
      </c>
      <c r="H309" s="30">
        <v>109.51</v>
      </c>
      <c r="I309" s="30">
        <v>87.896000000000001</v>
      </c>
      <c r="J309" s="209">
        <v>76.656999999999996</v>
      </c>
      <c r="K309" s="2"/>
    </row>
    <row r="310" spans="1:18" ht="15" customHeight="1">
      <c r="A310" s="200">
        <v>55</v>
      </c>
      <c r="B310" s="179" t="s">
        <v>220</v>
      </c>
      <c r="C310" s="2"/>
      <c r="D310" s="2"/>
      <c r="E310" s="2"/>
      <c r="F310" s="2"/>
      <c r="G310" s="2"/>
      <c r="H310" s="2"/>
      <c r="I310" s="2"/>
      <c r="J310" s="2"/>
    </row>
    <row r="311" spans="1:18" ht="15" customHeight="1">
      <c r="A311" s="200">
        <v>55</v>
      </c>
      <c r="B311" s="179" t="s">
        <v>221</v>
      </c>
    </row>
    <row r="312" spans="1:18" ht="15" customHeight="1">
      <c r="A312" s="200">
        <v>55</v>
      </c>
      <c r="B312" s="179" t="s">
        <v>222</v>
      </c>
    </row>
    <row r="313" spans="1:18" ht="15" customHeight="1">
      <c r="A313" s="200">
        <v>55</v>
      </c>
      <c r="B313" s="179" t="s">
        <v>224</v>
      </c>
    </row>
    <row r="314" spans="1:18" ht="15" customHeight="1">
      <c r="A314" s="200">
        <v>55</v>
      </c>
      <c r="B314" s="179" t="s">
        <v>225</v>
      </c>
    </row>
    <row r="315" spans="1:18" ht="15" customHeight="1">
      <c r="A315" s="200">
        <v>55</v>
      </c>
      <c r="B315" s="179" t="s">
        <v>226</v>
      </c>
    </row>
    <row r="316" spans="1:18" ht="15" customHeight="1">
      <c r="A316" s="200">
        <v>55</v>
      </c>
      <c r="B316" s="179" t="s">
        <v>230</v>
      </c>
    </row>
    <row r="317" spans="1:18" ht="15" customHeight="1">
      <c r="A317" s="200">
        <v>55</v>
      </c>
      <c r="B317" s="179" t="s">
        <v>231</v>
      </c>
    </row>
    <row r="318" spans="1:18" ht="15" customHeight="1">
      <c r="A318" s="200">
        <v>55</v>
      </c>
      <c r="B318" s="179" t="s">
        <v>232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8" ht="15" customHeight="1">
      <c r="A319" s="177">
        <v>56</v>
      </c>
      <c r="B319" s="178" t="s">
        <v>220</v>
      </c>
      <c r="C319" s="206">
        <v>895279196.13399994</v>
      </c>
      <c r="D319" s="206">
        <v>929148434.91199994</v>
      </c>
      <c r="E319" s="206">
        <v>774315798.45200002</v>
      </c>
      <c r="F319" s="206">
        <v>654056643.97599995</v>
      </c>
      <c r="G319" s="206">
        <v>579211765.89300001</v>
      </c>
      <c r="H319" s="206">
        <v>539573008.81299996</v>
      </c>
      <c r="I319" s="206">
        <v>490908635.60100001</v>
      </c>
      <c r="J319" s="206">
        <v>428902388.64200002</v>
      </c>
      <c r="K319" s="206">
        <v>375995210.76700002</v>
      </c>
      <c r="L319" s="206">
        <v>331847287.21100003</v>
      </c>
      <c r="M319" s="206">
        <v>293873405.31199998</v>
      </c>
      <c r="N319" s="206">
        <v>265569765.59799999</v>
      </c>
      <c r="O319" s="206">
        <v>244077221.56999999</v>
      </c>
      <c r="P319" s="206">
        <v>221315408.13800001</v>
      </c>
      <c r="Q319" s="207">
        <v>204092162.19299999</v>
      </c>
      <c r="R319" s="2"/>
    </row>
    <row r="320" spans="1:18" ht="15" customHeight="1">
      <c r="A320" s="174">
        <v>56</v>
      </c>
      <c r="B320" s="179" t="s">
        <v>224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0"/>
      <c r="N320" s="30"/>
      <c r="O320" s="30"/>
      <c r="P320" s="30"/>
      <c r="Q320" s="209"/>
      <c r="R320" s="2"/>
    </row>
    <row r="321" spans="1:20" ht="15" customHeight="1">
      <c r="A321" s="177">
        <v>57</v>
      </c>
      <c r="B321" s="178">
        <v>1</v>
      </c>
      <c r="C321" s="206">
        <v>928105386.37800002</v>
      </c>
      <c r="D321" s="206">
        <v>903340775.10399997</v>
      </c>
      <c r="E321" s="206">
        <v>852888081.50899994</v>
      </c>
      <c r="F321" s="206">
        <v>783766682.38</v>
      </c>
      <c r="G321" s="206">
        <v>691612814.23800004</v>
      </c>
      <c r="H321" s="206">
        <v>578159819.69200003</v>
      </c>
      <c r="I321" s="206">
        <v>470421434.57099998</v>
      </c>
      <c r="J321" s="206">
        <v>354125719.44300002</v>
      </c>
      <c r="K321" s="206">
        <v>281396827.09100002</v>
      </c>
      <c r="L321" s="207">
        <v>224361912.04800001</v>
      </c>
      <c r="M321" s="2"/>
      <c r="N321" s="2"/>
      <c r="O321" s="2"/>
      <c r="P321" s="2"/>
      <c r="Q321" s="2"/>
    </row>
    <row r="322" spans="1:20" ht="15" customHeight="1">
      <c r="A322" s="174">
        <v>57</v>
      </c>
      <c r="B322" s="179">
        <v>2</v>
      </c>
      <c r="C322" s="2">
        <v>818980434.62699997</v>
      </c>
      <c r="D322" s="2">
        <v>773239369.829</v>
      </c>
      <c r="E322" s="2">
        <v>708174852.30799997</v>
      </c>
      <c r="F322" s="2">
        <v>578159819.69200003</v>
      </c>
      <c r="G322" s="2">
        <v>453248935.73400003</v>
      </c>
      <c r="H322" s="2">
        <v>354125719.44300002</v>
      </c>
      <c r="I322" s="2">
        <v>288135431.21600002</v>
      </c>
      <c r="J322" s="2">
        <v>240869349.91499999</v>
      </c>
      <c r="K322" s="2">
        <v>208985774.22099999</v>
      </c>
      <c r="L322" s="208">
        <v>190110825.248</v>
      </c>
      <c r="M322" s="2"/>
    </row>
    <row r="323" spans="1:20" ht="15" customHeight="1">
      <c r="A323" s="201">
        <v>58</v>
      </c>
      <c r="B323" s="58">
        <v>1</v>
      </c>
      <c r="C323" s="206">
        <v>26465.519</v>
      </c>
      <c r="D323" s="206">
        <v>30828.637999999999</v>
      </c>
      <c r="E323" s="206">
        <v>39756.752</v>
      </c>
      <c r="F323" s="206">
        <v>49560.983</v>
      </c>
      <c r="G323" s="206">
        <v>62839.495999999999</v>
      </c>
      <c r="H323" s="206">
        <v>83833.343999999997</v>
      </c>
      <c r="I323" s="206">
        <v>109960.603</v>
      </c>
      <c r="J323" s="206">
        <v>146696.992</v>
      </c>
      <c r="K323" s="206">
        <v>195706.52299999999</v>
      </c>
      <c r="L323" s="206">
        <v>256699.85699999999</v>
      </c>
      <c r="M323" s="207">
        <v>325475.58</v>
      </c>
      <c r="N323" s="2"/>
    </row>
    <row r="324" spans="1:20" ht="15" customHeight="1">
      <c r="A324" s="200">
        <v>58</v>
      </c>
      <c r="B324" s="59">
        <v>2</v>
      </c>
      <c r="C324" s="2">
        <v>13661.342000000001</v>
      </c>
      <c r="D324" s="2">
        <v>17918.996999999999</v>
      </c>
      <c r="E324" s="2">
        <v>24314.288</v>
      </c>
      <c r="F324" s="2">
        <v>33556.233</v>
      </c>
      <c r="G324" s="2">
        <v>41831.381999999998</v>
      </c>
      <c r="H324" s="2">
        <v>54868.43</v>
      </c>
      <c r="I324" s="2">
        <v>68399.282999999996</v>
      </c>
      <c r="J324" s="2">
        <v>91250.581000000006</v>
      </c>
      <c r="K324" s="2">
        <v>115698.685</v>
      </c>
      <c r="L324" s="2">
        <v>151757.005</v>
      </c>
      <c r="M324" s="208">
        <v>189181.10699999999</v>
      </c>
      <c r="N324" s="2"/>
    </row>
    <row r="325" spans="1:20" ht="15" customHeight="1">
      <c r="A325" s="200">
        <v>58</v>
      </c>
      <c r="B325" s="59">
        <v>3</v>
      </c>
      <c r="C325" s="2">
        <v>210.86600000000001</v>
      </c>
      <c r="D325" s="2">
        <v>262.86599999999999</v>
      </c>
      <c r="E325" s="2">
        <v>362.78300000000002</v>
      </c>
      <c r="F325" s="2">
        <v>492.26</v>
      </c>
      <c r="G325" s="2">
        <v>690.98699999999997</v>
      </c>
      <c r="H325" s="2">
        <v>1361.509</v>
      </c>
      <c r="I325" s="2">
        <v>2010.885</v>
      </c>
      <c r="J325" s="2">
        <v>3401.451</v>
      </c>
      <c r="K325" s="2">
        <v>5468.268</v>
      </c>
      <c r="L325" s="2">
        <v>9407.8510000000006</v>
      </c>
      <c r="M325" s="208">
        <v>14870.043</v>
      </c>
      <c r="N325" s="2"/>
    </row>
    <row r="326" spans="1:20" ht="15" customHeight="1">
      <c r="A326" s="201">
        <v>59</v>
      </c>
      <c r="B326" s="58">
        <v>1</v>
      </c>
      <c r="C326" s="206">
        <v>6256.3739999999998</v>
      </c>
      <c r="D326" s="206">
        <v>5889.518</v>
      </c>
      <c r="E326" s="206">
        <v>5433.4279999999999</v>
      </c>
      <c r="F326" s="206">
        <v>4808.7820000000002</v>
      </c>
      <c r="G326" s="206">
        <v>4174.2209999999995</v>
      </c>
      <c r="H326" s="206">
        <v>3618.98</v>
      </c>
      <c r="I326" s="206">
        <v>3133.1439999999998</v>
      </c>
      <c r="J326" s="206">
        <v>2736.5439999999999</v>
      </c>
      <c r="K326" s="206">
        <v>2439.0929999999998</v>
      </c>
      <c r="L326" s="206">
        <v>2191.2179999999998</v>
      </c>
      <c r="M326" s="206">
        <v>1883.8530000000001</v>
      </c>
      <c r="N326" s="206">
        <v>1507.0820000000001</v>
      </c>
      <c r="O326" s="206">
        <v>1279.037</v>
      </c>
      <c r="P326" s="206">
        <v>1100.567</v>
      </c>
      <c r="Q326" s="206">
        <v>961.75599999999997</v>
      </c>
      <c r="R326" s="206">
        <v>832.86099999999999</v>
      </c>
      <c r="S326" s="207">
        <v>713.88099999999997</v>
      </c>
      <c r="T326" s="2"/>
    </row>
    <row r="327" spans="1:20" ht="15" customHeight="1">
      <c r="A327" s="200">
        <v>59</v>
      </c>
      <c r="B327" s="59">
        <v>2</v>
      </c>
      <c r="C327" s="2">
        <v>6603.3990000000003</v>
      </c>
      <c r="D327" s="2">
        <v>6266.2889999999998</v>
      </c>
      <c r="E327" s="2">
        <v>5790.3680000000004</v>
      </c>
      <c r="F327" s="2">
        <v>5235.1270000000004</v>
      </c>
      <c r="G327" s="2">
        <v>4541.076</v>
      </c>
      <c r="H327" s="2">
        <v>3946.1759999999999</v>
      </c>
      <c r="I327" s="2">
        <v>3420.68</v>
      </c>
      <c r="J327" s="2">
        <v>2984.4189999999999</v>
      </c>
      <c r="K327" s="2">
        <v>2667.1390000000001</v>
      </c>
      <c r="L327" s="2">
        <v>2379.6030000000001</v>
      </c>
      <c r="M327" s="2">
        <v>2082.1529999999998</v>
      </c>
      <c r="N327" s="2">
        <v>1665.722</v>
      </c>
      <c r="O327" s="2">
        <v>1437.6769999999999</v>
      </c>
      <c r="P327" s="2">
        <v>1259.2070000000001</v>
      </c>
      <c r="Q327" s="2">
        <v>1090.652</v>
      </c>
      <c r="R327" s="2">
        <v>932.01099999999997</v>
      </c>
      <c r="S327" s="208">
        <v>753.54100000000005</v>
      </c>
      <c r="T327" s="2"/>
    </row>
    <row r="328" spans="1:20" ht="15" customHeight="1">
      <c r="A328" s="200">
        <v>59</v>
      </c>
      <c r="B328" s="59">
        <v>3</v>
      </c>
      <c r="C328" s="2">
        <v>5611.8980000000001</v>
      </c>
      <c r="D328" s="2">
        <v>5145.8919999999998</v>
      </c>
      <c r="E328" s="2">
        <v>4610.482</v>
      </c>
      <c r="F328" s="2">
        <v>4104.8159999999998</v>
      </c>
      <c r="G328" s="2">
        <v>3609.0650000000001</v>
      </c>
      <c r="H328" s="2">
        <v>3143.0590000000002</v>
      </c>
      <c r="I328" s="2">
        <v>2686.9690000000001</v>
      </c>
      <c r="J328" s="2">
        <v>2330.0279999999998</v>
      </c>
      <c r="K328" s="2">
        <v>2042.4929999999999</v>
      </c>
      <c r="L328" s="2">
        <v>1794.6179999999999</v>
      </c>
      <c r="M328" s="2">
        <v>1546.742</v>
      </c>
      <c r="N328" s="2">
        <v>1259.2070000000001</v>
      </c>
      <c r="O328" s="2">
        <v>1120.3969999999999</v>
      </c>
      <c r="P328" s="2">
        <v>991.50099999999998</v>
      </c>
      <c r="Q328" s="2">
        <v>852.69100000000003</v>
      </c>
      <c r="R328" s="2">
        <v>723.79600000000005</v>
      </c>
      <c r="S328" s="208">
        <v>634.56100000000004</v>
      </c>
      <c r="T328" s="2"/>
    </row>
    <row r="329" spans="1:20" ht="15" customHeight="1">
      <c r="A329" s="200">
        <v>59</v>
      </c>
      <c r="B329" s="59">
        <v>4</v>
      </c>
      <c r="C329" s="2">
        <v>5175.6369999999997</v>
      </c>
      <c r="D329" s="2">
        <v>4600.567</v>
      </c>
      <c r="E329" s="2">
        <v>3926.346</v>
      </c>
      <c r="F329" s="2">
        <v>3420.68</v>
      </c>
      <c r="G329" s="2">
        <v>2984.4189999999999</v>
      </c>
      <c r="H329" s="2">
        <v>2577.904</v>
      </c>
      <c r="I329" s="2">
        <v>2230.8780000000002</v>
      </c>
      <c r="J329" s="2">
        <v>1923.5129999999999</v>
      </c>
      <c r="K329" s="2">
        <v>1645.8920000000001</v>
      </c>
      <c r="L329" s="2">
        <v>1447.5920000000001</v>
      </c>
      <c r="M329" s="2">
        <v>1199.7170000000001</v>
      </c>
      <c r="N329" s="2">
        <v>961.75599999999997</v>
      </c>
      <c r="O329" s="2">
        <v>793.20100000000002</v>
      </c>
      <c r="P329" s="2">
        <v>694.05100000000004</v>
      </c>
      <c r="Q329" s="2">
        <v>624.64599999999996</v>
      </c>
      <c r="R329" s="2">
        <v>545.32600000000002</v>
      </c>
      <c r="S329" s="208">
        <v>456.09100000000001</v>
      </c>
      <c r="T329" s="2"/>
    </row>
    <row r="330" spans="1:20" ht="15" customHeight="1">
      <c r="A330" s="200">
        <v>59</v>
      </c>
      <c r="B330" s="59">
        <v>5</v>
      </c>
      <c r="C330" s="2">
        <v>4630.3119999999999</v>
      </c>
      <c r="D330" s="2">
        <v>4342.7759999999998</v>
      </c>
      <c r="E330" s="2">
        <v>4055.241</v>
      </c>
      <c r="F330" s="2">
        <v>3668.5549999999998</v>
      </c>
      <c r="G330" s="2">
        <v>3172.8049999999998</v>
      </c>
      <c r="H330" s="2">
        <v>2667.1390000000001</v>
      </c>
      <c r="I330" s="2">
        <v>2201.1329999999998</v>
      </c>
      <c r="J330" s="2">
        <v>1745.0419999999999</v>
      </c>
      <c r="K330" s="2">
        <v>1477.337</v>
      </c>
      <c r="L330" s="2">
        <v>1259.2070000000001</v>
      </c>
      <c r="M330" s="2">
        <v>1050.992</v>
      </c>
      <c r="N330" s="2">
        <v>793.20100000000002</v>
      </c>
      <c r="O330" s="2">
        <v>644.476</v>
      </c>
      <c r="P330" s="2">
        <v>555.24099999999999</v>
      </c>
      <c r="Q330" s="2">
        <v>495.75099999999998</v>
      </c>
      <c r="R330" s="2">
        <v>446.17599999999999</v>
      </c>
      <c r="S330" s="208">
        <v>376.77100000000002</v>
      </c>
      <c r="T330" s="2"/>
    </row>
    <row r="331" spans="1:20" ht="15" customHeight="1">
      <c r="A331" s="200">
        <v>59</v>
      </c>
      <c r="B331" s="59">
        <v>6</v>
      </c>
      <c r="C331" s="2">
        <v>5046.7420000000002</v>
      </c>
      <c r="D331" s="2">
        <v>4590.652</v>
      </c>
      <c r="E331" s="2">
        <v>4233.7110000000002</v>
      </c>
      <c r="F331" s="2">
        <v>3807.3649999999998</v>
      </c>
      <c r="G331" s="2">
        <v>3281.87</v>
      </c>
      <c r="H331" s="2">
        <v>2558.0740000000001</v>
      </c>
      <c r="I331" s="2">
        <v>2111.8980000000001</v>
      </c>
      <c r="J331" s="2">
        <v>1695.4670000000001</v>
      </c>
      <c r="K331" s="2">
        <v>1388.1020000000001</v>
      </c>
      <c r="L331" s="2">
        <v>1120.3969999999999</v>
      </c>
      <c r="M331" s="2">
        <v>912.18100000000004</v>
      </c>
      <c r="N331" s="30">
        <v>654.39099999999996</v>
      </c>
      <c r="O331" s="30">
        <v>466.00599999999997</v>
      </c>
      <c r="P331" s="30">
        <v>406.51600000000002</v>
      </c>
      <c r="Q331" s="30">
        <v>366.85599999999999</v>
      </c>
      <c r="R331" s="30">
        <v>327.19499999999999</v>
      </c>
      <c r="S331" s="209">
        <v>277.62</v>
      </c>
      <c r="T331" s="2"/>
    </row>
    <row r="332" spans="1:20" ht="15" customHeight="1">
      <c r="A332" s="201">
        <v>60</v>
      </c>
      <c r="B332" s="58">
        <v>1</v>
      </c>
      <c r="C332" s="206">
        <v>2.00909281260874E+16</v>
      </c>
      <c r="D332" s="206">
        <v>1.9364219639466112E+16</v>
      </c>
      <c r="E332" s="206">
        <v>1.8030177408595784E+16</v>
      </c>
      <c r="F332" s="206">
        <v>1.6180800376430728E+16</v>
      </c>
      <c r="G332" s="206">
        <v>1.4521116175877472E+16</v>
      </c>
      <c r="H332" s="206">
        <v>1.2560299636948816E+16</v>
      </c>
      <c r="I332" s="206">
        <v>9397233105646400</v>
      </c>
      <c r="J332" s="206">
        <v>7568328950209747</v>
      </c>
      <c r="K332" s="206">
        <v>4560369159512973</v>
      </c>
      <c r="L332" s="206">
        <v>2382319469358699</v>
      </c>
      <c r="M332" s="207">
        <v>303389118419426.5</v>
      </c>
      <c r="N332" s="2"/>
      <c r="O332" s="2"/>
      <c r="P332" s="2"/>
      <c r="Q332" s="2"/>
      <c r="R332" s="2"/>
      <c r="S332" s="2"/>
    </row>
    <row r="333" spans="1:20" ht="15" customHeight="1">
      <c r="A333" s="200">
        <v>60</v>
      </c>
      <c r="B333" s="59">
        <v>2</v>
      </c>
      <c r="C333" s="2">
        <v>1336595516546444.8</v>
      </c>
      <c r="D333" s="2">
        <v>1241652307592412</v>
      </c>
      <c r="E333" s="2">
        <v>1156112242192103.3</v>
      </c>
      <c r="F333" s="2">
        <v>1037528415818015.6</v>
      </c>
      <c r="G333" s="2">
        <v>671428852925953.63</v>
      </c>
      <c r="H333" s="2">
        <v>561047976032472.75</v>
      </c>
      <c r="I333" s="2">
        <v>435511873685570.81</v>
      </c>
      <c r="J333" s="2">
        <v>314774831410132.25</v>
      </c>
      <c r="K333" s="2">
        <v>152756605823807.63</v>
      </c>
      <c r="L333" s="2">
        <v>68865229634427.703</v>
      </c>
      <c r="M333" s="208">
        <v>6109420249055.7383</v>
      </c>
      <c r="N333" s="2"/>
    </row>
    <row r="334" spans="1:20" ht="15" customHeight="1">
      <c r="A334" s="200">
        <v>60</v>
      </c>
      <c r="B334" s="59">
        <v>3</v>
      </c>
      <c r="C334" s="2">
        <v>92044957175317.547</v>
      </c>
      <c r="D334" s="2">
        <v>95499258602143.734</v>
      </c>
      <c r="E334" s="2">
        <v>92044957175317.547</v>
      </c>
      <c r="F334" s="2">
        <v>71449632607551.469</v>
      </c>
      <c r="G334" s="2">
        <v>57543993733715.898</v>
      </c>
      <c r="H334" s="2">
        <v>59703528658383.93</v>
      </c>
      <c r="I334" s="2">
        <v>47973344863668.984</v>
      </c>
      <c r="J334" s="2">
        <v>38636697705407.039</v>
      </c>
      <c r="K334" s="2">
        <v>27925438412373.484</v>
      </c>
      <c r="L334" s="2">
        <v>13061708881318.459</v>
      </c>
      <c r="M334" s="208">
        <v>1853531623414.822</v>
      </c>
      <c r="N334" s="2"/>
    </row>
    <row r="335" spans="1:20" ht="15" customHeight="1">
      <c r="A335" s="200">
        <v>60</v>
      </c>
      <c r="B335" s="59">
        <v>4</v>
      </c>
      <c r="C335" s="2">
        <v>11297959146728</v>
      </c>
      <c r="D335" s="2">
        <v>10914403364487.586</v>
      </c>
      <c r="E335" s="2">
        <v>9440608762859.2383</v>
      </c>
      <c r="F335" s="2">
        <v>6576578373554.208</v>
      </c>
      <c r="G335" s="2">
        <v>4111497211045.2354</v>
      </c>
      <c r="H335" s="2">
        <v>2660725059798.8247</v>
      </c>
      <c r="I335" s="2">
        <v>1995262314968.8862</v>
      </c>
      <c r="J335" s="2">
        <v>1606941253012.8794</v>
      </c>
      <c r="K335" s="2">
        <v>1158777356155.1274</v>
      </c>
      <c r="L335" s="2">
        <v>751622894018.20618</v>
      </c>
      <c r="M335" s="208">
        <v>74301913789.670395</v>
      </c>
      <c r="N335" s="2"/>
    </row>
    <row r="336" spans="1:20" ht="15" customHeight="1">
      <c r="A336" s="200">
        <v>60</v>
      </c>
      <c r="B336" s="59">
        <v>5</v>
      </c>
      <c r="C336" s="2">
        <v>1492794409578.9966</v>
      </c>
      <c r="D336" s="2">
        <v>1492794409578.9966</v>
      </c>
      <c r="E336" s="2">
        <v>1247383514242.946</v>
      </c>
      <c r="F336" s="2">
        <v>779830110523.25989</v>
      </c>
      <c r="G336" s="2">
        <v>293764965196.15387</v>
      </c>
      <c r="H336" s="2">
        <v>164816239152.55154</v>
      </c>
      <c r="I336" s="2">
        <v>118850222743.70193</v>
      </c>
      <c r="J336" s="2">
        <v>79983425500.703201</v>
      </c>
      <c r="K336" s="2">
        <v>69183097091.89386</v>
      </c>
      <c r="L336" s="2">
        <v>50003453497.698036</v>
      </c>
      <c r="M336" s="208">
        <v>8491804750.3631716</v>
      </c>
      <c r="N336" s="2"/>
    </row>
    <row r="337" spans="1:14" ht="15" customHeight="1">
      <c r="A337" s="102">
        <v>61</v>
      </c>
      <c r="B337" s="246">
        <v>1</v>
      </c>
      <c r="C337" s="105">
        <v>16503.866000000002</v>
      </c>
      <c r="D337" s="105">
        <v>15675.846</v>
      </c>
      <c r="E337" s="105">
        <v>12758.87</v>
      </c>
      <c r="F337" s="105">
        <v>5051.5860000000002</v>
      </c>
      <c r="G337" s="105">
        <v>1116.066</v>
      </c>
      <c r="H337" s="105">
        <v>506.89499999999998</v>
      </c>
      <c r="I337" s="105">
        <v>80.834999999999994</v>
      </c>
      <c r="J337" s="105">
        <v>2.6589999999999998</v>
      </c>
      <c r="K337" s="105">
        <v>1.9530000000000001</v>
      </c>
      <c r="L337" s="105">
        <v>1.409</v>
      </c>
      <c r="M337" s="132">
        <v>1.1279999999999999</v>
      </c>
      <c r="N337" s="2"/>
    </row>
    <row r="338" spans="1:14" ht="1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41" spans="1:14" ht="15" customHeight="1">
      <c r="L341" s="131"/>
    </row>
    <row r="342" spans="1:14" ht="15" customHeight="1">
      <c r="L342" s="131"/>
    </row>
    <row r="343" spans="1:14" ht="15" customHeight="1">
      <c r="L343" s="131"/>
    </row>
    <row r="344" spans="1:14" ht="15" customHeight="1">
      <c r="L344" s="131"/>
    </row>
    <row r="345" spans="1:14" ht="15" customHeight="1">
      <c r="L345" s="131"/>
    </row>
    <row r="346" spans="1:14" ht="15" customHeight="1">
      <c r="L346" s="131"/>
    </row>
    <row r="347" spans="1:14" ht="15" customHeight="1">
      <c r="L347" s="131"/>
    </row>
    <row r="348" spans="1:14" ht="15" customHeight="1">
      <c r="L348" s="131"/>
    </row>
    <row r="349" spans="1:14" ht="15" customHeight="1">
      <c r="L349" s="131"/>
    </row>
    <row r="350" spans="1:14" ht="15" customHeight="1">
      <c r="L350" s="131"/>
    </row>
    <row r="351" spans="1:14" ht="15" customHeight="1">
      <c r="L351" s="131"/>
    </row>
    <row r="352" spans="1:14" ht="15" customHeight="1">
      <c r="L352" s="131"/>
    </row>
    <row r="353" spans="12:12" ht="15" customHeight="1">
      <c r="L353" s="131"/>
    </row>
    <row r="354" spans="12:12" ht="15" customHeight="1">
      <c r="L354" s="131"/>
    </row>
    <row r="355" spans="12:12" ht="15" customHeight="1">
      <c r="L355" s="131"/>
    </row>
    <row r="356" spans="12:12" ht="15" customHeight="1">
      <c r="L356" s="131"/>
    </row>
    <row r="357" spans="12:12" ht="15" customHeight="1">
      <c r="L357" s="131"/>
    </row>
    <row r="358" spans="12:12" ht="15" customHeight="1">
      <c r="L358" s="131"/>
    </row>
    <row r="359" spans="12:12" ht="15" customHeight="1">
      <c r="L359" s="131"/>
    </row>
    <row r="360" spans="12:12" ht="15" customHeight="1">
      <c r="L360" s="131"/>
    </row>
    <row r="361" spans="12:12" ht="15" customHeight="1">
      <c r="L361" s="131"/>
    </row>
    <row r="362" spans="12:12" ht="15" customHeight="1">
      <c r="L362" s="131"/>
    </row>
    <row r="363" spans="12:12" ht="15" customHeight="1">
      <c r="L363" s="131"/>
    </row>
    <row r="364" spans="12:12" ht="15" customHeight="1">
      <c r="L364" s="131"/>
    </row>
    <row r="365" spans="12:12" ht="15" customHeight="1">
      <c r="L365" s="131"/>
    </row>
    <row r="366" spans="12:12" ht="15" customHeight="1">
      <c r="L366" s="131"/>
    </row>
    <row r="367" spans="12:12" ht="15" customHeight="1">
      <c r="L367" s="131"/>
    </row>
    <row r="368" spans="12:12" ht="15" customHeight="1">
      <c r="L368" s="131"/>
    </row>
    <row r="369" spans="12:12" ht="15" customHeight="1">
      <c r="L369" s="131"/>
    </row>
    <row r="370" spans="12:12" ht="15" customHeight="1">
      <c r="L370" s="131"/>
    </row>
    <row r="371" spans="12:12" ht="15" customHeight="1">
      <c r="L371" s="131"/>
    </row>
    <row r="372" spans="12:12" ht="15" customHeight="1">
      <c r="L372" s="131"/>
    </row>
    <row r="373" spans="12:12" ht="15" customHeight="1">
      <c r="L373" s="131"/>
    </row>
    <row r="374" spans="12:12" ht="15" customHeight="1">
      <c r="L374" s="131"/>
    </row>
    <row r="375" spans="12:12" ht="15" customHeight="1">
      <c r="L375" s="131"/>
    </row>
    <row r="376" spans="12:12" ht="15" customHeight="1">
      <c r="L376" s="131"/>
    </row>
    <row r="377" spans="12:12" ht="15" customHeight="1">
      <c r="L377" s="131"/>
    </row>
    <row r="378" spans="12:12" ht="15" customHeight="1">
      <c r="L378" s="131"/>
    </row>
    <row r="379" spans="12:12" ht="15" customHeight="1">
      <c r="L379" s="131"/>
    </row>
    <row r="380" spans="12:12" ht="15" customHeight="1">
      <c r="L380" s="131"/>
    </row>
    <row r="381" spans="12:12" ht="15" customHeight="1">
      <c r="L381" s="131"/>
    </row>
    <row r="382" spans="12:12" ht="15" customHeight="1">
      <c r="L382" s="131"/>
    </row>
    <row r="383" spans="12:12" ht="15" customHeight="1">
      <c r="L383" s="131"/>
    </row>
    <row r="384" spans="12:12" ht="15" customHeight="1">
      <c r="L384" s="131"/>
    </row>
    <row r="385" spans="12:12" ht="15" customHeight="1">
      <c r="L385" s="131"/>
    </row>
    <row r="386" spans="12:12" ht="15" customHeight="1">
      <c r="L386" s="131"/>
    </row>
    <row r="387" spans="12:12" ht="15" customHeight="1">
      <c r="L387" s="131"/>
    </row>
    <row r="388" spans="12:12" ht="15" customHeight="1">
      <c r="L388" s="131"/>
    </row>
    <row r="389" spans="12:12" ht="15" customHeight="1">
      <c r="L389" s="131"/>
    </row>
    <row r="390" spans="12:12" ht="15" customHeight="1">
      <c r="L390" s="131"/>
    </row>
    <row r="391" spans="12:12" ht="15" customHeight="1">
      <c r="L391" s="131"/>
    </row>
    <row r="392" spans="12:12" ht="15" customHeight="1">
      <c r="L392" s="131"/>
    </row>
    <row r="393" spans="12:12" ht="15" customHeight="1">
      <c r="L393" s="131"/>
    </row>
    <row r="394" spans="12:12" ht="15" customHeight="1">
      <c r="L394" s="131"/>
    </row>
    <row r="395" spans="12:12" ht="15" customHeight="1">
      <c r="L395" s="131"/>
    </row>
    <row r="396" spans="12:12" ht="15" customHeight="1">
      <c r="L396" s="131"/>
    </row>
    <row r="397" spans="12:12" ht="15" customHeight="1">
      <c r="L397" s="131"/>
    </row>
    <row r="398" spans="12:12" ht="15" customHeight="1">
      <c r="L398" s="131"/>
    </row>
    <row r="399" spans="12:12" ht="15" customHeight="1">
      <c r="L399" s="131"/>
    </row>
    <row r="400" spans="12:12" ht="15" customHeight="1">
      <c r="L400" s="131"/>
    </row>
    <row r="401" spans="12:12" ht="15" customHeight="1">
      <c r="L401" s="131"/>
    </row>
    <row r="402" spans="12:12" ht="15" customHeight="1">
      <c r="L402" s="131"/>
    </row>
    <row r="403" spans="12:12" ht="15" customHeight="1">
      <c r="L403" s="131"/>
    </row>
    <row r="404" spans="12:12" ht="15" customHeight="1">
      <c r="L404" s="131"/>
    </row>
    <row r="405" spans="12:12" ht="15" customHeight="1">
      <c r="L405" s="131"/>
    </row>
    <row r="406" spans="12:12" ht="15" customHeight="1">
      <c r="L406" s="131"/>
    </row>
    <row r="407" spans="12:12" ht="15" customHeight="1">
      <c r="L407" s="131"/>
    </row>
    <row r="408" spans="12:12" ht="15" customHeight="1">
      <c r="L408" s="131"/>
    </row>
    <row r="409" spans="12:12" ht="15" customHeight="1">
      <c r="L409" s="131"/>
    </row>
    <row r="410" spans="12:12" ht="15" customHeight="1">
      <c r="L410" s="131"/>
    </row>
    <row r="411" spans="12:12" ht="15" customHeight="1">
      <c r="L411" s="131"/>
    </row>
    <row r="412" spans="12:12" ht="15" customHeight="1">
      <c r="L412" s="131"/>
    </row>
    <row r="413" spans="12:12" ht="15" customHeight="1">
      <c r="L413" s="131"/>
    </row>
    <row r="414" spans="12:12" ht="15" customHeight="1">
      <c r="L414" s="131"/>
    </row>
    <row r="415" spans="12:12" ht="15" customHeight="1">
      <c r="L415" s="131"/>
    </row>
    <row r="416" spans="12:12" ht="15" customHeight="1">
      <c r="L416" s="13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988"/>
  <sheetViews>
    <sheetView workbookViewId="0">
      <selection activeCell="A348" activeCellId="11" sqref="A10:XFD10 A226:XFD226 A230:XFD230 A229:XFD229 A228:XFD228 A227:XFD227 A292:XFD292 A333:XFD333 A334:XFD334 A346:XFD346 A347:XFD347 A348:XFD348"/>
    </sheetView>
  </sheetViews>
  <sheetFormatPr defaultColWidth="12.5703125" defaultRowHeight="15" customHeight="1"/>
  <cols>
    <col min="1" max="2" width="8.5703125" customWidth="1"/>
    <col min="3" max="3" width="18.28515625" customWidth="1"/>
    <col min="4" max="6" width="16" customWidth="1"/>
    <col min="7" max="11" width="14.85546875" customWidth="1"/>
    <col min="12" max="12" width="13.85546875" customWidth="1"/>
    <col min="13" max="15" width="8.5703125" customWidth="1"/>
    <col min="16" max="16" width="8.7109375" customWidth="1"/>
    <col min="17" max="20" width="8.5703125" customWidth="1"/>
    <col min="21" max="21" width="11.140625" customWidth="1"/>
    <col min="22" max="46" width="8.5703125" customWidth="1"/>
  </cols>
  <sheetData>
    <row r="1" spans="1:45">
      <c r="A1" s="16" t="s">
        <v>218</v>
      </c>
      <c r="B1" s="15" t="s">
        <v>219</v>
      </c>
    </row>
    <row r="2" spans="1:45">
      <c r="A2" s="337">
        <v>1</v>
      </c>
      <c r="B2" s="255">
        <v>1</v>
      </c>
    </row>
    <row r="3" spans="1:45">
      <c r="A3" s="337">
        <v>1</v>
      </c>
      <c r="B3" s="255">
        <v>2</v>
      </c>
    </row>
    <row r="4" spans="1:45">
      <c r="A4" s="338">
        <v>1</v>
      </c>
      <c r="B4" s="255">
        <v>3</v>
      </c>
    </row>
    <row r="5" spans="1:45">
      <c r="A5" s="338">
        <v>1</v>
      </c>
      <c r="B5" s="255">
        <v>4</v>
      </c>
    </row>
    <row r="6" spans="1:45">
      <c r="A6" s="338">
        <v>1</v>
      </c>
      <c r="B6" s="255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45">
      <c r="A7" s="177">
        <v>2</v>
      </c>
      <c r="B7" s="178">
        <v>1</v>
      </c>
      <c r="C7" s="206">
        <f>Storage_modulus_G!C7/1000000</f>
        <v>7.8116806310642408E-5</v>
      </c>
      <c r="D7" s="206">
        <f>Storage_modulus_G!D7/1000000</f>
        <v>1.1030285429800399E-4</v>
      </c>
      <c r="E7" s="206">
        <f>Storage_modulus_G!E7/1000000</f>
        <v>1.61510920658763E-4</v>
      </c>
      <c r="F7" s="206">
        <f>Storage_modulus_G!F7/1000000</f>
        <v>2.40826054185602E-4</v>
      </c>
      <c r="G7" s="206">
        <f>Storage_modulus_G!G7/1000000</f>
        <v>3.6567181101941496E-4</v>
      </c>
      <c r="H7" s="206">
        <f>Storage_modulus_G!H7/1000000</f>
        <v>5.4524671777933E-4</v>
      </c>
      <c r="I7" s="206">
        <f>Storage_modulus_G!I7/1000000</f>
        <v>7.5604717660682197E-4</v>
      </c>
      <c r="J7" s="206">
        <f>Storage_modulus_G!J7/1000000</f>
        <v>1.01095508532093E-3</v>
      </c>
      <c r="K7" s="206">
        <f>Storage_modulus_G!K7/1000000</f>
        <v>1.4536523938769301E-3</v>
      </c>
      <c r="L7" s="206">
        <f>Storage_modulus_G!L7/1000000</f>
        <v>2.0156559449537002E-3</v>
      </c>
      <c r="M7" s="207">
        <f>Storage_modulus_G!M7/1000000</f>
        <v>2.5523490290922999E-3</v>
      </c>
      <c r="N7" s="2"/>
    </row>
    <row r="8" spans="1:45">
      <c r="A8" s="174">
        <v>2</v>
      </c>
      <c r="B8" s="179">
        <v>2</v>
      </c>
      <c r="C8" s="2">
        <f>Storage_modulus_G!C8/1000000</f>
        <v>2.26406864333339E-6</v>
      </c>
      <c r="D8" s="2">
        <f>Storage_modulus_G!D8/1000000</f>
        <v>2.4346432415670903E-6</v>
      </c>
      <c r="E8" s="2">
        <f>Storage_modulus_G!E8/1000000</f>
        <v>2.7646514028593197E-6</v>
      </c>
      <c r="F8" s="2">
        <f>Storage_modulus_G!F8/1000000</f>
        <v>2.9729398324913299E-6</v>
      </c>
      <c r="G8" s="2">
        <f>Storage_modulus_G!G8/1000000</f>
        <v>3.4377762152010896E-6</v>
      </c>
      <c r="H8" s="2">
        <f>Storage_modulus_G!H8/1000000</f>
        <v>3.9037558660769296E-6</v>
      </c>
      <c r="I8" s="2">
        <f>Storage_modulus_G!I8/1000000</f>
        <v>4.5968524908072997E-6</v>
      </c>
      <c r="J8" s="2">
        <f>Storage_modulus_G!J8/1000000</f>
        <v>6.2593605509614705E-6</v>
      </c>
      <c r="K8" s="2">
        <f>Storage_modulus_G!K8/1000000</f>
        <v>8.2191422785135189E-6</v>
      </c>
      <c r="L8" s="2">
        <f>Storage_modulus_G!L8/1000000</f>
        <v>1.1605631310581799E-5</v>
      </c>
      <c r="M8" s="208">
        <f>Storage_modulus_G!M8/1000000</f>
        <v>2.8773357139548201E-5</v>
      </c>
      <c r="N8" s="2"/>
    </row>
    <row r="9" spans="1:45">
      <c r="A9" s="174">
        <v>2</v>
      </c>
      <c r="B9" s="179">
        <v>3</v>
      </c>
      <c r="C9" s="2">
        <f>Storage_modulus_G!C9/1000000</f>
        <v>6.9042533485137996E-4</v>
      </c>
      <c r="D9" s="2">
        <f>Storage_modulus_G!D9/1000000</f>
        <v>8.4307751718878108E-4</v>
      </c>
      <c r="E9" s="2">
        <f>Storage_modulus_G!E9/1000000</f>
        <v>1.06755723258899E-3</v>
      </c>
      <c r="F9" s="2">
        <f>Storage_modulus_G!F9/1000000</f>
        <v>1.4536523938769301E-3</v>
      </c>
      <c r="G9" s="2">
        <f>Storage_modulus_G!G9/1000000</f>
        <v>2.0156559449537002E-3</v>
      </c>
      <c r="H9" s="2">
        <f>Storage_modulus_G!H9/1000000</f>
        <v>2.5991210013088699E-3</v>
      </c>
      <c r="I9" s="2">
        <f>Storage_modulus_G!I9/1000000</f>
        <v>3.6700228625603398E-3</v>
      </c>
      <c r="J9" s="2">
        <f>Storage_modulus_G!J9/1000000</f>
        <v>4.8190929132765105E-3</v>
      </c>
      <c r="K9" s="2">
        <f>Storage_modulus_G!K9/1000000</f>
        <v>7.3173413027418401E-3</v>
      </c>
      <c r="L9" s="2">
        <f>Storage_modulus_G!L9/1000000</f>
        <v>1.1947775848776201E-2</v>
      </c>
      <c r="M9" s="208">
        <f>Storage_modulus_G!M9/1000000</f>
        <v>1.26167173061541E-2</v>
      </c>
      <c r="N9" s="2"/>
    </row>
    <row r="10" spans="1:45">
      <c r="A10" s="177">
        <v>3</v>
      </c>
      <c r="B10" s="178">
        <v>1</v>
      </c>
      <c r="C10" s="206">
        <f>Storage_modulus_G!C10/1000000</f>
        <v>2.37474943173543E-5</v>
      </c>
      <c r="D10" s="206">
        <f>Storage_modulus_G!D10/1000000</f>
        <v>1.4724465497136E-5</v>
      </c>
      <c r="E10" s="206">
        <f>Storage_modulus_G!E10/1000000</f>
        <v>2.11930956726879E-5</v>
      </c>
      <c r="F10" s="206">
        <f>Storage_modulus_G!F10/1000000</f>
        <v>4.0083478541601001E-5</v>
      </c>
      <c r="G10" s="206">
        <f>Storage_modulus_G!G10/1000000</f>
        <v>1.64367324515881E-4</v>
      </c>
      <c r="H10" s="206">
        <f>Storage_modulus_G!H10/1000000</f>
        <v>3.3284384259490399E-4</v>
      </c>
      <c r="I10" s="206">
        <f>Storage_modulus_G!I10/1000000</f>
        <v>9.0607968248164396E-4</v>
      </c>
      <c r="J10" s="206">
        <f>Storage_modulus_G!J10/1000000</f>
        <v>1.6751462069041398E-3</v>
      </c>
      <c r="K10" s="206">
        <f>Storage_modulus_G!K10/1000000</f>
        <v>3.2412191933232897E-3</v>
      </c>
      <c r="L10" s="206">
        <f>Storage_modulus_G!L10/1000000</f>
        <v>6.1302672337590599E-3</v>
      </c>
      <c r="M10" s="206">
        <f>Storage_modulus_G!M10/1000000</f>
        <v>1.0114451572906E-2</v>
      </c>
      <c r="N10" s="206">
        <f>Storage_modulus_G!N10/1000000</f>
        <v>1.74652428720624E-2</v>
      </c>
      <c r="O10" s="206">
        <f>Storage_modulus_G!O10/1000000</f>
        <v>2.6914327055682398E-2</v>
      </c>
      <c r="P10" s="206">
        <f>Storage_modulus_G!P10/1000000</f>
        <v>3.9629908011002996E-2</v>
      </c>
      <c r="Q10" s="206">
        <f>Storage_modulus_G!Q10/1000000</f>
        <v>5.7039790825709195E-2</v>
      </c>
      <c r="R10" s="206">
        <f>Storage_modulus_G!R10/1000000</f>
        <v>7.8444667530402287E-2</v>
      </c>
      <c r="S10" s="206">
        <f>Storage_modulus_G!S10/1000000</f>
        <v>9.6277662014594104E-2</v>
      </c>
      <c r="T10" s="206">
        <f>Storage_modulus_G!T10/1000000</f>
        <v>0.115505580048571</v>
      </c>
      <c r="U10" s="206">
        <f>Storage_modulus_G!U10/1000000</f>
        <v>0.13857356673591101</v>
      </c>
      <c r="V10" s="206">
        <f>Storage_modulus_G!V10/1000000</f>
        <v>0.16624853439840101</v>
      </c>
      <c r="W10" s="206">
        <f>Storage_modulus_G!W10/1000000</f>
        <v>0.19496227170075101</v>
      </c>
      <c r="X10" s="206">
        <f>Storage_modulus_G!X10/1000000</f>
        <v>0.21846102668609699</v>
      </c>
      <c r="Y10" s="207">
        <f>Storage_modulus_G!Y10/1000000</f>
        <v>0.23389880694204002</v>
      </c>
      <c r="Z10" s="2"/>
    </row>
    <row r="11" spans="1:45">
      <c r="A11" s="174">
        <v>3</v>
      </c>
      <c r="B11" s="179">
        <v>2</v>
      </c>
      <c r="C11" s="2">
        <f>Storage_modulus_G!C11/1000000</f>
        <v>2.1517122110803E-3</v>
      </c>
      <c r="D11" s="2">
        <f>Storage_modulus_G!D11/1000000</f>
        <v>2.0096949826772601E-3</v>
      </c>
      <c r="E11" s="2">
        <f>Storage_modulus_G!E11/1000000</f>
        <v>1.52937505845374E-3</v>
      </c>
      <c r="F11" s="2">
        <f>Storage_modulus_G!F11/1000000</f>
        <v>1.5645832699791599E-3</v>
      </c>
      <c r="G11" s="2">
        <f>Storage_modulus_G!G11/1000000</f>
        <v>2.95916844321987E-3</v>
      </c>
      <c r="H11" s="2">
        <f>Storage_modulus_G!H11/1000000</f>
        <v>4.1633207228822201E-3</v>
      </c>
      <c r="I11" s="2">
        <f>Storage_modulus_G!I11/1000000</f>
        <v>6.8691468460252997E-3</v>
      </c>
      <c r="J11" s="2">
        <f>Storage_modulus_G!J11/1000000</f>
        <v>1.08292000255728E-2</v>
      </c>
      <c r="K11" s="2">
        <f>Storage_modulus_G!K11/1000000</f>
        <v>1.63125025691058E-2</v>
      </c>
      <c r="L11" s="2">
        <f>Storage_modulus_G!L11/1000000</f>
        <v>2.4019288125074E-2</v>
      </c>
      <c r="M11" s="2">
        <f>Storage_modulus_G!M11/1000000</f>
        <v>3.4571242760802701E-2</v>
      </c>
      <c r="N11" s="2">
        <f>Storage_modulus_G!N11/1000000</f>
        <v>4.7544522958903504E-2</v>
      </c>
      <c r="O11" s="2">
        <f>Storage_modulus_G!O11/1000000</f>
        <v>7.1618416049434697E-2</v>
      </c>
      <c r="P11" s="2">
        <f>Storage_modulus_G!P11/1000000</f>
        <v>9.8494099552688411E-2</v>
      </c>
      <c r="Q11" s="2">
        <f>Storage_modulus_G!Q11/1000000</f>
        <v>0.13857356673591101</v>
      </c>
      <c r="R11" s="2">
        <f>Storage_modulus_G!R11/1000000</f>
        <v>0.17799666348507201</v>
      </c>
      <c r="S11" s="2">
        <f>Storage_modulus_G!S11/1000000</f>
        <v>0.22349028487564801</v>
      </c>
      <c r="T11" s="2">
        <f>Storage_modulus_G!T11/1000000</f>
        <v>0.30735773816062401</v>
      </c>
      <c r="U11" s="2">
        <f>Storage_modulus_G!U11/1000000</f>
        <v>0.37723003186583698</v>
      </c>
      <c r="V11" s="2">
        <f>Storage_modulus_G!V11/1000000</f>
        <v>0.46298654393120903</v>
      </c>
      <c r="W11" s="2">
        <f>Storage_modulus_G!W11/1000000</f>
        <v>0.58131985493905292</v>
      </c>
      <c r="X11" s="2">
        <f>Storage_modulus_G!X11/1000000</f>
        <v>0.65138619505790796</v>
      </c>
      <c r="Y11" s="208">
        <f>Storage_modulus_G!Y11/1000000</f>
        <v>0.78147660341388892</v>
      </c>
      <c r="Z11" s="2"/>
    </row>
    <row r="12" spans="1:45">
      <c r="A12" s="174">
        <v>3</v>
      </c>
      <c r="B12" s="179">
        <v>3</v>
      </c>
      <c r="C12" s="2">
        <f>Storage_modulus_G!C12/1000000</f>
        <v>0.13240702811159602</v>
      </c>
      <c r="D12" s="2">
        <f>Storage_modulus_G!D12/1000000</f>
        <v>0.13857356673591101</v>
      </c>
      <c r="E12" s="2">
        <f>Storage_modulus_G!E12/1000000</f>
        <v>0.14502729705350401</v>
      </c>
      <c r="F12" s="2">
        <f>Storage_modulus_G!F12/1000000</f>
        <v>0.14836601486728898</v>
      </c>
      <c r="G12" s="2">
        <f>Storage_modulus_G!G12/1000000</f>
        <v>0.158850456736466</v>
      </c>
      <c r="H12" s="2">
        <f>Storage_modulus_G!H12/1000000</f>
        <v>0.17007579281518601</v>
      </c>
      <c r="I12" s="2">
        <f>Storage_modulus_G!I12/1000000</f>
        <v>0.18209437917891699</v>
      </c>
      <c r="J12" s="2">
        <f>Storage_modulus_G!J12/1000000</f>
        <v>0.19945055785631099</v>
      </c>
      <c r="K12" s="2">
        <f>Storage_modulus_G!K12/1000000</f>
        <v>0.21846102668609699</v>
      </c>
      <c r="L12" s="2">
        <f>Storage_modulus_G!L12/1000000</f>
        <v>0.24479208086986798</v>
      </c>
      <c r="M12" s="2">
        <f>Storage_modulus_G!M12/1000000</f>
        <v>0.28707152429009702</v>
      </c>
      <c r="N12" s="2">
        <f>Storage_modulus_G!N12/1000000</f>
        <v>0.34440349126393299</v>
      </c>
      <c r="O12" s="2">
        <f>Storage_modulus_G!O12/1000000</f>
        <v>0.41318540767186102</v>
      </c>
      <c r="P12" s="2">
        <f>Storage_modulus_G!P12/1000000</f>
        <v>0.47364509892858903</v>
      </c>
      <c r="Q12" s="2">
        <f>Storage_modulus_G!Q12/1000000</f>
        <v>0.58131985493905292</v>
      </c>
      <c r="R12" s="2">
        <f>Storage_modulus_G!R12/1000000</f>
        <v>0.71347254412804995</v>
      </c>
      <c r="S12" s="2">
        <f>Storage_modulus_G!S12/1000000</f>
        <v>0.85596241468501999</v>
      </c>
      <c r="T12" s="2">
        <f>Storage_modulus_G!T12/1000000</f>
        <v>1.0505501859167299</v>
      </c>
      <c r="U12" s="2">
        <f>Storage_modulus_G!U12/1000000</f>
        <v>1.23199673021564</v>
      </c>
      <c r="V12" s="2">
        <f>Storage_modulus_G!V12/1000000</f>
        <v>1.3804889951730401</v>
      </c>
      <c r="W12" s="2">
        <f>Storage_modulus_G!W12/1000000</f>
        <v>1.6189211624076201</v>
      </c>
      <c r="X12" s="2">
        <f>Storage_modulus_G!X12/1000000</f>
        <v>1.6561908422117699</v>
      </c>
      <c r="Y12" s="208">
        <f>Storage_modulus_G!Y12/1000000</f>
        <v>1.8558111198716598</v>
      </c>
      <c r="Z12" s="2"/>
    </row>
    <row r="13" spans="1:45">
      <c r="A13" s="174">
        <v>3</v>
      </c>
      <c r="B13" s="179">
        <v>4</v>
      </c>
      <c r="C13" s="2">
        <f>Storage_modulus_G!C13/1000000</f>
        <v>1.6815127502392202E-4</v>
      </c>
      <c r="D13" s="2">
        <f>Storage_modulus_G!D13/1000000</f>
        <v>1.3648678677458E-3</v>
      </c>
      <c r="E13" s="2">
        <f>Storage_modulus_G!E13/1000000</f>
        <v>5.2274110995550798E-3</v>
      </c>
      <c r="F13" s="2">
        <f>Storage_modulus_G!F13/1000000</f>
        <v>8.8233654396127296E-3</v>
      </c>
      <c r="G13" s="2">
        <f>Storage_modulus_G!G13/1000000</f>
        <v>1.7072218111296198E-2</v>
      </c>
      <c r="H13" s="2">
        <f>Storage_modulus_G!H13/1000000</f>
        <v>2.9479644400822798E-2</v>
      </c>
      <c r="I13" s="2">
        <f>Storage_modulus_G!I13/1000000</f>
        <v>4.3407200684775493E-2</v>
      </c>
      <c r="J13" s="2">
        <f>Storage_modulus_G!J13/1000000</f>
        <v>6.3914782881023396E-2</v>
      </c>
      <c r="K13" s="2">
        <f>Storage_modulus_G!K13/1000000</f>
        <v>8.7899584146439405E-2</v>
      </c>
      <c r="L13" s="2">
        <f>Storage_modulus_G!L13/1000000</f>
        <v>0.110365569312967</v>
      </c>
      <c r="M13" s="2">
        <f>Storage_modulus_G!M13/1000000</f>
        <v>0.17007579281518601</v>
      </c>
      <c r="N13" s="2">
        <f>Storage_modulus_G!N13/1000000</f>
        <v>0.228635323157973</v>
      </c>
      <c r="O13" s="2">
        <f>Storage_modulus_G!O13/1000000</f>
        <v>0.28061148145053399</v>
      </c>
      <c r="P13" s="2">
        <f>Storage_modulus_G!P13/1000000</f>
        <v>0.33665329272661104</v>
      </c>
      <c r="Q13" s="2">
        <f>Storage_modulus_G!Q13/1000000</f>
        <v>0.40388739233981702</v>
      </c>
      <c r="R13" s="2">
        <f>Storage_modulus_G!R13/1000000</f>
        <v>0.48454902778428399</v>
      </c>
      <c r="S13" s="2">
        <f>Storage_modulus_G!S13/1000000</f>
        <v>0.60839342791843998</v>
      </c>
      <c r="T13" s="2">
        <f>Storage_modulus_G!T13/1000000</f>
        <v>0.69741709170615895</v>
      </c>
      <c r="U13" s="2">
        <f>Storage_modulus_G!U13/1000000</f>
        <v>0.76389083851208006</v>
      </c>
      <c r="V13" s="2">
        <f>Storage_modulus_G!V13/1000000</f>
        <v>0.85596241468501999</v>
      </c>
      <c r="W13" s="2">
        <f>Storage_modulus_G!W13/1000000</f>
        <v>1.0038005896493301</v>
      </c>
      <c r="X13" s="30">
        <f>Storage_modulus_G!X13/1000000</f>
        <v>0.95913135544408601</v>
      </c>
      <c r="Y13" s="209">
        <f>Storage_modulus_G!Y13/1000000</f>
        <v>1.1506825283786801</v>
      </c>
      <c r="Z13" s="2"/>
    </row>
    <row r="14" spans="1:45">
      <c r="A14" s="177">
        <v>4</v>
      </c>
      <c r="B14" s="178">
        <v>1</v>
      </c>
      <c r="C14" s="206">
        <f>Storage_modulus_G!C14/1000000</f>
        <v>6.6089431059826297E-7</v>
      </c>
      <c r="D14" s="206">
        <f>Storage_modulus_G!D14/1000000</f>
        <v>7.9614119988508806E-7</v>
      </c>
      <c r="E14" s="206">
        <f>Storage_modulus_G!E14/1000000</f>
        <v>1.5479929444639899E-6</v>
      </c>
      <c r="F14" s="206">
        <f>Storage_modulus_G!F14/1000000</f>
        <v>2.0741095118420901E-6</v>
      </c>
      <c r="G14" s="206">
        <f>Storage_modulus_G!G14/1000000</f>
        <v>3.8239151834991104E-6</v>
      </c>
      <c r="H14" s="206">
        <f>Storage_modulus_G!H14/1000000</f>
        <v>6.6847090312426402E-6</v>
      </c>
      <c r="I14" s="206">
        <f>Storage_modulus_G!I14/1000000</f>
        <v>1.4846263408505599E-5</v>
      </c>
      <c r="J14" s="206">
        <f>Storage_modulus_G!J14/1000000</f>
        <v>2.0978874175881799E-5</v>
      </c>
      <c r="K14" s="206">
        <f>Storage_modulus_G!K14/1000000</f>
        <v>4.5369675867579194E-5</v>
      </c>
      <c r="L14" s="206">
        <f>Storage_modulus_G!L14/1000000</f>
        <v>9.3035107693370707E-5</v>
      </c>
      <c r="M14" s="206">
        <f>Storage_modulus_G!M14/1000000</f>
        <v>1.9592019660113601E-4</v>
      </c>
      <c r="N14" s="206">
        <f>Storage_modulus_G!N14/1000000</f>
        <v>4.2370413880097197E-4</v>
      </c>
      <c r="O14" s="206">
        <f>Storage_modulus_G!O14/1000000</f>
        <v>9.6638129404957699E-4</v>
      </c>
      <c r="P14" s="206">
        <f>Storage_modulus_G!P14/1000000</f>
        <v>2.0350770565652301E-3</v>
      </c>
      <c r="Q14" s="206">
        <f>Storage_modulus_G!Q14/1000000</f>
        <v>3.5575836090715502E-3</v>
      </c>
      <c r="R14" s="206">
        <f>Storage_modulus_G!R14/1000000</f>
        <v>6.9172583041530794E-3</v>
      </c>
      <c r="S14" s="206">
        <f>Storage_modulus_G!S14/1000000</f>
        <v>1.11648986599223E-2</v>
      </c>
      <c r="T14" s="206">
        <f>Storage_modulus_G!T14/1000000</f>
        <v>1.7547870569073198E-2</v>
      </c>
      <c r="U14" s="206">
        <f>Storage_modulus_G!U14/1000000</f>
        <v>2.75799871443786E-2</v>
      </c>
      <c r="V14" s="206">
        <f>Storage_modulus_G!V14/1000000</f>
        <v>4.1101851530092701E-2</v>
      </c>
      <c r="W14" s="207">
        <f>Storage_modulus_G!W14/1000000</f>
        <v>5.9645482721422796E-2</v>
      </c>
      <c r="X14" s="2"/>
      <c r="Y14" s="2"/>
    </row>
    <row r="15" spans="1:45">
      <c r="A15" s="174">
        <v>4</v>
      </c>
      <c r="B15" s="179">
        <v>2</v>
      </c>
      <c r="C15" s="2">
        <f>Storage_modulus_G!C15/1000000</f>
        <v>1.9369959509055001E-5</v>
      </c>
      <c r="D15" s="2">
        <f>Storage_modulus_G!D15/1000000</f>
        <v>2.6652783666455399E-5</v>
      </c>
      <c r="E15" s="2">
        <f>Storage_modulus_G!E15/1000000</f>
        <v>5.0462678313251405E-5</v>
      </c>
      <c r="F15" s="2">
        <f>Storage_modulus_G!F15/1000000</f>
        <v>6.7613435485511006E-5</v>
      </c>
      <c r="G15" s="2">
        <f>Storage_modulus_G!G15/1000000</f>
        <v>1.00762823862715E-4</v>
      </c>
      <c r="H15" s="2">
        <f>Storage_modulus_G!H15/1000000</f>
        <v>1.4622327330594999E-4</v>
      </c>
      <c r="I15" s="2">
        <f>Storage_modulus_G!I15/1000000</f>
        <v>2.06624358457336E-4</v>
      </c>
      <c r="J15" s="2">
        <f>Storage_modulus_G!J15/1000000</f>
        <v>2.9197558324778902E-4</v>
      </c>
      <c r="K15" s="2">
        <f>Storage_modulus_G!K15/1000000</f>
        <v>4.2370413880097197E-4</v>
      </c>
      <c r="L15" s="2">
        <f>Storage_modulus_G!L15/1000000</f>
        <v>7.0231938135631E-4</v>
      </c>
      <c r="M15" s="2">
        <f>Storage_modulus_G!M15/1000000</f>
        <v>1.0748630541664299E-3</v>
      </c>
      <c r="N15" s="2">
        <f>Storage_modulus_G!N15/1000000</f>
        <v>1.6893621992017799E-3</v>
      </c>
      <c r="O15" s="2">
        <f>Storage_modulus_G!O15/1000000</f>
        <v>2.6551704694186802E-3</v>
      </c>
      <c r="P15" s="2">
        <f>Storage_modulus_G!P15/1000000</f>
        <v>4.5197614282333695E-3</v>
      </c>
      <c r="Q15" s="2">
        <f>Storage_modulus_G!Q15/1000000</f>
        <v>7.2951848975993695E-3</v>
      </c>
      <c r="R15" s="2">
        <f>Storage_modulus_G!R15/1000000</f>
        <v>1.24182216139287E-2</v>
      </c>
      <c r="S15" s="2">
        <f>Storage_modulus_G!S15/1000000</f>
        <v>2.0043806340545003E-2</v>
      </c>
      <c r="T15" s="2">
        <f>Storage_modulus_G!T15/1000000</f>
        <v>3.5039222063108999E-2</v>
      </c>
      <c r="U15" s="2">
        <f>Storage_modulus_G!U15/1000000</f>
        <v>5.2218186158994997E-2</v>
      </c>
      <c r="V15" s="2">
        <f>Storage_modulus_G!V15/1000000</f>
        <v>7.57770952972774E-2</v>
      </c>
      <c r="W15" s="208">
        <f>Storage_modulus_G!W15/1000000</f>
        <v>0.10996491058132001</v>
      </c>
      <c r="X15" s="2"/>
    </row>
    <row r="16" spans="1:45">
      <c r="A16" s="174">
        <v>4</v>
      </c>
      <c r="B16" s="179">
        <v>3</v>
      </c>
      <c r="C16" s="2">
        <f>Storage_modulus_G!C16/1000000</f>
        <v>7.5203425621060699E-5</v>
      </c>
      <c r="D16" s="2">
        <f>Storage_modulus_G!D16/1000000</f>
        <v>8.3645435031242302E-5</v>
      </c>
      <c r="E16" s="2">
        <f>Storage_modulus_G!E16/1000000</f>
        <v>1.6263766186660499E-4</v>
      </c>
      <c r="F16" s="2">
        <f>Storage_modulus_G!F16/1000000</f>
        <v>1.8577056317468799E-4</v>
      </c>
      <c r="G16" s="2">
        <f>Storage_modulus_G!G16/1000000</f>
        <v>2.06624358457336E-4</v>
      </c>
      <c r="H16" s="2">
        <f>Storage_modulus_G!H16/1000000</f>
        <v>2.9984560654570399E-4</v>
      </c>
      <c r="I16" s="2">
        <f>Storage_modulus_G!I16/1000000</f>
        <v>4.0175417261727197E-4</v>
      </c>
      <c r="J16" s="2">
        <f>Storage_modulus_G!J16/1000000</f>
        <v>5.83010756670139E-4</v>
      </c>
      <c r="K16" s="2">
        <f>Storage_modulus_G!K16/1000000</f>
        <v>8.4604358973737893E-4</v>
      </c>
      <c r="L16" s="2">
        <f>Storage_modulus_G!L16/1000000</f>
        <v>1.1955225047565201E-3</v>
      </c>
      <c r="M16" s="2">
        <f>Storage_modulus_G!M16/1000000</f>
        <v>1.8296846205577899E-3</v>
      </c>
      <c r="N16" s="2">
        <f>Storage_modulus_G!N16/1000000</f>
        <v>2.6551704694186802E-3</v>
      </c>
      <c r="O16" s="2">
        <f>Storage_modulus_G!O16/1000000</f>
        <v>4.2856154725463098E-3</v>
      </c>
      <c r="P16" s="2">
        <f>Storage_modulus_G!P16/1000000</f>
        <v>6.9172583041530794E-3</v>
      </c>
      <c r="Q16" s="2">
        <f>Storage_modulus_G!Q16/1000000</f>
        <v>1.11648986599223E-2</v>
      </c>
      <c r="R16" s="2">
        <f>Storage_modulus_G!R16/1000000</f>
        <v>1.8020862689411599E-2</v>
      </c>
      <c r="S16" s="2">
        <f>Storage_modulus_G!S16/1000000</f>
        <v>2.6856097460341E-2</v>
      </c>
      <c r="T16" s="2">
        <f>Storage_modulus_G!T16/1000000</f>
        <v>4.6948007113692701E-2</v>
      </c>
      <c r="U16" s="2">
        <f>Storage_modulus_G!U16/1000000</f>
        <v>6.8129206905796005E-2</v>
      </c>
      <c r="V16" s="2">
        <f>Storage_modulus_G!V16/1000000</f>
        <v>9.8866578561521395E-2</v>
      </c>
      <c r="W16" s="208">
        <f>Storage_modulus_G!W16/1000000</f>
        <v>0.13970582730290201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6">
      <c r="A17" s="177">
        <v>5</v>
      </c>
      <c r="B17" s="178">
        <v>1</v>
      </c>
      <c r="C17" s="206">
        <f>Storage_modulus_G!C17/1000000</f>
        <v>8.3623838199155313E-6</v>
      </c>
      <c r="D17" s="206">
        <f>Storage_modulus_G!D17/1000000</f>
        <v>9.6548028937266498E-6</v>
      </c>
      <c r="E17" s="206">
        <f>Storage_modulus_G!E17/1000000</f>
        <v>1.0970386132301799E-5</v>
      </c>
      <c r="F17" s="206">
        <f>Storage_modulus_G!F17/1000000</f>
        <v>1.11469672911586E-5</v>
      </c>
      <c r="G17" s="206">
        <f>Storage_modulus_G!G17/1000000</f>
        <v>1.2465233440446401E-5</v>
      </c>
      <c r="H17" s="206">
        <f>Storage_modulus_G!H17/1000000</f>
        <v>1.46234061987104E-5</v>
      </c>
      <c r="I17" s="206">
        <f>Storage_modulus_G!I17/1000000</f>
        <v>1.7711946707422298E-5</v>
      </c>
      <c r="J17" s="206">
        <f>Storage_modulus_G!J17/1000000</f>
        <v>1.9806602515814798E-5</v>
      </c>
      <c r="K17" s="206">
        <f>Storage_modulus_G!K17/1000000</f>
        <v>2.2505490786217302E-5</v>
      </c>
      <c r="L17" s="206">
        <f>Storage_modulus_G!L17/1000000</f>
        <v>2.5983748443838401E-5</v>
      </c>
      <c r="M17" s="206">
        <f>Storage_modulus_G!M17/1000000</f>
        <v>2.9524347284057001E-5</v>
      </c>
      <c r="N17" s="206">
        <f>Storage_modulus_G!N17/1000000</f>
        <v>3.19782261065773E-5</v>
      </c>
      <c r="O17" s="206">
        <f>Storage_modulus_G!O17/1000000</f>
        <v>3.6335644764240103E-5</v>
      </c>
      <c r="P17" s="206">
        <f>Storage_modulus_G!P17/1000000</f>
        <v>3.8118632262468601E-5</v>
      </c>
      <c r="Q17" s="206">
        <f>Storage_modulus_G!Q17/1000000</f>
        <v>4.19513736477541E-5</v>
      </c>
      <c r="R17" s="206">
        <f>Storage_modulus_G!R17/1000000</f>
        <v>4.6169488422759598E-5</v>
      </c>
      <c r="S17" s="206">
        <f>Storage_modulus_G!S17/1000000</f>
        <v>5.16295989737197E-5</v>
      </c>
      <c r="T17" s="206">
        <f>Storage_modulus_G!T17/1000000</f>
        <v>5.8664753991573E-5</v>
      </c>
      <c r="U17" s="206">
        <f>Storage_modulus_G!U17/1000000</f>
        <v>6.3540600900677E-5</v>
      </c>
      <c r="V17" s="206">
        <f>Storage_modulus_G!V17/1000000</f>
        <v>7.1055059415255298E-5</v>
      </c>
      <c r="W17" s="206">
        <f>Storage_modulus_G!W17/1000000</f>
        <v>8.2036726372511197E-5</v>
      </c>
      <c r="X17" s="206">
        <f>Storage_modulus_G!X17/1000000</f>
        <v>8.8855105237167805E-5</v>
      </c>
      <c r="Y17" s="206">
        <f>Storage_modulus_G!Y17/1000000</f>
        <v>1.04239066433859E-4</v>
      </c>
      <c r="Z17" s="206">
        <f>Storage_modulus_G!Z17/1000000</f>
        <v>1.1656661967088399E-4</v>
      </c>
      <c r="AA17" s="206">
        <f>Storage_modulus_G!AA17/1000000</f>
        <v>1.38949549437313E-4</v>
      </c>
      <c r="AB17" s="206">
        <f>Storage_modulus_G!AB17/1000000</f>
        <v>1.6300663058235198E-4</v>
      </c>
      <c r="AC17" s="206">
        <f>Storage_modulus_G!AC17/1000000</f>
        <v>1.9122884328458202E-4</v>
      </c>
      <c r="AD17" s="206">
        <f>Storage_modulus_G!AD17/1000000</f>
        <v>2.2794828990351399E-4</v>
      </c>
      <c r="AE17" s="206">
        <f>Storage_modulus_G!AE17/1000000</f>
        <v>2.76092170863389E-4</v>
      </c>
      <c r="AF17" s="206">
        <f>Storage_modulus_G!AF17/1000000</f>
        <v>3.3978692047485797E-4</v>
      </c>
      <c r="AG17" s="206">
        <f>Storage_modulus_G!AG17/1000000</f>
        <v>4.24907147013441E-4</v>
      </c>
      <c r="AH17" s="206">
        <f>Storage_modulus_G!AH17/1000000</f>
        <v>5.1464977729802797E-4</v>
      </c>
      <c r="AI17" s="206">
        <f>Storage_modulus_G!AI17/1000000</f>
        <v>6.5393409388793205E-4</v>
      </c>
      <c r="AJ17" s="206">
        <f>Storage_modulus_G!AJ17/1000000</f>
        <v>7.9204842317318297E-4</v>
      </c>
      <c r="AK17" s="206">
        <f>Storage_modulus_G!AK17/1000000</f>
        <v>1.0226069449233799E-3</v>
      </c>
      <c r="AL17" s="206">
        <f>Storage_modulus_G!AL17/1000000</f>
        <v>1.2993642967122701E-3</v>
      </c>
      <c r="AM17" s="206">
        <f>Storage_modulus_G!AM17/1000000</f>
        <v>1.6510229897735201E-3</v>
      </c>
      <c r="AN17" s="206">
        <f>Storage_modulus_G!AN17/1000000</f>
        <v>2.0646217554750701E-3</v>
      </c>
      <c r="AO17" s="206">
        <f>Storage_modulus_G!AO17/1000000</f>
        <v>2.7521184954564302E-3</v>
      </c>
      <c r="AP17" s="206">
        <f>Storage_modulus_G!AP17/1000000</f>
        <v>3.9105064784321995E-3</v>
      </c>
      <c r="AQ17" s="206">
        <f>Storage_modulus_G!AQ17/1000000</f>
        <v>5.4684478860195602E-3</v>
      </c>
      <c r="AR17" s="206">
        <f>Storage_modulus_G!AR17/1000000</f>
        <v>8.8289378661252395E-3</v>
      </c>
      <c r="AS17" s="207">
        <f>Storage_modulus_G!AS17/1000000</f>
        <v>1.69916589944334E-2</v>
      </c>
      <c r="AT17" s="2"/>
    </row>
    <row r="18" spans="1:46">
      <c r="A18" s="174">
        <v>5</v>
      </c>
      <c r="B18" s="179">
        <v>2</v>
      </c>
      <c r="C18" s="2">
        <f>Storage_modulus_G!C18/1000000</f>
        <v>3.6219788372586698E-4</v>
      </c>
      <c r="D18" s="2">
        <f>Storage_modulus_G!D18/1000000</f>
        <v>4.1817611475450004E-4</v>
      </c>
      <c r="E18" s="2">
        <f>Storage_modulus_G!E18/1000000</f>
        <v>4.6022276769633498E-4</v>
      </c>
      <c r="F18" s="2">
        <f>Storage_modulus_G!F18/1000000</f>
        <v>4.90577189578455E-4</v>
      </c>
      <c r="G18" s="2">
        <f>Storage_modulus_G!G18/1000000</f>
        <v>5.1464977729802797E-4</v>
      </c>
      <c r="H18" s="2">
        <f>Storage_modulus_G!H18/1000000</f>
        <v>5.1464977729802797E-4</v>
      </c>
      <c r="I18" s="2">
        <f>Storage_modulus_G!I18/1000000</f>
        <v>5.7551345101569098E-4</v>
      </c>
      <c r="J18" s="2">
        <f>Storage_modulus_G!J18/1000000</f>
        <v>6.0375385502891904E-4</v>
      </c>
      <c r="K18" s="2">
        <f>Storage_modulus_G!K18/1000000</f>
        <v>6.3338001365382895E-4</v>
      </c>
      <c r="L18" s="2">
        <f>Storage_modulus_G!L18/1000000</f>
        <v>6.3338001365382895E-4</v>
      </c>
      <c r="M18" s="2">
        <f>Storage_modulus_G!M18/1000000</f>
        <v>6.4357500364405301E-4</v>
      </c>
      <c r="N18" s="2">
        <f>Storage_modulus_G!N18/1000000</f>
        <v>7.1968567300115206E-4</v>
      </c>
      <c r="O18" s="2">
        <f>Storage_modulus_G!O18/1000000</f>
        <v>7.0828499990041095E-4</v>
      </c>
      <c r="P18" s="2">
        <f>Storage_modulus_G!P18/1000000</f>
        <v>7.0828499990041095E-4</v>
      </c>
      <c r="Q18" s="2">
        <f>Storage_modulus_G!Q18/1000000</f>
        <v>7.3126985323132305E-4</v>
      </c>
      <c r="R18" s="2">
        <f>Storage_modulus_G!R18/1000000</f>
        <v>7.6715321279746294E-4</v>
      </c>
      <c r="S18" s="2">
        <f>Storage_modulus_G!S18/1000000</f>
        <v>7.9204842317318297E-4</v>
      </c>
      <c r="T18" s="2">
        <f>Storage_modulus_G!T18/1000000</f>
        <v>7.9204842317318297E-4</v>
      </c>
      <c r="U18" s="2">
        <f>Storage_modulus_G!U18/1000000</f>
        <v>8.3091418283349192E-4</v>
      </c>
      <c r="V18" s="2">
        <f>Storage_modulus_G!V18/1000000</f>
        <v>8.8571790273595191E-4</v>
      </c>
      <c r="W18" s="2">
        <f>Storage_modulus_G!W18/1000000</f>
        <v>8.9997456533643999E-4</v>
      </c>
      <c r="X18" s="2">
        <f>Storage_modulus_G!X18/1000000</f>
        <v>8.5787852716619401E-4</v>
      </c>
      <c r="Y18" s="2">
        <f>Storage_modulus_G!Y18/1000000</f>
        <v>8.5787852716619401E-4</v>
      </c>
      <c r="Z18" s="2">
        <f>Storage_modulus_G!Z18/1000000</f>
        <v>8.7168708254960908E-4</v>
      </c>
      <c r="AA18" s="2">
        <f>Storage_modulus_G!AA18/1000000</f>
        <v>9.1446070554811296E-4</v>
      </c>
      <c r="AB18" s="2">
        <f>Storage_modulus_G!AB18/1000000</f>
        <v>9.2918001708074908E-4</v>
      </c>
      <c r="AC18" s="2">
        <f>Storage_modulus_G!AC18/1000000</f>
        <v>1.0390669963027798E-3</v>
      </c>
      <c r="AD18" s="2">
        <f>Storage_modulus_G!AD18/1000000</f>
        <v>1.0390669963027798E-3</v>
      </c>
      <c r="AE18" s="2">
        <f>Storage_modulus_G!AE18/1000000</f>
        <v>9.9046495173116711E-4</v>
      </c>
      <c r="AF18" s="2">
        <f>Storage_modulus_G!AF18/1000000</f>
        <v>1.1075996291567301E-3</v>
      </c>
      <c r="AG18" s="2">
        <f>Storage_modulus_G!AG18/1000000</f>
        <v>1.1435428088501002E-3</v>
      </c>
      <c r="AH18" s="2">
        <f>Storage_modulus_G!AH18/1000000</f>
        <v>1.1806523957292999E-3</v>
      </c>
      <c r="AI18" s="2">
        <f>Storage_modulus_G!AI18/1000000</f>
        <v>1.2993642967122701E-3</v>
      </c>
      <c r="AJ18" s="2">
        <f>Storage_modulus_G!AJ18/1000000</f>
        <v>1.2993642967122701E-3</v>
      </c>
      <c r="AK18" s="2">
        <f>Storage_modulus_G!AK18/1000000</f>
        <v>1.3202790804330499E-3</v>
      </c>
      <c r="AL18" s="2">
        <f>Storage_modulus_G!AL18/1000000</f>
        <v>1.45303012556131E-3</v>
      </c>
      <c r="AM18" s="2">
        <f>Storage_modulus_G!AM18/1000000</f>
        <v>1.5243302102367E-3</v>
      </c>
      <c r="AN18" s="2">
        <f>Storage_modulus_G!AN18/1000000</f>
        <v>1.8170295793434499E-3</v>
      </c>
      <c r="AO18" s="2">
        <f>Storage_modulus_G!AO18/1000000</f>
        <v>2.20079580898049E-3</v>
      </c>
      <c r="AP18" s="2">
        <f>Storage_modulus_G!AP18/1000000</f>
        <v>2.9336370376589998E-3</v>
      </c>
      <c r="AQ18" s="2">
        <f>Storage_modulus_G!AQ18/1000000</f>
        <v>4.3729720246599097E-3</v>
      </c>
      <c r="AR18" s="2">
        <f>Storage_modulus_G!AR18/1000000</f>
        <v>7.7701599406248901E-3</v>
      </c>
      <c r="AS18" s="208">
        <f>Storage_modulus_G!AS18/1000000</f>
        <v>1.69916589944334E-2</v>
      </c>
      <c r="AT18" s="2"/>
    </row>
    <row r="19" spans="1:46">
      <c r="A19" s="174">
        <v>5</v>
      </c>
      <c r="B19" s="179">
        <v>3</v>
      </c>
      <c r="C19" s="2">
        <f>Storage_modulus_G!C19/1000000</f>
        <v>1.6829642705753901E-4</v>
      </c>
      <c r="D19" s="2">
        <f>Storage_modulus_G!D19/1000000</f>
        <v>2.1728607756750902E-4</v>
      </c>
      <c r="E19" s="2">
        <f>Storage_modulus_G!E19/1000000</f>
        <v>2.4689392402176599E-4</v>
      </c>
      <c r="F19" s="2">
        <f>Storage_modulus_G!F19/1000000</f>
        <v>2.8053619634201698E-4</v>
      </c>
      <c r="G19" s="2">
        <f>Storage_modulus_G!G19/1000000</f>
        <v>3.2389349001028399E-4</v>
      </c>
      <c r="H19" s="2">
        <f>Storage_modulus_G!H19/1000000</f>
        <v>3.6219788372586698E-4</v>
      </c>
      <c r="I19" s="2">
        <f>Storage_modulus_G!I19/1000000</f>
        <v>4.1817611475450004E-4</v>
      </c>
      <c r="J19" s="2">
        <f>Storage_modulus_G!J19/1000000</f>
        <v>4.4575731042593899E-4</v>
      </c>
      <c r="K19" s="2">
        <f>Storage_modulus_G!K19/1000000</f>
        <v>4.90577189578455E-4</v>
      </c>
      <c r="L19" s="2">
        <f>Storage_modulus_G!L19/1000000</f>
        <v>5.3990360518087698E-4</v>
      </c>
      <c r="M19" s="2">
        <f>Storage_modulus_G!M19/1000000</f>
        <v>5.8477701119419496E-4</v>
      </c>
      <c r="N19" s="2">
        <f>Storage_modulus_G!N19/1000000</f>
        <v>6.3338001365382895E-4</v>
      </c>
      <c r="O19" s="2">
        <f>Storage_modulus_G!O19/1000000</f>
        <v>7.6715321279746294E-4</v>
      </c>
      <c r="P19" s="2">
        <f>Storage_modulus_G!P19/1000000</f>
        <v>8.17751518452873E-4</v>
      </c>
      <c r="Q19" s="2">
        <f>Storage_modulus_G!Q19/1000000</f>
        <v>8.9997456533643999E-4</v>
      </c>
      <c r="R19" s="2">
        <f>Storage_modulus_G!R19/1000000</f>
        <v>1.00640764024499E-3</v>
      </c>
      <c r="S19" s="2">
        <f>Storage_modulus_G!S19/1000000</f>
        <v>1.0727861948095498E-3</v>
      </c>
      <c r="T19" s="2">
        <f>Storage_modulus_G!T19/1000000</f>
        <v>1.1806523957292999E-3</v>
      </c>
      <c r="U19" s="2">
        <f>Storage_modulus_G!U19/1000000</f>
        <v>1.4073593185755602E-3</v>
      </c>
      <c r="V19" s="2">
        <f>Storage_modulus_G!V19/1000000</f>
        <v>1.59912898498415E-3</v>
      </c>
      <c r="W19" s="2">
        <f>Storage_modulus_G!W19/1000000</f>
        <v>1.67759813027609E-3</v>
      </c>
      <c r="X19" s="2">
        <f>Storage_modulus_G!X19/1000000</f>
        <v>1.8170295793434499E-3</v>
      </c>
      <c r="Y19" s="2">
        <f>Storage_modulus_G!Y19/1000000</f>
        <v>2.1316216612193299E-3</v>
      </c>
      <c r="Z19" s="2">
        <f>Storage_modulus_G!Z19/1000000</f>
        <v>2.2722147559973201E-3</v>
      </c>
      <c r="AA19" s="2">
        <f>Storage_modulus_G!AA19/1000000</f>
        <v>2.4220807994691901E-3</v>
      </c>
      <c r="AB19" s="2">
        <f>Storage_modulus_G!AB19/1000000</f>
        <v>2.9336370376589998E-3</v>
      </c>
      <c r="AC19" s="2">
        <f>Storage_modulus_G!AC19/1000000</f>
        <v>3.0775903979591698E-3</v>
      </c>
      <c r="AD19" s="2">
        <f>Storage_modulus_G!AD19/1000000</f>
        <v>3.3333804355604999E-3</v>
      </c>
      <c r="AE19" s="2">
        <f>Storage_modulus_G!AE19/1000000</f>
        <v>4.0374079628191098E-3</v>
      </c>
      <c r="AF19" s="2">
        <f>Storage_modulus_G!AF19/1000000</f>
        <v>4.3729720246599097E-3</v>
      </c>
      <c r="AG19" s="2">
        <f>Storage_modulus_G!AG19/1000000</f>
        <v>4.6613954731122001E-3</v>
      </c>
      <c r="AH19" s="2">
        <f>Storage_modulus_G!AH19/1000000</f>
        <v>5.3818211973751104E-3</v>
      </c>
      <c r="AI19" s="2">
        <f>Storage_modulus_G!AI19/1000000</f>
        <v>6.1151591886536199E-3</v>
      </c>
      <c r="AJ19" s="2">
        <f>Storage_modulus_G!AJ19/1000000</f>
        <v>6.62341291853304E-3</v>
      </c>
      <c r="AK19" s="2">
        <f>Storage_modulus_G!AK19/1000000</f>
        <v>7.4067130588486496E-3</v>
      </c>
      <c r="AL19" s="2">
        <f>Storage_modulus_G!AL19/1000000</f>
        <v>7.8952297267081712E-3</v>
      </c>
      <c r="AM19" s="2">
        <f>Storage_modulus_G!AM19/1000000</f>
        <v>8.8289378661252395E-3</v>
      </c>
      <c r="AN19" s="2">
        <f>Storage_modulus_G!AN19/1000000</f>
        <v>9.4112586976235601E-3</v>
      </c>
      <c r="AO19" s="2">
        <f>Storage_modulus_G!AO19/1000000</f>
        <v>1.03575392579973E-2</v>
      </c>
      <c r="AP19" s="2">
        <f>Storage_modulus_G!AP19/1000000</f>
        <v>1.21507956118437E-2</v>
      </c>
      <c r="AQ19" s="2">
        <f>Storage_modulus_G!AQ19/1000000</f>
        <v>1.2952212669177699E-2</v>
      </c>
      <c r="AR19" s="2">
        <f>Storage_modulus_G!AR19/1000000</f>
        <v>1.7265159562230299E-2</v>
      </c>
      <c r="AS19" s="208">
        <f>Storage_modulus_G!AS19/1000000</f>
        <v>2.4532198897224501E-2</v>
      </c>
      <c r="AT19" s="2"/>
    </row>
    <row r="20" spans="1:46" ht="15.75" customHeight="1">
      <c r="A20" s="174">
        <v>5</v>
      </c>
      <c r="B20" s="179">
        <v>4</v>
      </c>
      <c r="C20" s="2">
        <f>Storage_modulus_G!C20/1000000</f>
        <v>7.3773048029818499E-5</v>
      </c>
      <c r="D20" s="2">
        <f>Storage_modulus_G!D20/1000000</f>
        <v>8.9768713244731395E-5</v>
      </c>
      <c r="E20" s="2">
        <f>Storage_modulus_G!E20/1000000</f>
        <v>1.0923260042553199E-4</v>
      </c>
      <c r="F20" s="2">
        <f>Storage_modulus_G!F20/1000000</f>
        <v>1.18539648841611E-4</v>
      </c>
      <c r="G20" s="2">
        <f>Storage_modulus_G!G20/1000000</f>
        <v>1.2863969449369698E-4</v>
      </c>
      <c r="H20" s="2">
        <f>Storage_modulus_G!H20/1000000</f>
        <v>1.3960030387421499E-4</v>
      </c>
      <c r="I20" s="2">
        <f>Storage_modulus_G!I20/1000000</f>
        <v>1.51494800407257E-4</v>
      </c>
      <c r="J20" s="2">
        <f>Storage_modulus_G!J20/1000000</f>
        <v>1.5911259011248502E-4</v>
      </c>
      <c r="K20" s="2">
        <f>Storage_modulus_G!K20/1000000</f>
        <v>1.7266961039778101E-4</v>
      </c>
      <c r="L20" s="2">
        <f>Storage_modulus_G!L20/1000000</f>
        <v>1.8434229924091099E-4</v>
      </c>
      <c r="M20" s="2">
        <f>Storage_modulus_G!M20/1000000</f>
        <v>1.90471299787059E-4</v>
      </c>
      <c r="N20" s="2">
        <f>Storage_modulus_G!N20/1000000</f>
        <v>2.06700205828714E-4</v>
      </c>
      <c r="O20" s="2">
        <f>Storage_modulus_G!O20/1000000</f>
        <v>2.24311878678825E-4</v>
      </c>
      <c r="P20" s="2">
        <f>Storage_modulus_G!P20/1000000</f>
        <v>2.3559121444194199E-4</v>
      </c>
      <c r="Q20" s="2">
        <f>Storage_modulus_G!Q20/1000000</f>
        <v>2.5151748504636699E-4</v>
      </c>
      <c r="R20" s="2">
        <f>Storage_modulus_G!R20/1000000</f>
        <v>2.7294776686422799E-4</v>
      </c>
      <c r="S20" s="2">
        <f>Storage_modulus_G!S20/1000000</f>
        <v>2.8202271612475801E-4</v>
      </c>
      <c r="T20" s="2">
        <f>Storage_modulus_G!T20/1000000</f>
        <v>3.0108781625693901E-4</v>
      </c>
      <c r="U20" s="2">
        <f>Storage_modulus_G!U20/1000000</f>
        <v>3.1622776601683702E-4</v>
      </c>
      <c r="V20" s="2">
        <f>Storage_modulus_G!V20/1000000</f>
        <v>3.4882984610451598E-4</v>
      </c>
      <c r="W20" s="2">
        <f>Storage_modulus_G!W20/1000000</f>
        <v>3.7855152492586301E-4</v>
      </c>
      <c r="X20" s="2">
        <f>Storage_modulus_G!X20/1000000</f>
        <v>3.8479309728552201E-4</v>
      </c>
      <c r="Y20" s="2">
        <f>Storage_modulus_G!Y20/1000000</f>
        <v>4.1757898696184601E-4</v>
      </c>
      <c r="Z20" s="2">
        <f>Storage_modulus_G!Z20/1000000</f>
        <v>4.6822494300105804E-4</v>
      </c>
      <c r="AA20" s="2">
        <f>Storage_modulus_G!AA20/1000000</f>
        <v>4.9176924380171805E-4</v>
      </c>
      <c r="AB20" s="2">
        <f>Storage_modulus_G!AB20/1000000</f>
        <v>5.5141334535056797E-4</v>
      </c>
      <c r="AC20" s="2">
        <f>Storage_modulus_G!AC20/1000000</f>
        <v>5.8868960021324194E-4</v>
      </c>
      <c r="AD20" s="2">
        <f>Storage_modulus_G!AD20/1000000</f>
        <v>6.6008866133473803E-4</v>
      </c>
      <c r="AE20" s="2">
        <f>Storage_modulus_G!AE20/1000000</f>
        <v>7.04711508023787E-4</v>
      </c>
      <c r="AF20" s="2">
        <f>Storage_modulus_G!AF20/1000000</f>
        <v>7.2814170953120199E-4</v>
      </c>
      <c r="AG20" s="2">
        <f>Storage_modulus_G!AG20/1000000</f>
        <v>8.29915911048682E-4</v>
      </c>
      <c r="AH20" s="2">
        <f>Storage_modulus_G!AH20/1000000</f>
        <v>9.1547761025952005E-4</v>
      </c>
      <c r="AI20" s="2">
        <f>Storage_modulus_G!AI20/1000000</f>
        <v>9.7736507999315295E-4</v>
      </c>
      <c r="AJ20" s="2">
        <f>Storage_modulus_G!AJ20/1000000</f>
        <v>1.1139738599948001E-3</v>
      </c>
      <c r="AK20" s="2">
        <f>Storage_modulus_G!AK20/1000000</f>
        <v>1.2088888268529398E-3</v>
      </c>
      <c r="AL20" s="2">
        <f>Storage_modulus_G!AL20/1000000</f>
        <v>1.3778582643482501E-3</v>
      </c>
      <c r="AM20" s="2">
        <f>Storage_modulus_G!AM20/1000000</f>
        <v>1.5704449858925901E-3</v>
      </c>
      <c r="AN20" s="2">
        <f>Storage_modulus_G!AN20/1000000</f>
        <v>1.78995003878849E-3</v>
      </c>
      <c r="AO20" s="2">
        <f>Storage_modulus_G!AO20/1000000</f>
        <v>2.2875732003183897E-3</v>
      </c>
      <c r="AP20" s="2">
        <f>Storage_modulus_G!AP20/1000000</f>
        <v>3.1726375097650699E-3</v>
      </c>
      <c r="AQ20" s="2">
        <f>Storage_modulus_G!AQ20/1000000</f>
        <v>4.5464294322986494E-3</v>
      </c>
      <c r="AR20" s="2">
        <f>Storage_modulus_G!AR20/1000000</f>
        <v>7.9277094931967506E-3</v>
      </c>
      <c r="AS20" s="208">
        <f>Storage_modulus_G!AS20/1000000</f>
        <v>1.6821017890573501E-2</v>
      </c>
      <c r="AT20" s="2"/>
    </row>
    <row r="21" spans="1:46" ht="15.75" customHeight="1">
      <c r="A21" s="174">
        <v>5</v>
      </c>
      <c r="B21" s="179">
        <v>5</v>
      </c>
      <c r="C21" s="2">
        <f>Storage_modulus_G!C21/1000000</f>
        <v>5.47818082744525E-6</v>
      </c>
      <c r="D21" s="2">
        <f>Storage_modulus_G!D21/1000000</f>
        <v>7.8503019877601694E-6</v>
      </c>
      <c r="E21" s="2">
        <f>Storage_modulus_G!E21/1000000</f>
        <v>9.0950861722264693E-6</v>
      </c>
      <c r="F21" s="2">
        <f>Storage_modulus_G!F21/1000000</f>
        <v>9.5524249959002304E-6</v>
      </c>
      <c r="G21" s="2">
        <f>Storage_modulus_G!G21/1000000</f>
        <v>1.07109883132983E-5</v>
      </c>
      <c r="H21" s="2">
        <f>Storage_modulus_G!H21/1000000</f>
        <v>1.1815257249599499E-5</v>
      </c>
      <c r="I21" s="2">
        <f>Storage_modulus_G!I21/1000000</f>
        <v>1.26139839112187E-5</v>
      </c>
      <c r="J21" s="2">
        <f>Storage_modulus_G!J21/1000000</f>
        <v>1.36887450953708E-5</v>
      </c>
      <c r="K21" s="2">
        <f>Storage_modulus_G!K21/1000000</f>
        <v>1.5100011315033899E-5</v>
      </c>
      <c r="L21" s="2">
        <f>Storage_modulus_G!L21/1000000</f>
        <v>1.5602055490341299E-5</v>
      </c>
      <c r="M21" s="2">
        <f>Storage_modulus_G!M21/1000000</f>
        <v>1.69314121592596E-5</v>
      </c>
      <c r="N21" s="2">
        <f>Storage_modulus_G!N21/1000000</f>
        <v>1.8374035259917603E-5</v>
      </c>
      <c r="O21" s="2">
        <f>Storage_modulus_G!O21/1000000</f>
        <v>1.9939575539070598E-5</v>
      </c>
      <c r="P21" s="2">
        <f>Storage_modulus_G!P21/1000000</f>
        <v>2.23579416391938E-5</v>
      </c>
      <c r="Q21" s="2">
        <f>Storage_modulus_G!Q21/1000000</f>
        <v>2.3869367392260201E-5</v>
      </c>
      <c r="R21" s="2">
        <f>Storage_modulus_G!R21/1000000</f>
        <v>2.5069618626640799E-5</v>
      </c>
      <c r="S21" s="2">
        <f>Storage_modulus_G!S21/1000000</f>
        <v>2.8110180634136399E-5</v>
      </c>
      <c r="T21" s="2">
        <f>Storage_modulus_G!T21/1000000</f>
        <v>3.1519516393602901E-5</v>
      </c>
      <c r="U21" s="2">
        <f>Storage_modulus_G!U21/1000000</f>
        <v>3.1519516393602901E-5</v>
      </c>
      <c r="V21" s="2">
        <f>Storage_modulus_G!V21/1000000</f>
        <v>3.3650276441655697E-5</v>
      </c>
      <c r="W21" s="2">
        <f>Storage_modulus_G!W21/1000000</f>
        <v>3.8986037025490701E-5</v>
      </c>
      <c r="X21" s="2">
        <f>Storage_modulus_G!X21/1000000</f>
        <v>4.3005373839003101E-5</v>
      </c>
      <c r="Y21" s="2">
        <f>Storage_modulus_G!Y21/1000000</f>
        <v>4.8221269132841302E-5</v>
      </c>
      <c r="Z21" s="2">
        <f>Storage_modulus_G!Z21/1000000</f>
        <v>5.1481089253543301E-5</v>
      </c>
      <c r="AA21" s="2">
        <f>Storage_modulus_G!AA21/1000000</f>
        <v>5.7724959430430195E-5</v>
      </c>
      <c r="AB21" s="2">
        <f>Storage_modulus_G!AB21/1000000</f>
        <v>6.3676219732818304E-5</v>
      </c>
      <c r="AC21" s="2">
        <f>Storage_modulus_G!AC21/1000000</f>
        <v>7.13991730566795E-5</v>
      </c>
      <c r="AD21" s="2">
        <f>Storage_modulus_G!AD21/1000000</f>
        <v>7.6225849440713701E-5</v>
      </c>
      <c r="AE21" s="2">
        <f>Storage_modulus_G!AE21/1000000</f>
        <v>8.8312611450538304E-5</v>
      </c>
      <c r="AF21" s="2">
        <f>Storage_modulus_G!AF21/1000000</f>
        <v>1.05717705171425E-4</v>
      </c>
      <c r="AG21" s="2">
        <f>Storage_modulus_G!AG21/1000000</f>
        <v>1.18539648841611E-4</v>
      </c>
      <c r="AH21" s="2">
        <f>Storage_modulus_G!AH21/1000000</f>
        <v>1.3960030387421499E-4</v>
      </c>
      <c r="AI21" s="2">
        <f>Storage_modulus_G!AI21/1000000</f>
        <v>1.5911259011248502E-4</v>
      </c>
      <c r="AJ21" s="2">
        <f>Storage_modulus_G!AJ21/1000000</f>
        <v>1.90471299787059E-4</v>
      </c>
      <c r="AK21" s="2">
        <f>Storage_modulus_G!AK21/1000000</f>
        <v>2.4342413552369102E-4</v>
      </c>
      <c r="AL21" s="2">
        <f>Storage_modulus_G!AL21/1000000</f>
        <v>3.1109836401443301E-4</v>
      </c>
      <c r="AM21" s="2">
        <f>Storage_modulus_G!AM21/1000000</f>
        <v>3.7241119457338904E-4</v>
      </c>
      <c r="AN21" s="2">
        <f>Storage_modulus_G!AN21/1000000</f>
        <v>5.69746699706696E-4</v>
      </c>
      <c r="AO21" s="2">
        <f>Storage_modulus_G!AO21/1000000</f>
        <v>8.4359959707334801E-4</v>
      </c>
      <c r="AP21" s="2">
        <f>Storage_modulus_G!AP21/1000000</f>
        <v>1.5704449858925901E-3</v>
      </c>
      <c r="AQ21" s="2">
        <f>Storage_modulus_G!AQ21/1000000</f>
        <v>2.6940008429218202E-3</v>
      </c>
      <c r="AR21" s="2">
        <f>Storage_modulus_G!AR21/1000000</f>
        <v>5.6234132519034901E-3</v>
      </c>
      <c r="AS21" s="208">
        <f>Storage_modulus_G!AS21/1000000</f>
        <v>1.50015579379266E-2</v>
      </c>
      <c r="AT21" s="2"/>
    </row>
    <row r="22" spans="1:46" ht="15.75" customHeight="1">
      <c r="A22" s="174">
        <v>5</v>
      </c>
      <c r="B22" s="179">
        <v>6</v>
      </c>
      <c r="C22" s="2">
        <f>Storage_modulus_G!C22/1000000</f>
        <v>3.1934591389895901E-6</v>
      </c>
      <c r="D22" s="2">
        <f>Storage_modulus_G!D22/1000000</f>
        <v>4.0812711999542398E-6</v>
      </c>
      <c r="E22" s="2">
        <f>Storage_modulus_G!E22/1000000</f>
        <v>4.8063808630643897E-6</v>
      </c>
      <c r="F22" s="2">
        <f>Storage_modulus_G!F22/1000000</f>
        <v>5.47818082744525E-6</v>
      </c>
      <c r="G22" s="2">
        <f>Storage_modulus_G!G22/1000000</f>
        <v>6.5578482628834199E-6</v>
      </c>
      <c r="H22" s="2">
        <f>Storage_modulus_G!H22/1000000</f>
        <v>6.8876041941176492E-6</v>
      </c>
      <c r="I22" s="2">
        <f>Storage_modulus_G!I22/1000000</f>
        <v>7.5976943496320101E-6</v>
      </c>
      <c r="J22" s="2">
        <f>Storage_modulus_G!J22/1000000</f>
        <v>7.8503019877601694E-6</v>
      </c>
      <c r="K22" s="2">
        <f>Storage_modulus_G!K22/1000000</f>
        <v>8.5191786820464598E-6</v>
      </c>
      <c r="L22" s="2">
        <f>Storage_modulus_G!L22/1000000</f>
        <v>8.9475584778323807E-6</v>
      </c>
      <c r="M22" s="2">
        <f>Storage_modulus_G!M22/1000000</f>
        <v>9.3974789944185699E-6</v>
      </c>
      <c r="N22" s="2">
        <f>Storage_modulus_G!N22/1000000</f>
        <v>9.5524249959002304E-6</v>
      </c>
      <c r="O22" s="2">
        <f>Storage_modulus_G!O22/1000000</f>
        <v>9.8700233889874194E-6</v>
      </c>
      <c r="P22" s="2">
        <f>Storage_modulus_G!P22/1000000</f>
        <v>1.0366329284376899E-5</v>
      </c>
      <c r="Q22" s="2">
        <f>Storage_modulus_G!Q22/1000000</f>
        <v>1.0537249727360701E-5</v>
      </c>
      <c r="R22" s="2">
        <f>Storage_modulus_G!R22/1000000</f>
        <v>1.16236067662837E-5</v>
      </c>
      <c r="S22" s="2">
        <f>Storage_modulus_G!S22/1000000</f>
        <v>1.2409377607517101E-5</v>
      </c>
      <c r="T22" s="2">
        <f>Storage_modulus_G!T22/1000000</f>
        <v>1.32482675732485E-5</v>
      </c>
      <c r="U22" s="2">
        <f>Storage_modulus_G!U22/1000000</f>
        <v>1.39144456602871E-5</v>
      </c>
      <c r="V22" s="2">
        <f>Storage_modulus_G!V22/1000000</f>
        <v>1.5348980892617601E-5</v>
      </c>
      <c r="W22" s="2">
        <f>Storage_modulus_G!W22/1000000</f>
        <v>1.6120791597111701E-5</v>
      </c>
      <c r="X22" s="2">
        <f>Storage_modulus_G!X22/1000000</f>
        <v>1.7494346628442599E-5</v>
      </c>
      <c r="Y22" s="2">
        <f>Storage_modulus_G!Y22/1000000</f>
        <v>1.8676987072451301E-5</v>
      </c>
      <c r="Z22" s="2">
        <f>Storage_modulus_G!Z22/1000000</f>
        <v>2.09422204672121E-5</v>
      </c>
      <c r="AA22" s="2">
        <f>Storage_modulus_G!AA22/1000000</f>
        <v>2.3869367392260201E-5</v>
      </c>
      <c r="AB22" s="2">
        <f>Storage_modulus_G!AB22/1000000</f>
        <v>2.6330223493439098E-5</v>
      </c>
      <c r="AC22" s="2">
        <f>Storage_modulus_G!AC22/1000000</f>
        <v>2.9044786056594501E-5</v>
      </c>
      <c r="AD22" s="2">
        <f>Storage_modulus_G!AD22/1000000</f>
        <v>3.4769078602300394E-5</v>
      </c>
      <c r="AE22" s="2">
        <f>Storage_modulus_G!AE22/1000000</f>
        <v>4.2307801157570095E-5</v>
      </c>
      <c r="AF22" s="2">
        <f>Storage_modulus_G!AF22/1000000</f>
        <v>4.9016343305706501E-5</v>
      </c>
      <c r="AG22" s="2">
        <f>Storage_modulus_G!AG22/1000000</f>
        <v>6.1627241299031196E-5</v>
      </c>
      <c r="AH22" s="2">
        <f>Storage_modulus_G!AH22/1000000</f>
        <v>7.4989420933245504E-5</v>
      </c>
      <c r="AI22" s="2">
        <f>Storage_modulus_G!AI22/1000000</f>
        <v>9.1248823302299604E-5</v>
      </c>
      <c r="AJ22" s="2">
        <f>Storage_modulus_G!AJ22/1000000</f>
        <v>1.1472527064761201E-4</v>
      </c>
      <c r="AK22" s="2">
        <f>Storage_modulus_G!AK22/1000000</f>
        <v>1.51494800407257E-4</v>
      </c>
      <c r="AL22" s="30">
        <f>Storage_modulus_G!AL22/1000000</f>
        <v>2.1010828691276002E-4</v>
      </c>
      <c r="AM22" s="30">
        <f>Storage_modulus_G!AM22/1000000</f>
        <v>3.0108781625693901E-4</v>
      </c>
      <c r="AN22" s="30">
        <f>Storage_modulus_G!AN22/1000000</f>
        <v>4.5315836376008098E-4</v>
      </c>
      <c r="AO22" s="30">
        <f>Storage_modulus_G!AO22/1000000</f>
        <v>7.6475570818925701E-4</v>
      </c>
      <c r="AP22" s="30">
        <f>Storage_modulus_G!AP22/1000000</f>
        <v>1.5704449858925901E-3</v>
      </c>
      <c r="AQ22" s="30">
        <f>Storage_modulus_G!AQ22/1000000</f>
        <v>2.8761187819738103E-3</v>
      </c>
      <c r="AR22" s="30">
        <f>Storage_modulus_G!AR22/1000000</f>
        <v>6.6225115937785708E-3</v>
      </c>
      <c r="AS22" s="209">
        <f>Storage_modulus_G!AS22/1000000</f>
        <v>1.7098363491935699E-2</v>
      </c>
      <c r="AT22" s="2"/>
    </row>
    <row r="23" spans="1:46" ht="15.75" customHeight="1">
      <c r="A23" s="177">
        <v>6</v>
      </c>
      <c r="B23" s="178">
        <v>1</v>
      </c>
      <c r="C23" s="206">
        <f>Storage_modulus_G!C23/1000000</f>
        <v>1.5091405542646299E-5</v>
      </c>
      <c r="D23" s="206">
        <f>Storage_modulus_G!D23/1000000</f>
        <v>2.17899892630054E-5</v>
      </c>
      <c r="E23" s="206">
        <f>Storage_modulus_G!E23/1000000</f>
        <v>2.5135956781483701E-5</v>
      </c>
      <c r="F23" s="206">
        <f>Storage_modulus_G!F23/1000000</f>
        <v>2.7273817991426999E-5</v>
      </c>
      <c r="G23" s="206">
        <f>Storage_modulus_G!G23/1000000</f>
        <v>2.7836111485703901E-5</v>
      </c>
      <c r="H23" s="206">
        <f>Storage_modulus_G!H23/1000000</f>
        <v>4.18659694443427E-5</v>
      </c>
      <c r="I23" s="206">
        <f>Storage_modulus_G!I23/1000000</f>
        <v>4.82947093670467E-5</v>
      </c>
      <c r="J23" s="206">
        <f>Storage_modulus_G!J23/1000000</f>
        <v>5.4585253599296199E-5</v>
      </c>
      <c r="K23" s="206">
        <f>Storage_modulus_G!K23/1000000</f>
        <v>6.2967106537664902E-5</v>
      </c>
      <c r="L23" s="206">
        <f>Storage_modulus_G!L23/1000000</f>
        <v>6.8322579406253296E-5</v>
      </c>
      <c r="M23" s="206">
        <f>Storage_modulus_G!M23/1000000</f>
        <v>6.6942453380673903E-5</v>
      </c>
      <c r="N23" s="206">
        <f>Storage_modulus_G!N23/1000000</f>
        <v>7.2636037103192399E-5</v>
      </c>
      <c r="O23" s="206">
        <f>Storage_modulus_G!O23/1000000</f>
        <v>1.0275828300407199E-4</v>
      </c>
      <c r="P23" s="206">
        <f>Storage_modulus_G!P23/1000000</f>
        <v>1.1614288626473901E-4</v>
      </c>
      <c r="Q23" s="206">
        <f>Storage_modulus_G!Q23/1000000</f>
        <v>1.48369340219252E-4</v>
      </c>
      <c r="R23" s="206">
        <f>Storage_modulus_G!R23/1000000</f>
        <v>1.89537748071098E-4</v>
      </c>
      <c r="S23" s="206">
        <f>Storage_modulus_G!S23/1000000</f>
        <v>2.52215937337429E-4</v>
      </c>
      <c r="T23" s="206">
        <f>Storage_modulus_G!T23/1000000</f>
        <v>3.2219891737696296E-4</v>
      </c>
      <c r="U23" s="206">
        <f>Storage_modulus_G!U23/1000000</f>
        <v>4.6521252976446602E-4</v>
      </c>
      <c r="V23" s="206">
        <f>Storage_modulus_G!V23/1000000</f>
        <v>6.4484223000859005E-4</v>
      </c>
      <c r="W23" s="206">
        <f>Storage_modulus_G!W23/1000000</f>
        <v>8.75775738654695E-4</v>
      </c>
      <c r="X23" s="206">
        <f>Storage_modulus_G!X23/1000000</f>
        <v>1.16538579290979E-3</v>
      </c>
      <c r="Y23" s="206">
        <f>Storage_modulus_G!Y23/1000000</f>
        <v>1.5827384685858201E-3</v>
      </c>
      <c r="Z23" s="206">
        <f>Storage_modulus_G!Z23/1000000</f>
        <v>2.1061338465657E-3</v>
      </c>
      <c r="AA23" s="206">
        <f>Storage_modulus_G!AA23/1000000</f>
        <v>2.9795499104994802E-3</v>
      </c>
      <c r="AB23" s="206">
        <f>Storage_modulus_G!AB23/1000000</f>
        <v>3.8847658285469802E-3</v>
      </c>
      <c r="AC23" s="206">
        <f>Storage_modulus_G!AC23/1000000</f>
        <v>4.8624345275373494E-3</v>
      </c>
      <c r="AD23" s="206">
        <f>Storage_modulus_G!AD23/1000000</f>
        <v>6.4703917535449598E-3</v>
      </c>
      <c r="AE23" s="206">
        <f>Storage_modulus_G!AE23/1000000</f>
        <v>8.2657473592079606E-3</v>
      </c>
      <c r="AF23" s="206">
        <f>Storage_modulus_G!AF23/1000000</f>
        <v>1.0559264725945001E-2</v>
      </c>
      <c r="AG23" s="206">
        <f>Storage_modulus_G!AG23/1000000</f>
        <v>1.32166868364486E-2</v>
      </c>
      <c r="AH23" s="206">
        <f>Storage_modulus_G!AH23/1000000</f>
        <v>1.6883953627073799E-2</v>
      </c>
      <c r="AI23" s="206">
        <f>Storage_modulus_G!AI23/1000000</f>
        <v>2.1133093396347603E-2</v>
      </c>
      <c r="AJ23" s="206">
        <f>Storage_modulus_G!AJ23/1000000</f>
        <v>2.2930503417813098E-2</v>
      </c>
      <c r="AK23" s="207">
        <f>Storage_modulus_G!AK23/1000000</f>
        <v>2.6996945097961401E-2</v>
      </c>
      <c r="AL23" s="2"/>
      <c r="AM23" s="2"/>
      <c r="AN23" s="2"/>
      <c r="AO23" s="2"/>
      <c r="AP23" s="2"/>
      <c r="AQ23" s="2"/>
      <c r="AR23" s="2"/>
      <c r="AS23" s="2"/>
    </row>
    <row r="24" spans="1:46" ht="15.75" customHeight="1">
      <c r="A24" s="174">
        <v>6</v>
      </c>
      <c r="B24" s="179">
        <v>2</v>
      </c>
      <c r="C24" s="2">
        <f>Storage_modulus_G!C24/1000000</f>
        <v>1.1418448306596499E-3</v>
      </c>
      <c r="D24" s="2">
        <f>Storage_modulus_G!D24/1000000</f>
        <v>1.4887482716830901E-3</v>
      </c>
      <c r="E24" s="2">
        <f>Storage_modulus_G!E24/1000000</f>
        <v>1.7527593975146302E-3</v>
      </c>
      <c r="F24" s="2">
        <f>Storage_modulus_G!F24/1000000</f>
        <v>2.02190482668418E-3</v>
      </c>
      <c r="G24" s="2">
        <f>Storage_modulus_G!G24/1000000</f>
        <v>2.06358963701946E-3</v>
      </c>
      <c r="H24" s="2">
        <f>Storage_modulus_G!H24/1000000</f>
        <v>2.2852645592998299E-3</v>
      </c>
      <c r="I24" s="2">
        <f>Storage_modulus_G!I24/1000000</f>
        <v>2.5829277605298397E-3</v>
      </c>
      <c r="J24" s="2">
        <f>Storage_modulus_G!J24/1000000</f>
        <v>2.69052801491518E-3</v>
      </c>
      <c r="K24" s="2">
        <f>Storage_modulus_G!K24/1000000</f>
        <v>2.8026107077646304E-3</v>
      </c>
      <c r="L24" s="2">
        <f>Storage_modulus_G!L24/1000000</f>
        <v>2.9795499104994802E-3</v>
      </c>
      <c r="M24" s="2">
        <f>Storage_modulus_G!M24/1000000</f>
        <v>3.16765994098352E-3</v>
      </c>
      <c r="N24" s="2">
        <f>Storage_modulus_G!N24/1000000</f>
        <v>3.3676460549807098E-3</v>
      </c>
      <c r="O24" s="2">
        <f>Storage_modulus_G!O24/1000000</f>
        <v>3.65407079434315E-3</v>
      </c>
      <c r="P24" s="2">
        <f>Storage_modulus_G!P24/1000000</f>
        <v>4.1300254954034499E-3</v>
      </c>
      <c r="Q24" s="2">
        <f>Storage_modulus_G!Q24/1000000</f>
        <v>4.5736810867505005E-3</v>
      </c>
      <c r="R24" s="2">
        <f>Storage_modulus_G!R24/1000000</f>
        <v>5.1694180433960804E-3</v>
      </c>
      <c r="S24" s="2">
        <f>Storage_modulus_G!S24/1000000</f>
        <v>5.9632093873874603E-3</v>
      </c>
      <c r="T24" s="2">
        <f>Storage_modulus_G!T24/1000000</f>
        <v>6.6037892554856401E-3</v>
      </c>
      <c r="U24" s="2">
        <f>Storage_modulus_G!U24/1000000</f>
        <v>7.1654541648692805E-3</v>
      </c>
      <c r="V24" s="2">
        <f>Storage_modulus_G!V24/1000000</f>
        <v>7.9351815692941096E-3</v>
      </c>
      <c r="W24" s="2">
        <f>Storage_modulus_G!W24/1000000</f>
        <v>8.7875946295741299E-3</v>
      </c>
      <c r="X24" s="2">
        <f>Storage_modulus_G!X24/1000000</f>
        <v>1.0345966045100401E-2</v>
      </c>
      <c r="Y24" s="2">
        <f>Storage_modulus_G!Y24/1000000</f>
        <v>1.1934643575701901E-2</v>
      </c>
      <c r="Z24" s="2">
        <f>Storage_modulus_G!Z24/1000000</f>
        <v>1.3489170029904201E-2</v>
      </c>
      <c r="AA24" s="2">
        <f>Storage_modulus_G!AA24/1000000</f>
        <v>1.55605030730975E-2</v>
      </c>
      <c r="AB24" s="2">
        <f>Storage_modulus_G!AB24/1000000</f>
        <v>1.8319966182457903E-2</v>
      </c>
      <c r="AC24" s="2">
        <f>Storage_modulus_G!AC24/1000000</f>
        <v>2.15687860058109E-2</v>
      </c>
      <c r="AD24" s="2">
        <f>Storage_modulus_G!AD24/1000000</f>
        <v>2.4378191097666698E-2</v>
      </c>
      <c r="AE24" s="2">
        <f>Storage_modulus_G!AE24/1000000</f>
        <v>2.9293086924335798E-2</v>
      </c>
      <c r="AF24" s="2">
        <f>Storage_modulus_G!AF24/1000000</f>
        <v>3.5924557943863004E-2</v>
      </c>
      <c r="AG24" s="2">
        <f>Storage_modulus_G!AG24/1000000</f>
        <v>4.22953347690391E-2</v>
      </c>
      <c r="AH24" s="2">
        <f>Storage_modulus_G!AH24/1000000</f>
        <v>4.6838784144609201E-2</v>
      </c>
      <c r="AI24" s="2">
        <f>Storage_modulus_G!AI24/1000000</f>
        <v>5.5145064238972405E-2</v>
      </c>
      <c r="AJ24" s="2">
        <f>Storage_modulus_G!AJ24/1000000</f>
        <v>5.9835257446305599E-2</v>
      </c>
      <c r="AK24" s="208">
        <f>Storage_modulus_G!AK24/1000000</f>
        <v>6.9023276102883308E-2</v>
      </c>
      <c r="AL24" s="2"/>
    </row>
    <row r="25" spans="1:46" ht="15.75" customHeight="1">
      <c r="A25" s="174">
        <v>6</v>
      </c>
      <c r="B25" s="179">
        <v>3</v>
      </c>
      <c r="C25" s="2">
        <f>Storage_modulus_G!C25/1000000</f>
        <v>7.9351815692941096E-3</v>
      </c>
      <c r="D25" s="2">
        <f>Storage_modulus_G!D25/1000000</f>
        <v>7.77488974927424E-3</v>
      </c>
      <c r="E25" s="2">
        <f>Storage_modulus_G!E25/1000000</f>
        <v>7.77488974927424E-3</v>
      </c>
      <c r="F25" s="2">
        <f>Storage_modulus_G!F25/1000000</f>
        <v>8.4361589959974816E-3</v>
      </c>
      <c r="G25" s="2">
        <f>Storage_modulus_G!G25/1000000</f>
        <v>8.7875946295741299E-3</v>
      </c>
      <c r="H25" s="2">
        <f>Storage_modulus_G!H25/1000000</f>
        <v>9.3423880525087492E-3</v>
      </c>
      <c r="I25" s="2">
        <f>Storage_modulus_G!I25/1000000</f>
        <v>9.3423880525087492E-3</v>
      </c>
      <c r="J25" s="2">
        <f>Storage_modulus_G!J25/1000000</f>
        <v>1.0345966045100401E-2</v>
      </c>
      <c r="K25" s="2">
        <f>Storage_modulus_G!K25/1000000</f>
        <v>1.09991452320885E-2</v>
      </c>
      <c r="L25" s="2">
        <f>Storage_modulus_G!L25/1000000</f>
        <v>1.2431819959946E-2</v>
      </c>
      <c r="M25" s="2">
        <f>Storage_modulus_G!M25/1000000</f>
        <v>1.43407913357222E-2</v>
      </c>
      <c r="N25" s="2">
        <f>Storage_modulus_G!N25/1000000</f>
        <v>1.55605030730975E-2</v>
      </c>
      <c r="O25" s="2">
        <f>Storage_modulus_G!O25/1000000</f>
        <v>1.7949900205209E-2</v>
      </c>
      <c r="P25" s="2">
        <f>Storage_modulus_G!P25/1000000</f>
        <v>1.9083143942086402E-2</v>
      </c>
      <c r="Q25" s="2">
        <f>Storage_modulus_G!Q25/1000000</f>
        <v>2.1133093396347603E-2</v>
      </c>
      <c r="R25" s="2">
        <f>Storage_modulus_G!R25/1000000</f>
        <v>2.34032525172015E-2</v>
      </c>
      <c r="S25" s="2">
        <f>Storage_modulus_G!S25/1000000</f>
        <v>2.5917276667057003E-2</v>
      </c>
      <c r="T25" s="2">
        <f>Storage_modulus_G!T25/1000000</f>
        <v>2.9293086924335798E-2</v>
      </c>
      <c r="U25" s="2">
        <f>Storage_modulus_G!U25/1000000</f>
        <v>3.2439808855292497E-2</v>
      </c>
      <c r="V25" s="2">
        <f>Storage_modulus_G!V25/1000000</f>
        <v>3.5198876656554606E-2</v>
      </c>
      <c r="W25" s="2">
        <f>Storage_modulus_G!W25/1000000</f>
        <v>3.8980010321515199E-2</v>
      </c>
      <c r="X25" s="2">
        <f>Storage_modulus_G!X25/1000000</f>
        <v>4.40572844642673E-2</v>
      </c>
      <c r="Y25" s="2">
        <f>Storage_modulus_G!Y25/1000000</f>
        <v>4.9795890210270199E-2</v>
      </c>
      <c r="Z25" s="2">
        <f>Storage_modulus_G!Z25/1000000</f>
        <v>5.4031125933366203E-2</v>
      </c>
      <c r="AA25" s="2">
        <f>Storage_modulus_G!AA25/1000000</f>
        <v>6.1068857230575299E-2</v>
      </c>
      <c r="AB25" s="2">
        <f>Storage_modulus_G!AB25/1000000</f>
        <v>6.7628995902279207E-2</v>
      </c>
      <c r="AC25" s="2">
        <f>Storage_modulus_G!AC25/1000000</f>
        <v>7.8013784112363704E-2</v>
      </c>
      <c r="AD25" s="2">
        <f>Storage_modulus_G!AD25/1000000</f>
        <v>8.6394180689119096E-2</v>
      </c>
      <c r="AE25" s="2">
        <f>Storage_modulus_G!AE25/1000000</f>
        <v>0.10171512200798999</v>
      </c>
      <c r="AF25" s="2">
        <f>Storage_modulus_G!AF25/1000000</f>
        <v>0.11264156366158701</v>
      </c>
      <c r="AG25" s="2">
        <f>Storage_modulus_G!AG25/1000000</f>
        <v>0.12731349663084199</v>
      </c>
      <c r="AH25" s="2">
        <f>Storage_modulus_G!AH25/1000000</f>
        <v>0.14686315401015598</v>
      </c>
      <c r="AI25" s="2">
        <f>Storage_modulus_G!AI25/1000000</f>
        <v>0.15298121622343502</v>
      </c>
      <c r="AJ25" s="2">
        <f>Storage_modulus_G!AJ25/1000000</f>
        <v>0.15613516931705898</v>
      </c>
      <c r="AK25" s="208">
        <f>Storage_modulus_G!AK25/1000000</f>
        <v>0.162639487476374</v>
      </c>
      <c r="AL25" s="2"/>
    </row>
    <row r="26" spans="1:46" ht="15.75" customHeight="1">
      <c r="A26" s="174">
        <v>6</v>
      </c>
      <c r="B26" s="179">
        <v>4</v>
      </c>
      <c r="C26" s="2">
        <f>Storage_modulus_G!C26/1000000</f>
        <v>2.15687860058109E-2</v>
      </c>
      <c r="D26" s="2">
        <f>Storage_modulus_G!D26/1000000</f>
        <v>1.9083143942086402E-2</v>
      </c>
      <c r="E26" s="2">
        <f>Storage_modulus_G!E26/1000000</f>
        <v>2.02879335567955E-2</v>
      </c>
      <c r="F26" s="2">
        <f>Storage_modulus_G!F26/1000000</f>
        <v>2.0706201840865298E-2</v>
      </c>
      <c r="G26" s="2">
        <f>Storage_modulus_G!G26/1000000</f>
        <v>2.2013461117096299E-2</v>
      </c>
      <c r="H26" s="2">
        <f>Storage_modulus_G!H26/1000000</f>
        <v>2.2930503417813098E-2</v>
      </c>
      <c r="I26" s="2">
        <f>Storage_modulus_G!I26/1000000</f>
        <v>2.4880786600091999E-2</v>
      </c>
      <c r="J26" s="2">
        <f>Storage_modulus_G!J26/1000000</f>
        <v>2.6451602886577903E-2</v>
      </c>
      <c r="K26" s="2">
        <f>Storage_modulus_G!K26/1000000</f>
        <v>2.7553530413545198E-2</v>
      </c>
      <c r="L26" s="2">
        <f>Storage_modulus_G!L26/1000000</f>
        <v>2.9293086924335798E-2</v>
      </c>
      <c r="M26" s="2">
        <f>Storage_modulus_G!M26/1000000</f>
        <v>3.1142468085863101E-2</v>
      </c>
      <c r="N26" s="2">
        <f>Storage_modulus_G!N26/1000000</f>
        <v>3.5198876656554606E-2</v>
      </c>
      <c r="O26" s="2">
        <f>Storage_modulus_G!O26/1000000</f>
        <v>3.7421112215534798E-2</v>
      </c>
      <c r="P26" s="2">
        <f>Storage_modulus_G!P26/1000000</f>
        <v>3.8980010321515199E-2</v>
      </c>
      <c r="Q26" s="2">
        <f>Storage_modulus_G!Q26/1000000</f>
        <v>4.0603849396936294E-2</v>
      </c>
      <c r="R26" s="2">
        <f>Storage_modulus_G!R26/1000000</f>
        <v>4.49655960339033E-2</v>
      </c>
      <c r="S26" s="2">
        <f>Storage_modulus_G!S26/1000000</f>
        <v>4.6838784144609201E-2</v>
      </c>
      <c r="T26" s="2">
        <f>Storage_modulus_G!T26/1000000</f>
        <v>4.7804440790577503E-2</v>
      </c>
      <c r="U26" s="2">
        <f>Storage_modulus_G!U26/1000000</f>
        <v>5.6281968169063896E-2</v>
      </c>
      <c r="V26" s="2">
        <f>Storage_modulus_G!V26/1000000</f>
        <v>5.6281968169063896E-2</v>
      </c>
      <c r="W26" s="2">
        <f>Storage_modulus_G!W26/1000000</f>
        <v>6.2327889652602393E-2</v>
      </c>
      <c r="X26" s="2">
        <f>Storage_modulus_G!X26/1000000</f>
        <v>6.62628803642E-2</v>
      </c>
      <c r="Y26" s="30">
        <f>Storage_modulus_G!Y26/1000000</f>
        <v>7.4893837778588795E-2</v>
      </c>
      <c r="Z26" s="30">
        <f>Storage_modulus_G!Z26/1000000</f>
        <v>8.126370195533579E-2</v>
      </c>
      <c r="AA26" s="30">
        <f>Storage_modulus_G!AA26/1000000</f>
        <v>8.4649005693329213E-2</v>
      </c>
      <c r="AB26" s="30">
        <f>Storage_modulus_G!AB26/1000000</f>
        <v>8.9993211200780007E-2</v>
      </c>
      <c r="AC26" s="30">
        <f>Storage_modulus_G!AC26/1000000</f>
        <v>0.105952396147105</v>
      </c>
      <c r="AD26" s="30">
        <f>Storage_modulus_G!AD26/1000000</f>
        <v>0.122221944136973</v>
      </c>
      <c r="AE26" s="30">
        <f>Storage_modulus_G!AE26/1000000</f>
        <v>0.132617154299284</v>
      </c>
      <c r="AF26" s="30">
        <f>Storage_modulus_G!AF26/1000000</f>
        <v>0.14098976683718301</v>
      </c>
      <c r="AG26" s="30">
        <f>Storage_modulus_G!AG26/1000000</f>
        <v>0.162639487476374</v>
      </c>
      <c r="AH26" s="30">
        <f>Storage_modulus_G!AH26/1000000</f>
        <v>0.18011054620785602</v>
      </c>
      <c r="AI26" s="30">
        <f>Storage_modulus_G!AI26/1000000</f>
        <v>0.19148159262606398</v>
      </c>
      <c r="AJ26" s="30">
        <f>Storage_modulus_G!AJ26/1000000</f>
        <v>0.15613516931705898</v>
      </c>
      <c r="AK26" s="209">
        <f>Storage_modulus_G!AK26/1000000</f>
        <v>0.14098976683718301</v>
      </c>
      <c r="AL26" s="2"/>
    </row>
    <row r="27" spans="1:46" ht="15.75" customHeight="1">
      <c r="A27" s="177">
        <v>7</v>
      </c>
      <c r="B27" s="178">
        <v>1</v>
      </c>
      <c r="C27" s="206">
        <f>Storage_modulus_G!C27/1000000</f>
        <v>1.8968234314012899E-6</v>
      </c>
      <c r="D27" s="206">
        <f>Storage_modulus_G!D27/1000000</f>
        <v>5.2178163493270802E-6</v>
      </c>
      <c r="E27" s="206">
        <f>Storage_modulus_G!E27/1000000</f>
        <v>1.5270614096563102E-5</v>
      </c>
      <c r="F27" s="206">
        <f>Storage_modulus_G!F27/1000000</f>
        <v>4.5623943957865995E-5</v>
      </c>
      <c r="G27" s="206">
        <f>Storage_modulus_G!G27/1000000</f>
        <v>1.3352437017712299E-4</v>
      </c>
      <c r="H27" s="206">
        <f>Storage_modulus_G!H27/1000000</f>
        <v>3.45236410041693E-4</v>
      </c>
      <c r="I27" s="206">
        <f>Storage_modulus_G!I27/1000000</f>
        <v>7.4123370131035798E-4</v>
      </c>
      <c r="J27" s="206">
        <f>Storage_modulus_G!J27/1000000</f>
        <v>1.4652754811771999E-3</v>
      </c>
      <c r="K27" s="206">
        <f>Storage_modulus_G!K27/1000000</f>
        <v>2.66691373835477E-3</v>
      </c>
      <c r="L27" s="206">
        <f>Storage_modulus_G!L27/1000000</f>
        <v>4.6575919231867397E-3</v>
      </c>
      <c r="M27" s="206">
        <f>Storage_modulus_G!M27/1000000</f>
        <v>7.6455383619545405E-3</v>
      </c>
      <c r="N27" s="206">
        <f>Storage_modulus_G!N27/1000000</f>
        <v>1.1555274560871399E-2</v>
      </c>
      <c r="O27" s="206">
        <f>Storage_modulus_G!O27/1000000</f>
        <v>1.7828757431197502E-2</v>
      </c>
      <c r="P27" s="206">
        <f>Storage_modulus_G!P27/1000000</f>
        <v>2.4809546975007001E-2</v>
      </c>
      <c r="Q27" s="206">
        <f>Storage_modulus_G!Q27/1000000</f>
        <v>3.5244000748491801E-2</v>
      </c>
      <c r="R27" s="206">
        <f>Storage_modulus_G!R27/1000000</f>
        <v>4.7059330024644401E-2</v>
      </c>
      <c r="S27" s="206">
        <f>Storage_modulus_G!S27/1000000</f>
        <v>5.9060952731354401E-2</v>
      </c>
      <c r="T27" s="206">
        <f>Storage_modulus_G!T27/1000000</f>
        <v>7.5670005723424902E-2</v>
      </c>
      <c r="U27" s="206">
        <f>Storage_modulus_G!U27/1000000</f>
        <v>9.1125779344815999E-2</v>
      </c>
      <c r="V27" s="206">
        <f>Storage_modulus_G!V27/1000000</f>
        <v>0.109738430462804</v>
      </c>
      <c r="W27" s="206">
        <f>Storage_modulus_G!W27/1000000</f>
        <v>0.12945165982558901</v>
      </c>
      <c r="X27" s="207">
        <f>Storage_modulus_G!X27/1000000</f>
        <v>0.15270614096563101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46" ht="15.75" customHeight="1">
      <c r="A28" s="174">
        <v>7</v>
      </c>
      <c r="B28" s="179">
        <v>2</v>
      </c>
      <c r="C28" s="2">
        <f>Storage_modulus_G!C28/1000000</f>
        <v>8.3039076612001009E-3</v>
      </c>
      <c r="D28" s="2">
        <f>Storage_modulus_G!D28/1000000</f>
        <v>9.0189701733587105E-3</v>
      </c>
      <c r="E28" s="2">
        <f>Storage_modulus_G!E28/1000000</f>
        <v>1.2550317376049499E-2</v>
      </c>
      <c r="F28" s="2">
        <f>Storage_modulus_G!F28/1000000</f>
        <v>2.1031485800943703E-2</v>
      </c>
      <c r="G28" s="2">
        <f>Storage_modulus_G!G28/1000000</f>
        <v>3.6730126284295096E-2</v>
      </c>
      <c r="H28" s="2">
        <f>Storage_modulus_G!H28/1000000</f>
        <v>6.8246552463745308E-2</v>
      </c>
      <c r="I28" s="2">
        <f>Storage_modulus_G!I28/1000000</f>
        <v>0.12945165982558901</v>
      </c>
      <c r="J28" s="2">
        <f>Storage_modulus_G!J28/1000000</f>
        <v>0.19564998576016801</v>
      </c>
      <c r="K28" s="2">
        <f>Storage_modulus_G!K28/1000000</f>
        <v>0.31459936923255799</v>
      </c>
      <c r="L28" s="2">
        <f>Storage_modulus_G!L28/1000000</f>
        <v>0.46575919231867302</v>
      </c>
      <c r="M28" s="2">
        <f>Storage_modulus_G!M28/1000000</f>
        <v>0.67545498708549001</v>
      </c>
      <c r="N28" s="2"/>
      <c r="O28" s="2"/>
      <c r="P28" s="2"/>
      <c r="Q28" s="30"/>
      <c r="R28" s="30"/>
      <c r="S28" s="30"/>
      <c r="T28" s="30"/>
      <c r="U28" s="30"/>
      <c r="V28" s="30"/>
      <c r="W28" s="30"/>
      <c r="X28" s="209"/>
      <c r="Y28" s="2"/>
    </row>
    <row r="29" spans="1:46" ht="15.75" customHeight="1">
      <c r="A29" s="177">
        <v>8</v>
      </c>
      <c r="B29" s="178">
        <v>1</v>
      </c>
      <c r="C29" s="339">
        <v>6874.06855439642</v>
      </c>
      <c r="D29" s="339">
        <v>6236.9597615499197</v>
      </c>
      <c r="E29" s="339">
        <v>5275.7078986587103</v>
      </c>
      <c r="F29" s="339">
        <v>4359.1654247391898</v>
      </c>
      <c r="G29" s="339">
        <v>3643.8152011922498</v>
      </c>
      <c r="H29" s="339">
        <v>3163.1892697466401</v>
      </c>
      <c r="I29" s="339">
        <v>2682.5633383010399</v>
      </c>
      <c r="J29" s="339">
        <v>2201.9374068554398</v>
      </c>
      <c r="K29" s="339">
        <v>1631.89269746646</v>
      </c>
      <c r="L29" s="339">
        <v>1151.2667660208599</v>
      </c>
      <c r="M29" s="339">
        <v>815.946348733234</v>
      </c>
      <c r="N29" s="339">
        <v>558.86736214605003</v>
      </c>
      <c r="O29" s="339">
        <v>402.384500745156</v>
      </c>
      <c r="P29" s="122">
        <v>223.54694485842001</v>
      </c>
      <c r="Q29" s="2"/>
      <c r="R29" s="2"/>
      <c r="S29" s="2"/>
      <c r="T29" s="2"/>
      <c r="U29" s="2"/>
      <c r="V29" s="2"/>
      <c r="W29" s="2"/>
      <c r="X29" s="2"/>
    </row>
    <row r="30" spans="1:46" ht="15.75" customHeight="1">
      <c r="A30" s="174">
        <v>8</v>
      </c>
      <c r="B30" s="179">
        <v>2</v>
      </c>
      <c r="C30" s="298">
        <v>7522.3546944858399</v>
      </c>
      <c r="D30" s="298">
        <v>6762.2950819672096</v>
      </c>
      <c r="E30" s="298">
        <v>5678.0923994038703</v>
      </c>
      <c r="F30" s="298">
        <v>4817.43666169895</v>
      </c>
      <c r="G30" s="298">
        <v>4102.0864381520096</v>
      </c>
      <c r="H30" s="298">
        <v>3587.92846497764</v>
      </c>
      <c r="I30" s="298">
        <v>3040.2384500745102</v>
      </c>
      <c r="J30" s="298">
        <v>2369.59761549925</v>
      </c>
      <c r="K30" s="298">
        <v>1732.4888226527501</v>
      </c>
      <c r="L30" s="298">
        <v>1274.21758569299</v>
      </c>
      <c r="M30" s="298">
        <v>961.251862891207</v>
      </c>
      <c r="N30" s="298">
        <v>760.059612518628</v>
      </c>
      <c r="O30" s="298">
        <v>581.22205663189197</v>
      </c>
      <c r="P30" s="123">
        <v>424.73919523099801</v>
      </c>
      <c r="Q30" s="2"/>
    </row>
    <row r="31" spans="1:46" ht="15.75" customHeight="1">
      <c r="A31" s="174">
        <v>8</v>
      </c>
      <c r="B31" s="179">
        <v>3</v>
      </c>
      <c r="C31" s="296">
        <v>7622.9508196721299</v>
      </c>
      <c r="D31" s="296">
        <v>7108.7928464977604</v>
      </c>
      <c r="E31" s="296">
        <v>6315.2011922503698</v>
      </c>
      <c r="F31" s="296">
        <v>5208.6438152011897</v>
      </c>
      <c r="G31" s="296">
        <v>4415.0521609538</v>
      </c>
      <c r="H31" s="296">
        <v>3856.1847988077402</v>
      </c>
      <c r="I31" s="296">
        <v>3375.5588673621401</v>
      </c>
      <c r="J31" s="296">
        <v>2894.9329359165399</v>
      </c>
      <c r="K31" s="296">
        <v>2302.5335320417198</v>
      </c>
      <c r="L31" s="296">
        <v>1643.07004470938</v>
      </c>
      <c r="M31" s="296">
        <v>1274.21758569299</v>
      </c>
      <c r="N31" s="296">
        <v>994.78390461997003</v>
      </c>
      <c r="O31" s="296">
        <v>793.59165424739194</v>
      </c>
      <c r="P31" s="124">
        <v>558.86736214605003</v>
      </c>
      <c r="Q31" s="2"/>
    </row>
    <row r="32" spans="1:46" ht="15.75" customHeight="1">
      <c r="A32" s="174">
        <v>8</v>
      </c>
      <c r="B32" s="179">
        <v>4</v>
      </c>
      <c r="C32" s="340">
        <v>4046.1997019373998</v>
      </c>
      <c r="D32" s="340">
        <v>3643.8152011922498</v>
      </c>
      <c r="E32" s="340">
        <v>3084.9478390462</v>
      </c>
      <c r="F32" s="340">
        <v>2604.3219076005898</v>
      </c>
      <c r="G32" s="340">
        <v>2257.82414307004</v>
      </c>
      <c r="H32" s="340">
        <v>1967.2131147540899</v>
      </c>
      <c r="I32" s="340">
        <v>1687.77943368107</v>
      </c>
      <c r="J32" s="340">
        <v>1430.70044709388</v>
      </c>
      <c r="K32" s="340">
        <v>1117.7347242921001</v>
      </c>
      <c r="L32" s="340">
        <v>894.18777943368104</v>
      </c>
      <c r="M32" s="340">
        <v>670.64083457525999</v>
      </c>
      <c r="N32" s="340">
        <v>536.51266766020797</v>
      </c>
      <c r="O32" s="340">
        <v>357.675111773472</v>
      </c>
      <c r="P32" s="125">
        <v>212.369597615499</v>
      </c>
      <c r="Q32" s="2"/>
    </row>
    <row r="33" spans="1:28" ht="15.75" customHeight="1">
      <c r="A33" s="177">
        <v>9</v>
      </c>
      <c r="B33" s="178">
        <v>1</v>
      </c>
      <c r="C33" s="306">
        <v>2779.4524142974601</v>
      </c>
      <c r="D33" s="306">
        <v>2835.9127655067</v>
      </c>
      <c r="E33" s="306">
        <v>2742.4380555099901</v>
      </c>
      <c r="F33" s="306">
        <v>2705.9166221453102</v>
      </c>
      <c r="G33" s="306">
        <v>2616.7267237088199</v>
      </c>
      <c r="H33" s="306">
        <v>2303.8033998142701</v>
      </c>
      <c r="I33" s="306">
        <v>1490.1050447023699</v>
      </c>
      <c r="J33" s="306">
        <v>944.61476736680504</v>
      </c>
      <c r="K33" s="306">
        <v>722.44768648880495</v>
      </c>
      <c r="L33" s="306">
        <v>586.89303019639397</v>
      </c>
      <c r="M33" s="306">
        <v>445.86093019935402</v>
      </c>
      <c r="N33" s="306">
        <v>321.03340000982899</v>
      </c>
      <c r="O33" s="306">
        <v>239.03255832270699</v>
      </c>
      <c r="P33" s="126">
        <v>174.43365326391699</v>
      </c>
      <c r="Q33" s="2"/>
    </row>
    <row r="34" spans="1:28" ht="15.75" customHeight="1">
      <c r="A34" s="174">
        <v>9</v>
      </c>
      <c r="B34" s="179">
        <v>2</v>
      </c>
      <c r="C34" s="301">
        <v>3444.4342889310601</v>
      </c>
      <c r="D34" s="301">
        <v>3375.8588475297602</v>
      </c>
      <c r="E34" s="301">
        <v>3375.8588475297602</v>
      </c>
      <c r="F34" s="301">
        <v>3286.5439690774601</v>
      </c>
      <c r="G34" s="301">
        <v>3052.9251540622199</v>
      </c>
      <c r="H34" s="301">
        <v>2599.2446669442602</v>
      </c>
      <c r="I34" s="301">
        <v>1658.80835996527</v>
      </c>
      <c r="J34" s="301">
        <v>1016.89946858343</v>
      </c>
      <c r="K34" s="301">
        <v>757.15511695997702</v>
      </c>
      <c r="L34" s="301">
        <v>627.58280144186904</v>
      </c>
      <c r="M34" s="301">
        <v>483.20777715791002</v>
      </c>
      <c r="N34" s="301">
        <v>347.924263161689</v>
      </c>
      <c r="O34" s="301">
        <v>271.50011292193699</v>
      </c>
      <c r="P34" s="110">
        <v>207.645100667516</v>
      </c>
      <c r="Q34" s="2"/>
    </row>
    <row r="35" spans="1:28" ht="15.75" customHeight="1">
      <c r="A35" s="174">
        <v>9</v>
      </c>
      <c r="B35" s="179">
        <v>3</v>
      </c>
      <c r="C35" s="300">
        <v>3242.7766007222899</v>
      </c>
      <c r="D35" s="300">
        <v>3199.5920885682799</v>
      </c>
      <c r="E35" s="300">
        <v>3114.9406883189699</v>
      </c>
      <c r="F35" s="300">
        <v>3156.9826706374001</v>
      </c>
      <c r="G35" s="300">
        <v>2932.5735169862401</v>
      </c>
      <c r="H35" s="300">
        <v>2530.4766194692402</v>
      </c>
      <c r="I35" s="300">
        <v>1625.78304842127</v>
      </c>
      <c r="J35" s="300">
        <v>1030.62443921871</v>
      </c>
      <c r="K35" s="300">
        <v>767.37434911386799</v>
      </c>
      <c r="L35" s="300">
        <v>606.89700282449996</v>
      </c>
      <c r="M35" s="300">
        <v>470.42358035547397</v>
      </c>
      <c r="N35" s="300">
        <v>329.75778020093202</v>
      </c>
      <c r="O35" s="300">
        <v>250.51602771916001</v>
      </c>
      <c r="P35" s="109">
        <v>181.59234020214899</v>
      </c>
      <c r="Q35" s="2"/>
    </row>
    <row r="36" spans="1:28" ht="15.75" customHeight="1">
      <c r="A36" s="174">
        <v>9</v>
      </c>
      <c r="B36" s="179">
        <v>4</v>
      </c>
      <c r="C36" s="301">
        <v>3398.5642729759302</v>
      </c>
      <c r="D36" s="301">
        <v>3375.8588475297602</v>
      </c>
      <c r="E36" s="301">
        <v>3286.5439690774601</v>
      </c>
      <c r="F36" s="301">
        <v>3242.7766007222899</v>
      </c>
      <c r="G36" s="301">
        <v>3073.45858499314</v>
      </c>
      <c r="H36" s="301">
        <v>2652.0443716701002</v>
      </c>
      <c r="I36" s="301">
        <v>1750.19275061743</v>
      </c>
      <c r="J36" s="301">
        <v>1080.13712606794</v>
      </c>
      <c r="K36" s="301">
        <v>777.73150902321697</v>
      </c>
      <c r="L36" s="301">
        <v>644.63794573840801</v>
      </c>
      <c r="M36" s="301">
        <v>493.02340870642399</v>
      </c>
      <c r="N36" s="301">
        <v>329.75778020093202</v>
      </c>
      <c r="O36" s="301">
        <v>125.597523780369</v>
      </c>
      <c r="P36" s="309"/>
      <c r="Q36" s="2"/>
    </row>
    <row r="37" spans="1:28" ht="15.75" customHeight="1">
      <c r="A37" s="182">
        <v>11</v>
      </c>
      <c r="B37" s="179" t="s">
        <v>220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28" ht="15.75" customHeight="1">
      <c r="A38" s="182">
        <v>11</v>
      </c>
      <c r="B38" s="179" t="s">
        <v>221</v>
      </c>
    </row>
    <row r="39" spans="1:28" ht="15.75" customHeight="1">
      <c r="A39" s="182">
        <v>11</v>
      </c>
      <c r="B39" s="179" t="s">
        <v>222</v>
      </c>
    </row>
    <row r="40" spans="1:28" ht="15.75" customHeight="1">
      <c r="A40" s="182">
        <v>11</v>
      </c>
      <c r="B40" s="179" t="s">
        <v>223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28" ht="15.75" customHeight="1">
      <c r="A41" s="177">
        <v>11</v>
      </c>
      <c r="B41" s="178" t="s">
        <v>224</v>
      </c>
      <c r="C41" s="127">
        <f>Storage_modulus_G!C41*1000</f>
        <v>4044.7031858346199</v>
      </c>
      <c r="D41" s="206">
        <f>Storage_modulus_G!D41*1000</f>
        <v>3939.20783691312</v>
      </c>
      <c r="E41" s="206">
        <f>Storage_modulus_G!E41*1000</f>
        <v>3786.1014992077398</v>
      </c>
      <c r="F41" s="206">
        <f>Storage_modulus_G!F41*1000</f>
        <v>3591.176321211</v>
      </c>
      <c r="G41" s="206">
        <f>Storage_modulus_G!G41*1000</f>
        <v>3317.4427993754198</v>
      </c>
      <c r="H41" s="206">
        <f>Storage_modulus_G!H41*1000</f>
        <v>3064.5743184830899</v>
      </c>
      <c r="I41" s="206">
        <f>Storage_modulus_G!I41*1000</f>
        <v>2868.6380405557798</v>
      </c>
      <c r="J41" s="206">
        <f>Storage_modulus_G!J41*1000</f>
        <v>2337.3464990996904</v>
      </c>
      <c r="K41" s="206">
        <f>Storage_modulus_G!K41*1000</f>
        <v>1603.85459539667</v>
      </c>
      <c r="L41" s="206">
        <f>Storage_modulus_G!L41*1000</f>
        <v>1145.04756993828</v>
      </c>
      <c r="M41" s="206">
        <f>Storage_modulus_G!M41*1000</f>
        <v>920.72936468349701</v>
      </c>
      <c r="N41" s="206">
        <f>Storage_modulus_G!N41*1000</f>
        <v>745.26358204415203</v>
      </c>
      <c r="O41" s="207">
        <f>Storage_modulus_G!O41*1000</f>
        <v>644.43958524174809</v>
      </c>
      <c r="P41" s="2"/>
    </row>
    <row r="42" spans="1:28" ht="15.75" customHeight="1">
      <c r="A42" s="174">
        <v>11</v>
      </c>
      <c r="B42" s="179" t="s">
        <v>225</v>
      </c>
      <c r="C42" s="48">
        <f>Storage_modulus_G!C42*1000</f>
        <v>2738.9851019136099</v>
      </c>
      <c r="D42" s="2">
        <f>Storage_modulus_G!D42*1000</f>
        <v>2738.9851019136099</v>
      </c>
      <c r="E42" s="2">
        <f>Storage_modulus_G!E42*1000</f>
        <v>2563.8656594088102</v>
      </c>
      <c r="F42" s="2">
        <f>Storage_modulus_G!F42*1000</f>
        <v>2447.98742300305</v>
      </c>
      <c r="G42" s="2">
        <f>Storage_modulus_G!G42*1000</f>
        <v>2217.0096083764997</v>
      </c>
      <c r="H42" s="2">
        <f>Storage_modulus_G!H42*1000</f>
        <v>1981.46811174359</v>
      </c>
      <c r="I42" s="2">
        <f>Storage_modulus_G!I42*1000</f>
        <v>1794.5083382161299</v>
      </c>
      <c r="J42" s="2">
        <f>Storage_modulus_G!J42*1000</f>
        <v>1511.2629268374201</v>
      </c>
      <c r="K42" s="2">
        <f>Storage_modulus_G!K42*1000</f>
        <v>1064.77950785697</v>
      </c>
      <c r="L42" s="2">
        <f>Storage_modulus_G!L42*1000</f>
        <v>770.29504081003302</v>
      </c>
      <c r="M42" s="2">
        <f>Storage_modulus_G!M42*1000</f>
        <v>587.50293835340096</v>
      </c>
      <c r="N42" s="2">
        <f>Storage_modulus_G!N42*1000</f>
        <v>488.27637332261395</v>
      </c>
      <c r="O42" s="208">
        <f>Storage_modulus_G!O42*1000</f>
        <v>436.40048279495801</v>
      </c>
      <c r="P42" s="2"/>
    </row>
    <row r="43" spans="1:28" ht="15.75" customHeight="1">
      <c r="A43" s="174">
        <v>11</v>
      </c>
      <c r="B43" s="179" t="s">
        <v>226</v>
      </c>
      <c r="C43" s="48">
        <f>Storage_modulus_G!C43*1000</f>
        <v>2632.52817063572</v>
      </c>
      <c r="D43" s="2">
        <f>Storage_modulus_G!D43*1000</f>
        <v>2563.8656594088102</v>
      </c>
      <c r="E43" s="2">
        <f>Storage_modulus_G!E43*1000</f>
        <v>2464.21514648023</v>
      </c>
      <c r="F43" s="2">
        <f>Storage_modulus_G!F43*1000</f>
        <v>2291.47317527108</v>
      </c>
      <c r="G43" s="2">
        <f>Storage_modulus_G!G43*1000</f>
        <v>2089.0200640371004</v>
      </c>
      <c r="H43" s="2">
        <f>Storage_modulus_G!H43*1000</f>
        <v>1879.45340757961</v>
      </c>
      <c r="I43" s="2">
        <f>Storage_modulus_G!I43*1000</f>
        <v>1679.7748555334099</v>
      </c>
      <c r="J43" s="2">
        <f>Storage_modulus_G!J43*1000</f>
        <v>1386.8749461908801</v>
      </c>
      <c r="K43" s="2">
        <f>Storage_modulus_G!K43*1000</f>
        <v>926.83288522735495</v>
      </c>
      <c r="L43" s="2">
        <f>Storage_modulus_G!L43*1000</f>
        <v>670.50010812772598</v>
      </c>
      <c r="M43" s="2">
        <f>Storage_modulus_G!M43*1000</f>
        <v>518.19196466092001</v>
      </c>
      <c r="N43" s="2">
        <f>Storage_modulus_G!N43*1000</f>
        <v>427.83558209498801</v>
      </c>
      <c r="O43" s="208">
        <f>Storage_modulus_G!O43*1000</f>
        <v>379.86298158340696</v>
      </c>
      <c r="P43" s="2"/>
    </row>
    <row r="44" spans="1:28" ht="15.75" customHeight="1">
      <c r="A44" s="174">
        <v>11</v>
      </c>
      <c r="B44" s="179" t="s">
        <v>227</v>
      </c>
      <c r="C44" s="128">
        <f>Storage_modulus_G!C44*1000</f>
        <v>1491.4240697027601</v>
      </c>
      <c r="D44" s="30">
        <f>Storage_modulus_G!D44*1000</f>
        <v>1433.4564562303101</v>
      </c>
      <c r="E44" s="30">
        <f>Storage_modulus_G!E44*1000</f>
        <v>1350.70199365599</v>
      </c>
      <c r="F44" s="30">
        <f>Storage_modulus_G!F44*1000</f>
        <v>1239.5293509195499</v>
      </c>
      <c r="G44" s="30">
        <f>Storage_modulus_G!G44*1000</f>
        <v>1100.5426727127801</v>
      </c>
      <c r="H44" s="30">
        <f>Storage_modulus_G!H44*1000</f>
        <v>977.14037474244799</v>
      </c>
      <c r="I44" s="30">
        <f>Storage_modulus_G!I44*1000</f>
        <v>844.94661082833295</v>
      </c>
      <c r="J44" s="30">
        <f>Storage_modulus_G!J44*1000</f>
        <v>666.08462908091508</v>
      </c>
      <c r="K44" s="30">
        <f>Storage_modulus_G!K44*1000</f>
        <v>501.35283145998397</v>
      </c>
      <c r="L44" s="30">
        <f>Storage_modulus_G!L44*1000</f>
        <v>397.844222813692</v>
      </c>
      <c r="M44" s="30">
        <f>Storage_modulus_G!M44*1000</f>
        <v>326.30959346255298</v>
      </c>
      <c r="N44" s="30">
        <f>Storage_modulus_G!N44*1000</f>
        <v>272.99516150366998</v>
      </c>
      <c r="O44" s="209">
        <f>Storage_modulus_G!O44*1000</f>
        <v>248.87586550025802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8" ht="15.75" customHeight="1">
      <c r="A45" s="177">
        <v>12</v>
      </c>
      <c r="B45" s="178" t="s">
        <v>220</v>
      </c>
      <c r="C45" s="2">
        <f>Storage_modulus_G!C45/1000000</f>
        <v>2.2939421957726698E-2</v>
      </c>
      <c r="D45" s="2">
        <f>Storage_modulus_G!D45/1000000</f>
        <v>1.9957771477414499E-2</v>
      </c>
      <c r="E45" s="2">
        <f>Storage_modulus_G!E45/1000000</f>
        <v>1.7097113658248401E-2</v>
      </c>
      <c r="F45" s="2">
        <f>Storage_modulus_G!F45/1000000</f>
        <v>1.7363673900707598E-2</v>
      </c>
      <c r="G45" s="2">
        <f>Storage_modulus_G!G45/1000000</f>
        <v>1.79093375321491E-2</v>
      </c>
      <c r="H45" s="2">
        <f>Storage_modulus_G!H45/1000000</f>
        <v>2.0268932092609802E-2</v>
      </c>
      <c r="I45" s="2">
        <f>Storage_modulus_G!I45/1000000</f>
        <v>2.3660292776984598E-2</v>
      </c>
      <c r="J45" s="2">
        <f>Storage_modulus_G!J45/1000000</f>
        <v>2.7195092411435799E-2</v>
      </c>
      <c r="K45" s="2">
        <f>Storage_modulus_G!K45/1000000</f>
        <v>3.1257983924271003E-2</v>
      </c>
      <c r="L45" s="2">
        <f>Storage_modulus_G!L45/1000000</f>
        <v>3.7056895460672E-2</v>
      </c>
      <c r="M45" s="2">
        <f>Storage_modulus_G!M45/1000000</f>
        <v>4.39316081456202E-2</v>
      </c>
      <c r="N45" s="2">
        <f>Storage_modulus_G!N45/1000000</f>
        <v>5.1282164553115205E-2</v>
      </c>
      <c r="O45" s="2">
        <f>Storage_modulus_G!O45/1000000</f>
        <v>5.9862602628512403E-2</v>
      </c>
      <c r="P45" s="206">
        <f>Storage_modulus_G!P45/1000000</f>
        <v>7.4339672331942094E-2</v>
      </c>
      <c r="Q45" s="206">
        <f>Storage_modulus_G!Q45/1000000</f>
        <v>8.8130976711842487E-2</v>
      </c>
      <c r="R45" s="206">
        <f>Storage_modulus_G!R45/1000000</f>
        <v>0.10944445407744699</v>
      </c>
      <c r="S45" s="206">
        <f>Storage_modulus_G!S45/1000000</f>
        <v>0.13591227405085998</v>
      </c>
      <c r="T45" s="206">
        <f>Storage_modulus_G!T45/1000000</f>
        <v>0.16878106656221001</v>
      </c>
      <c r="U45" s="206">
        <f>Storage_modulus_G!U45/1000000</f>
        <v>0.20009295399502999</v>
      </c>
      <c r="V45" s="206">
        <f>Storage_modulus_G!V45/1000000</f>
        <v>0.240912140761741</v>
      </c>
      <c r="W45" s="206">
        <f>Storage_modulus_G!W45/1000000</f>
        <v>0.29917401020650503</v>
      </c>
      <c r="X45" s="206">
        <f>Storage_modulus_G!X45/1000000</f>
        <v>0.36582211853748098</v>
      </c>
      <c r="Y45" s="206">
        <f>Storage_modulus_G!Y45/1000000</f>
        <v>0.43368862293511201</v>
      </c>
      <c r="Z45" s="206">
        <f>Storage_modulus_G!Z45/1000000</f>
        <v>0.483293053880755</v>
      </c>
      <c r="AA45" s="207">
        <f>Storage_modulus_G!AA45/1000000</f>
        <v>0.468568028884291</v>
      </c>
      <c r="AB45" s="2"/>
    </row>
    <row r="46" spans="1:28" ht="15.75" customHeight="1">
      <c r="A46" s="174">
        <v>12</v>
      </c>
      <c r="B46" s="179" t="s">
        <v>221</v>
      </c>
      <c r="C46" s="2">
        <f>Storage_modulus_G!C46/1000000</f>
        <v>1.9250161970978398E-4</v>
      </c>
      <c r="D46" s="2">
        <f>Storage_modulus_G!D46/1000000</f>
        <v>1.67480587654659E-4</v>
      </c>
      <c r="E46" s="2">
        <f>Storage_modulus_G!E46/1000000</f>
        <v>3.0149721581360198E-4</v>
      </c>
      <c r="F46" s="2">
        <f>Storage_modulus_G!F46/1000000</f>
        <v>3.8617663877917404E-4</v>
      </c>
      <c r="G46" s="2">
        <f>Storage_modulus_G!G46/1000000</f>
        <v>4.8704558619650797E-4</v>
      </c>
      <c r="H46" s="2">
        <f>Storage_modulus_G!H46/1000000</f>
        <v>5.6853716379803995E-4</v>
      </c>
      <c r="I46" s="2">
        <f>Storage_modulus_G!I46/1000000</f>
        <v>6.6366376327061901E-4</v>
      </c>
      <c r="J46" s="2">
        <f>Storage_modulus_G!J46/1000000</f>
        <v>7.1703891905915097E-4</v>
      </c>
      <c r="K46" s="2">
        <f>Storage_modulus_G!K46/1000000</f>
        <v>8.6331719030621106E-4</v>
      </c>
      <c r="L46" s="2">
        <f>Storage_modulus_G!L46/1000000</f>
        <v>1.21335192266547E-3</v>
      </c>
      <c r="M46" s="2">
        <f>Storage_modulus_G!M46/1000000</f>
        <v>1.78632262712954E-3</v>
      </c>
      <c r="N46" s="2">
        <f>Storage_modulus_G!N46/1000000</f>
        <v>2.7977477882470798E-3</v>
      </c>
      <c r="O46" s="2">
        <f>Storage_modulus_G!O46/1000000</f>
        <v>4.3818497214560504E-3</v>
      </c>
      <c r="P46" s="2">
        <f>Storage_modulus_G!P46/1000000</f>
        <v>6.6537809058603197E-3</v>
      </c>
      <c r="Q46" s="2">
        <f>Storage_modulus_G!Q46/1000000</f>
        <v>1.02612043345656E-2</v>
      </c>
      <c r="R46" s="2">
        <f>Storage_modulus_G!R46/1000000</f>
        <v>1.46464897533205E-2</v>
      </c>
      <c r="S46" s="2">
        <f>Storage_modulus_G!S46/1000000</f>
        <v>2.09058951658821E-2</v>
      </c>
      <c r="T46" s="2">
        <f>Storage_modulus_G!T46/1000000</f>
        <v>2.8487035820775303E-2</v>
      </c>
      <c r="U46" s="2">
        <f>Storage_modulus_G!U46/1000000</f>
        <v>3.6488012683025595E-2</v>
      </c>
      <c r="V46" s="2">
        <f>Storage_modulus_G!V46/1000000</f>
        <v>5.1282164553115205E-2</v>
      </c>
      <c r="W46" s="2">
        <f>Storage_modulus_G!W46/1000000</f>
        <v>6.4677033145754598E-2</v>
      </c>
      <c r="X46" s="2">
        <f>Storage_modulus_G!X46/1000000</f>
        <v>8.1570656920606791E-2</v>
      </c>
      <c r="Y46" s="2">
        <f>Storage_modulus_G!Y46/1000000</f>
        <v>9.5218910198836007E-2</v>
      </c>
      <c r="Z46" s="2">
        <f>Storage_modulus_G!Z46/1000000</f>
        <v>0.125795195872514</v>
      </c>
      <c r="AA46" s="208">
        <f>Storage_modulus_G!AA46/1000000</f>
        <v>0.161126463872827</v>
      </c>
      <c r="AB46" s="2"/>
    </row>
    <row r="47" spans="1:28" ht="15.75" customHeight="1">
      <c r="A47" s="174">
        <v>12</v>
      </c>
      <c r="B47" s="179" t="s">
        <v>222</v>
      </c>
      <c r="C47" s="2">
        <f>Storage_modulus_G!C47/1000000</f>
        <v>1.0860113903145201E-4</v>
      </c>
      <c r="D47" s="2">
        <f>Storage_modulus_G!D47/1000000</f>
        <v>1.03675801424795E-4</v>
      </c>
      <c r="E47" s="2">
        <f>Storage_modulus_G!E47/1000000</f>
        <v>9.5958351359727695E-5</v>
      </c>
      <c r="F47" s="2">
        <f>Storage_modulus_G!F47/1000000</f>
        <v>9.5958351359727695E-5</v>
      </c>
      <c r="G47" s="2">
        <f>Storage_modulus_G!G47/1000000</f>
        <v>1.02084211596342E-4</v>
      </c>
      <c r="H47" s="2">
        <f>Storage_modulus_G!H47/1000000</f>
        <v>8.7451916680702293E-5</v>
      </c>
      <c r="I47" s="2">
        <f>Storage_modulus_G!I47/1000000</f>
        <v>9.5958351359727695E-5</v>
      </c>
      <c r="J47" s="2">
        <f>Storage_modulus_G!J47/1000000</f>
        <v>9.5958351359727695E-5</v>
      </c>
      <c r="K47" s="2">
        <f>Storage_modulus_G!K47/1000000</f>
        <v>1.02084211596342E-4</v>
      </c>
      <c r="L47" s="2">
        <f>Storage_modulus_G!L47/1000000</f>
        <v>1.1916475536260501E-4</v>
      </c>
      <c r="M47" s="2">
        <f>Storage_modulus_G!M47/1000000</f>
        <v>1.3696772752637E-4</v>
      </c>
      <c r="N47" s="2">
        <f>Storage_modulus_G!N47/1000000</f>
        <v>1.59884917442382E-4</v>
      </c>
      <c r="O47" s="2">
        <f>Storage_modulus_G!O47/1000000</f>
        <v>2.0164681515432399E-4</v>
      </c>
      <c r="P47" s="2">
        <f>Storage_modulus_G!P47/1000000</f>
        <v>2.5431690938912703E-4</v>
      </c>
      <c r="Q47" s="2">
        <f>Storage_modulus_G!Q47/1000000</f>
        <v>3.2574512831759896E-4</v>
      </c>
      <c r="R47" s="2">
        <f>Storage_modulus_G!R47/1000000</f>
        <v>4.2374048204987601E-4</v>
      </c>
      <c r="S47" s="2">
        <f>Storage_modulus_G!S47/1000000</f>
        <v>5.7740187976203596E-4</v>
      </c>
      <c r="T47" s="2">
        <f>Storage_modulus_G!T47/1000000</f>
        <v>7.9905332916465298E-4</v>
      </c>
      <c r="U47" s="2">
        <f>Storage_modulus_G!U47/1000000</f>
        <v>1.07209971420662E-3</v>
      </c>
      <c r="V47" s="2">
        <f>Storage_modulus_G!V47/1000000</f>
        <v>1.57836810759677E-3</v>
      </c>
      <c r="W47" s="2">
        <f>Storage_modulus_G!W47/1000000</f>
        <v>2.3237072541542302E-3</v>
      </c>
      <c r="X47" s="2">
        <f>Storage_modulus_G!X47/1000000</f>
        <v>3.6961463073248301E-3</v>
      </c>
      <c r="Y47" s="2">
        <f>Storage_modulus_G!Y47/1000000</f>
        <v>6.8628758212251695E-3</v>
      </c>
      <c r="Z47" s="2">
        <f>Storage_modulus_G!Z47/1000000</f>
        <v>1.25471273328425E-2</v>
      </c>
      <c r="AA47" s="208">
        <f>Storage_modulus_G!AA47/1000000</f>
        <v>3.9422560972618099E-2</v>
      </c>
      <c r="AB47" s="2"/>
    </row>
    <row r="48" spans="1:28" ht="15.75" customHeight="1">
      <c r="A48" s="174">
        <v>12</v>
      </c>
      <c r="B48" s="179" t="s">
        <v>223</v>
      </c>
      <c r="C48" s="2">
        <f>Storage_modulus_G!C48/1000000</f>
        <v>9.8719070212982287E-6</v>
      </c>
      <c r="D48" s="2">
        <f>Storage_modulus_G!D48/1000000</f>
        <v>1.83298133711827E-5</v>
      </c>
      <c r="E48" s="2">
        <f>Storage_modulus_G!E48/1000000</f>
        <v>3.4034159509152902E-5</v>
      </c>
      <c r="F48" s="2">
        <f>Storage_modulus_G!F48/1000000</f>
        <v>5.4979602073089704E-5</v>
      </c>
      <c r="G48" s="2">
        <f>Storage_modulus_G!G48/1000000</f>
        <v>7.9699553220316803E-5</v>
      </c>
      <c r="H48" s="2">
        <f>Storage_modulus_G!H48/1000000</f>
        <v>1.1201392738375699E-4</v>
      </c>
      <c r="I48" s="2">
        <f>Storage_modulus_G!I48/1000000</f>
        <v>1.3279465837272701E-4</v>
      </c>
      <c r="J48" s="2">
        <f>Storage_modulus_G!J48/1000000</f>
        <v>1.8954641111066801E-4</v>
      </c>
      <c r="K48" s="2">
        <f>Storage_modulus_G!K48/1000000</f>
        <v>2.4278299133822698E-4</v>
      </c>
      <c r="L48" s="2">
        <f>Storage_modulus_G!L48/1000000</f>
        <v>3.3598205822238999E-4</v>
      </c>
      <c r="M48" s="2">
        <f>Storage_modulus_G!M48/1000000</f>
        <v>5.1018401507823001E-4</v>
      </c>
      <c r="N48" s="2">
        <f>Storage_modulus_G!N48/1000000</f>
        <v>6.6366376327061901E-4</v>
      </c>
      <c r="O48" s="2">
        <f>Storage_modulus_G!O48/1000000</f>
        <v>1.2908100187059199E-3</v>
      </c>
      <c r="P48" s="2">
        <f>Storage_modulus_G!P48/1000000</f>
        <v>2.1177172210768598E-3</v>
      </c>
      <c r="Q48" s="2">
        <f>Storage_modulus_G!Q48/1000000</f>
        <v>2.8856686526172698E-3</v>
      </c>
      <c r="R48" s="2">
        <f>Storage_modulus_G!R48/1000000</f>
        <v>4.7342599696396301E-3</v>
      </c>
      <c r="S48" s="2">
        <f>Storage_modulus_G!S48/1000000</f>
        <v>6.9698786877123399E-3</v>
      </c>
      <c r="T48" s="2">
        <f>Storage_modulus_G!T48/1000000</f>
        <v>1.01036724281143E-2</v>
      </c>
      <c r="U48" s="2">
        <f>Storage_modulus_G!U48/1000000</f>
        <v>1.4200238920629498E-2</v>
      </c>
      <c r="V48" s="2">
        <f>Storage_modulus_G!V48/1000000</f>
        <v>2.0584956145942499E-2</v>
      </c>
      <c r="W48" s="2">
        <f>Storage_modulus_G!W48/1000000</f>
        <v>2.7619089734714598E-2</v>
      </c>
      <c r="X48" s="2">
        <f>Storage_modulus_G!X48/1000000</f>
        <v>3.7056895460672E-2</v>
      </c>
      <c r="Y48" s="2">
        <f>Storage_modulus_G!Y48/1000000</f>
        <v>5.2893736637355498E-2</v>
      </c>
      <c r="Z48" s="2">
        <f>Storage_modulus_G!Z48/1000000</f>
        <v>7.0968221180409297E-2</v>
      </c>
      <c r="AA48" s="208">
        <f>Storage_modulus_G!AA48/1000000</f>
        <v>8.9505101588799096E-2</v>
      </c>
      <c r="AB48" s="2"/>
    </row>
    <row r="49" spans="1:28" ht="15.75" customHeight="1">
      <c r="A49" s="174">
        <v>12</v>
      </c>
      <c r="B49" s="179" t="s">
        <v>228</v>
      </c>
      <c r="C49" s="2">
        <f>Storage_modulus_G!C49/1000000</f>
        <v>1.3279465837272701E-4</v>
      </c>
      <c r="D49" s="2">
        <f>Storage_modulus_G!D49/1000000</f>
        <v>2.2471063899996501E-4</v>
      </c>
      <c r="E49" s="2">
        <f>Storage_modulus_G!E49/1000000</f>
        <v>2.4278299133822698E-4</v>
      </c>
      <c r="F49" s="2">
        <f>Storage_modulus_G!F49/1000000</f>
        <v>2.6230881254868702E-4</v>
      </c>
      <c r="G49" s="2">
        <f>Storage_modulus_G!G49/1000000</f>
        <v>2.8340499786019596E-4</v>
      </c>
      <c r="H49" s="2">
        <f>Storage_modulus_G!H49/1000000</f>
        <v>2.7905427661446499E-4</v>
      </c>
      <c r="I49" s="2">
        <f>Storage_modulus_G!I49/1000000</f>
        <v>2.96868750005754E-4</v>
      </c>
      <c r="J49" s="2">
        <f>Storage_modulus_G!J49/1000000</f>
        <v>3.4122033765901803E-4</v>
      </c>
      <c r="K49" s="30">
        <f>Storage_modulus_G!K49/1000000</f>
        <v>3.8617663877917404E-4</v>
      </c>
      <c r="L49" s="30">
        <f>Storage_modulus_G!L49/1000000</f>
        <v>5.2621622572523996E-4</v>
      </c>
      <c r="M49" s="30">
        <f>Storage_modulus_G!M49/1000000</f>
        <v>6.7401170731299102E-4</v>
      </c>
      <c r="N49" s="30">
        <f>Storage_modulus_G!N49/1000000</f>
        <v>9.4729192254029704E-4</v>
      </c>
      <c r="O49" s="30">
        <f>Storage_modulus_G!O49/1000000</f>
        <v>1.15832332988908E-3</v>
      </c>
      <c r="P49" s="30">
        <f>Storage_modulus_G!P49/1000000</f>
        <v>1.60297731170949E-3</v>
      </c>
      <c r="Q49" s="30">
        <f>Storage_modulus_G!Q49/1000000</f>
        <v>2.25290961999955E-3</v>
      </c>
      <c r="R49" s="30">
        <f>Storage_modulus_G!R49/1000000</f>
        <v>3.1177485436881401E-3</v>
      </c>
      <c r="S49" s="30">
        <f>Storage_modulus_G!S49/1000000</f>
        <v>4.5195519177258807E-3</v>
      </c>
      <c r="T49" s="30">
        <f>Storage_modulus_G!T49/1000000</f>
        <v>5.7000576709336399E-3</v>
      </c>
      <c r="U49" s="30">
        <f>Storage_modulus_G!U49/1000000</f>
        <v>7.8881755152233907E-3</v>
      </c>
      <c r="V49" s="30">
        <f>Storage_modulus_G!V49/1000000</f>
        <v>1.1434860213265499E-2</v>
      </c>
      <c r="W49" s="30">
        <f>Storage_modulus_G!W49/1000000</f>
        <v>1.5342293085057098E-2</v>
      </c>
      <c r="X49" s="30">
        <f>Storage_modulus_G!X49/1000000</f>
        <v>2.1562875177139201E-2</v>
      </c>
      <c r="Y49" s="30">
        <f>Storage_modulus_G!Y49/1000000</f>
        <v>3.1745325585570701E-2</v>
      </c>
      <c r="Z49" s="30">
        <f>Storage_modulus_G!Z49/1000000</f>
        <v>4.6018671845605402E-2</v>
      </c>
      <c r="AA49" s="209">
        <f>Storage_modulus_G!AA49/1000000</f>
        <v>6.2706501821059205E-2</v>
      </c>
      <c r="AB49" s="2"/>
    </row>
    <row r="50" spans="1:28" ht="15.75" customHeight="1">
      <c r="A50" s="177">
        <v>12</v>
      </c>
      <c r="B50" s="178" t="s">
        <v>224</v>
      </c>
      <c r="C50" s="129">
        <v>12525.235362351599</v>
      </c>
      <c r="D50" s="129">
        <v>11603.1430665387</v>
      </c>
      <c r="E50" s="129">
        <v>11456.2023544844</v>
      </c>
      <c r="F50" s="129">
        <v>11026.44056311</v>
      </c>
      <c r="G50" s="129">
        <v>5132.53610067319</v>
      </c>
      <c r="H50" s="129">
        <v>3370.3517170405898</v>
      </c>
      <c r="I50" s="129">
        <v>2713.80875605659</v>
      </c>
      <c r="J50" s="341">
        <v>1828.0673079113899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8" ht="15.75" customHeight="1">
      <c r="A51" s="174">
        <v>12</v>
      </c>
      <c r="B51" s="179" t="s">
        <v>225</v>
      </c>
      <c r="C51" s="129">
        <v>10345.704351709601</v>
      </c>
      <c r="D51" s="129">
        <v>9831.50418168328</v>
      </c>
      <c r="E51" s="129">
        <v>9831.50418168328</v>
      </c>
      <c r="F51" s="129">
        <v>7816.0802918429799</v>
      </c>
      <c r="G51" s="129">
        <v>3732.1202299475099</v>
      </c>
      <c r="H51" s="129">
        <v>2328.94237371077</v>
      </c>
      <c r="I51" s="129">
        <v>1759.4927439568</v>
      </c>
      <c r="J51" s="341">
        <v>1155.3949921235301</v>
      </c>
      <c r="K51" s="2"/>
    </row>
    <row r="52" spans="1:28" ht="15.75" customHeight="1">
      <c r="A52" s="174">
        <v>12</v>
      </c>
      <c r="B52" s="179" t="s">
        <v>226</v>
      </c>
      <c r="C52" s="129">
        <v>11456.2023544844</v>
      </c>
      <c r="D52" s="129">
        <v>11026.44056311</v>
      </c>
      <c r="E52" s="129">
        <v>10478.4065753226</v>
      </c>
      <c r="F52" s="129">
        <v>6793.6516649548003</v>
      </c>
      <c r="G52" s="129">
        <v>3370.3517170405898</v>
      </c>
      <c r="H52" s="129">
        <v>2514.0190760809501</v>
      </c>
      <c r="I52" s="129">
        <v>1923.68035837507</v>
      </c>
      <c r="J52" s="341">
        <v>1200.4271689822399</v>
      </c>
      <c r="K52" s="2"/>
    </row>
    <row r="53" spans="1:28" ht="15.75" customHeight="1">
      <c r="A53" s="174">
        <v>12</v>
      </c>
      <c r="B53" s="179" t="s">
        <v>227</v>
      </c>
      <c r="C53" s="129">
        <v>13869.682137681701</v>
      </c>
      <c r="D53" s="129">
        <v>12848.6070906655</v>
      </c>
      <c r="E53" s="129">
        <v>13520.612152711499</v>
      </c>
      <c r="F53" s="129">
        <v>10478.4065753226</v>
      </c>
      <c r="G53" s="129">
        <v>6057.4230070546</v>
      </c>
      <c r="H53" s="129">
        <v>4185.7259196675004</v>
      </c>
      <c r="I53" s="129">
        <v>3501.71138937163</v>
      </c>
      <c r="J53" s="341">
        <v>2103.1881687345499</v>
      </c>
      <c r="K53" s="2"/>
    </row>
    <row r="54" spans="1:28" ht="15.75" customHeight="1">
      <c r="A54" s="175">
        <v>12</v>
      </c>
      <c r="B54" s="180" t="s">
        <v>229</v>
      </c>
      <c r="C54" s="130">
        <v>11026.44056311</v>
      </c>
      <c r="D54" s="130">
        <v>11311.1169814679</v>
      </c>
      <c r="E54" s="130">
        <v>10478.4065753226</v>
      </c>
      <c r="F54" s="130">
        <v>6793.6516649548003</v>
      </c>
      <c r="G54" s="130">
        <v>3828.47468031266</v>
      </c>
      <c r="H54" s="130">
        <v>2929.4743440561401</v>
      </c>
      <c r="I54" s="130">
        <v>2389.06895420506</v>
      </c>
      <c r="J54" s="342">
        <v>1490.84190037802</v>
      </c>
      <c r="K54" s="2"/>
    </row>
    <row r="55" spans="1:28" ht="15.75" customHeight="1">
      <c r="A55" s="182">
        <v>13</v>
      </c>
      <c r="B55" s="179">
        <v>1</v>
      </c>
      <c r="C55" s="2"/>
      <c r="D55" s="2"/>
      <c r="E55" s="2"/>
      <c r="F55" s="2"/>
      <c r="G55" s="2"/>
      <c r="H55" s="2"/>
      <c r="I55" s="2"/>
      <c r="J55" s="2"/>
    </row>
    <row r="56" spans="1:28" ht="15.75" customHeight="1">
      <c r="A56" s="182">
        <v>13</v>
      </c>
      <c r="B56" s="179">
        <v>2</v>
      </c>
    </row>
    <row r="57" spans="1:28" ht="15.75" customHeight="1">
      <c r="A57" s="182">
        <v>13</v>
      </c>
      <c r="B57" s="179">
        <v>3</v>
      </c>
    </row>
    <row r="58" spans="1:28" ht="15.75" customHeight="1">
      <c r="A58" s="182">
        <v>13</v>
      </c>
      <c r="B58" s="179">
        <v>4</v>
      </c>
    </row>
    <row r="59" spans="1:28" ht="15.75" customHeight="1">
      <c r="A59" s="182">
        <v>13</v>
      </c>
      <c r="B59" s="179">
        <v>5</v>
      </c>
    </row>
    <row r="60" spans="1:28" ht="15.75" customHeight="1">
      <c r="A60" s="182">
        <v>13</v>
      </c>
      <c r="B60" s="179">
        <v>6</v>
      </c>
    </row>
    <row r="61" spans="1:28" ht="15.75" customHeight="1">
      <c r="A61" s="182">
        <v>13</v>
      </c>
      <c r="B61" s="179">
        <v>7</v>
      </c>
    </row>
    <row r="62" spans="1:28" ht="15.75" customHeight="1">
      <c r="A62" s="182">
        <v>13</v>
      </c>
      <c r="B62" s="179">
        <v>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28" ht="15.75" customHeight="1">
      <c r="A63" s="177">
        <v>14</v>
      </c>
      <c r="B63" s="178">
        <v>1</v>
      </c>
      <c r="C63" s="206">
        <f>Storage_modulus_G!C63/1000000</f>
        <v>2.26934152711838E-4</v>
      </c>
      <c r="D63" s="206">
        <f>Storage_modulus_G!D63/1000000</f>
        <v>4.0852499429792102E-4</v>
      </c>
      <c r="E63" s="206">
        <f>Storage_modulus_G!E63/1000000</f>
        <v>6.4920078803039404E-4</v>
      </c>
      <c r="F63" s="206">
        <f>Storage_modulus_G!F63/1000000</f>
        <v>1.1480520425767799E-3</v>
      </c>
      <c r="G63" s="206">
        <f>Storage_modulus_G!G63/1000000</f>
        <v>1.8244080561622099E-3</v>
      </c>
      <c r="H63" s="206">
        <f>Storage_modulus_G!H63/1000000</f>
        <v>3.28428883378622E-3</v>
      </c>
      <c r="I63" s="206">
        <f>Storage_modulus_G!I63/1000000</f>
        <v>5.3129848148215295E-3</v>
      </c>
      <c r="J63" s="206">
        <f>Storage_modulus_G!J63/1000000</f>
        <v>8.4430483342447602E-3</v>
      </c>
      <c r="K63" s="206">
        <f>Storage_modulus_G!K63/1000000</f>
        <v>1.36582955582908E-2</v>
      </c>
      <c r="L63" s="206">
        <f>Storage_modulus_G!L63/1000000</f>
        <v>1.9504524666150099E-2</v>
      </c>
      <c r="M63" s="206">
        <f>Storage_modulus_G!M63/1000000</f>
        <v>2.5479418910767798E-2</v>
      </c>
      <c r="N63" s="206">
        <f>Storage_modulus_G!N63/1000000</f>
        <v>3.3882916677534999E-2</v>
      </c>
      <c r="O63" s="207">
        <f>Storage_modulus_G!O63/1000000</f>
        <v>4.6692347257163799E-2</v>
      </c>
      <c r="P63" s="2"/>
    </row>
    <row r="64" spans="1:28" ht="15.75" customHeight="1">
      <c r="A64" s="174">
        <v>14</v>
      </c>
      <c r="B64" s="179">
        <v>2</v>
      </c>
      <c r="C64" s="2">
        <f>Storage_modulus_G!C64/1000000</f>
        <v>4.8818908460809699E-4</v>
      </c>
      <c r="D64" s="2">
        <f>Storage_modulus_G!D64/1000000</f>
        <v>6.7274933777406105E-4</v>
      </c>
      <c r="E64" s="2">
        <f>Storage_modulus_G!E64/1000000</f>
        <v>9.1071203879779792E-4</v>
      </c>
      <c r="F64" s="2">
        <f>Storage_modulus_G!F64/1000000</f>
        <v>1.34770296133671E-3</v>
      </c>
      <c r="G64" s="2">
        <f>Storage_modulus_G!G64/1000000</f>
        <v>2.18017529238356E-3</v>
      </c>
      <c r="H64" s="2">
        <f>Storage_modulus_G!H64/1000000</f>
        <v>2.5593166414160703E-3</v>
      </c>
      <c r="I64" s="2">
        <f>Storage_modulus_G!I64/1000000</f>
        <v>4.2146166317928498E-3</v>
      </c>
      <c r="J64" s="2">
        <f>Storage_modulus_G!J64/1000000</f>
        <v>6.3490391762735703E-3</v>
      </c>
      <c r="K64" s="2">
        <f>Storage_modulus_G!K64/1000000</f>
        <v>8.7492922993980295E-3</v>
      </c>
      <c r="L64" s="2">
        <f>Storage_modulus_G!L64/1000000</f>
        <v>1.4930736206534401E-2</v>
      </c>
      <c r="M64" s="2">
        <f>Storage_modulus_G!M64/1000000</f>
        <v>1.88218245382092E-2</v>
      </c>
      <c r="N64" s="2">
        <f>Storage_modulus_G!N64/1000000</f>
        <v>2.6878224987934698E-2</v>
      </c>
      <c r="O64" s="208">
        <f>Storage_modulus_G!O64/1000000</f>
        <v>3.63855030448932E-2</v>
      </c>
      <c r="P64" s="2"/>
    </row>
    <row r="65" spans="1:16" ht="15.75" customHeight="1">
      <c r="A65" s="174">
        <v>14</v>
      </c>
      <c r="B65" s="179">
        <v>3</v>
      </c>
      <c r="C65" s="2">
        <f>Storage_modulus_G!C65/1000000</f>
        <v>2.5141269035092902E-3</v>
      </c>
      <c r="D65" s="2">
        <f>Storage_modulus_G!D65/1000000</f>
        <v>2.8480365722499401E-3</v>
      </c>
      <c r="E65" s="2">
        <f>Storage_modulus_G!E65/1000000</f>
        <v>3.4034156698944298E-3</v>
      </c>
      <c r="F65" s="2">
        <f>Storage_modulus_G!F65/1000000</f>
        <v>4.1401993370016399E-3</v>
      </c>
      <c r="G65" s="2">
        <f>Storage_modulus_G!G65/1000000</f>
        <v>5.1270154854657201E-3</v>
      </c>
      <c r="H65" s="2">
        <f>Storage_modulus_G!H65/1000000</f>
        <v>6.6975933816468399E-3</v>
      </c>
      <c r="I65" s="2">
        <f>Storage_modulus_G!I65/1000000</f>
        <v>8.1475180266749204E-3</v>
      </c>
      <c r="J65" s="2">
        <f>Storage_modulus_G!J65/1000000</f>
        <v>1.10294390186E-2</v>
      </c>
      <c r="K65" s="2">
        <f>Storage_modulus_G!K65/1000000</f>
        <v>1.36582955582908E-2</v>
      </c>
      <c r="L65" s="2">
        <f>Storage_modulus_G!L65/1000000</f>
        <v>1.88218245382092E-2</v>
      </c>
      <c r="M65" s="2">
        <f>Storage_modulus_G!M65/1000000</f>
        <v>2.3307988924515802E-2</v>
      </c>
      <c r="N65" s="2">
        <f>Storage_modulus_G!N65/1000000</f>
        <v>3.9072956562111995E-2</v>
      </c>
      <c r="O65" s="208">
        <f>Storage_modulus_G!O65/1000000</f>
        <v>4.1958906892699099E-2</v>
      </c>
      <c r="P65" s="2"/>
    </row>
    <row r="66" spans="1:16" ht="15.75" customHeight="1">
      <c r="A66" s="174">
        <v>14</v>
      </c>
      <c r="B66" s="179">
        <v>4</v>
      </c>
      <c r="C66" s="2">
        <f>Storage_modulus_G!C66/1000000</f>
        <v>6.0186161470522099E-3</v>
      </c>
      <c r="D66" s="2">
        <f>Storage_modulus_G!D66/1000000</f>
        <v>6.8179827454797996E-3</v>
      </c>
      <c r="E66" s="2">
        <f>Storage_modulus_G!E66/1000000</f>
        <v>7.3215577722139692E-3</v>
      </c>
      <c r="F66" s="2">
        <f>Storage_modulus_G!F66/1000000</f>
        <v>8.1475180266749204E-3</v>
      </c>
      <c r="G66" s="2">
        <f>Storage_modulus_G!G66/1000000</f>
        <v>9.2296236319990097E-3</v>
      </c>
      <c r="H66" s="2">
        <f>Storage_modulus_G!H66/1000000</f>
        <v>1.12276704966139E-2</v>
      </c>
      <c r="I66" s="2">
        <f>Storage_modulus_G!I66/1000000</f>
        <v>1.2494295992985601E-2</v>
      </c>
      <c r="J66" s="2">
        <f>Storage_modulus_G!J66/1000000</f>
        <v>1.34171134166298E-2</v>
      </c>
      <c r="K66" s="2">
        <f>Storage_modulus_G!K66/1000000</f>
        <v>1.51991164635962E-2</v>
      </c>
      <c r="L66" s="2">
        <f>Storage_modulus_G!L66/1000000</f>
        <v>1.7842292498454499E-2</v>
      </c>
      <c r="M66" s="2">
        <f>Storage_modulus_G!M66/1000000</f>
        <v>2.1704870911799099E-2</v>
      </c>
      <c r="N66" s="2">
        <f>Storage_modulus_G!N66/1000000</f>
        <v>2.3726950452777201E-2</v>
      </c>
      <c r="O66" s="208">
        <f>Storage_modulus_G!O66/1000000</f>
        <v>2.6878224987934698E-2</v>
      </c>
      <c r="P66" s="2"/>
    </row>
    <row r="67" spans="1:16" ht="15.75" customHeight="1">
      <c r="A67" s="174">
        <v>14</v>
      </c>
      <c r="B67" s="179">
        <v>5</v>
      </c>
      <c r="C67" s="2">
        <f>Storage_modulus_G!C67/1000000</f>
        <v>8.1475180266749204E-3</v>
      </c>
      <c r="D67" s="2">
        <f>Storage_modulus_G!D67/1000000</f>
        <v>8.9065609888946684E-3</v>
      </c>
      <c r="E67" s="2">
        <f>Storage_modulus_G!E67/1000000</f>
        <v>9.3955071307877808E-3</v>
      </c>
      <c r="F67" s="2">
        <f>Storage_modulus_G!F67/1000000</f>
        <v>1.10294390186E-2</v>
      </c>
      <c r="G67" s="2">
        <f>Storage_modulus_G!G67/1000000</f>
        <v>1.1844071477495E-2</v>
      </c>
      <c r="H67" s="2">
        <f>Storage_modulus_G!H67/1000000</f>
        <v>1.31802259675316E-2</v>
      </c>
      <c r="I67" s="2">
        <f>Storage_modulus_G!I67/1000000</f>
        <v>1.4667084939104999E-2</v>
      </c>
      <c r="J67" s="2">
        <f>Storage_modulus_G!J67/1000000</f>
        <v>1.9504524666150099E-2</v>
      </c>
      <c r="K67" s="2">
        <f>Storage_modulus_G!K67/1000000</f>
        <v>2.3307988924515802E-2</v>
      </c>
      <c r="L67" s="2">
        <f>Storage_modulus_G!L67/1000000</f>
        <v>2.8353805480101801E-2</v>
      </c>
      <c r="M67" s="2">
        <f>Storage_modulus_G!M67/1000000</f>
        <v>3.5111932526814701E-2</v>
      </c>
      <c r="N67" s="2">
        <f>Storage_modulus_G!N67/1000000</f>
        <v>4.04902277890868E-2</v>
      </c>
      <c r="O67" s="208">
        <f>Storage_modulus_G!O67/1000000</f>
        <v>4.5867902598515996E-2</v>
      </c>
      <c r="P67" s="2"/>
    </row>
    <row r="68" spans="1:16" ht="15.75" customHeight="1">
      <c r="A68" s="174">
        <v>14</v>
      </c>
      <c r="B68" s="179">
        <v>6</v>
      </c>
      <c r="C68" s="2">
        <f>Storage_modulus_G!C68/1000000</f>
        <v>1.0643377802739201E-2</v>
      </c>
      <c r="D68" s="2">
        <f>Storage_modulus_G!D68/1000000</f>
        <v>1.10294390186E-2</v>
      </c>
      <c r="E68" s="2">
        <f>Storage_modulus_G!E68/1000000</f>
        <v>1.2273668093019999E-2</v>
      </c>
      <c r="F68" s="2">
        <f>Storage_modulus_G!F68/1000000</f>
        <v>1.31802259675316E-2</v>
      </c>
      <c r="G68" s="2">
        <f>Storage_modulus_G!G68/1000000</f>
        <v>1.44081284684364E-2</v>
      </c>
      <c r="H68" s="2">
        <f>Storage_modulus_G!H68/1000000</f>
        <v>1.6033506905016402E-2</v>
      </c>
      <c r="I68" s="2">
        <f>Storage_modulus_G!I68/1000000</f>
        <v>1.88218245382092E-2</v>
      </c>
      <c r="J68" s="2">
        <f>Storage_modulus_G!J68/1000000</f>
        <v>2.2492159403254702E-2</v>
      </c>
      <c r="K68" s="2">
        <f>Storage_modulus_G!K68/1000000</f>
        <v>2.4587584690350699E-2</v>
      </c>
      <c r="L68" s="2">
        <f>Storage_modulus_G!L68/1000000</f>
        <v>2.8353805480101801E-2</v>
      </c>
      <c r="M68" s="2">
        <f>Storage_modulus_G!M68/1000000</f>
        <v>3.3882916677534999E-2</v>
      </c>
      <c r="N68" s="2">
        <f>Storage_modulus_G!N68/1000000</f>
        <v>3.63855030448932E-2</v>
      </c>
      <c r="O68" s="208">
        <f>Storage_modulus_G!O68/1000000</f>
        <v>4.1218199999999997E-2</v>
      </c>
      <c r="P68" s="2"/>
    </row>
    <row r="69" spans="1:16" ht="15.75" customHeight="1">
      <c r="A69" s="174">
        <v>14</v>
      </c>
      <c r="B69" s="179">
        <v>7</v>
      </c>
      <c r="C69" s="2">
        <f>Storage_modulus_G!C69/1000000</f>
        <v>1.1429495846981799E-2</v>
      </c>
      <c r="D69" s="2">
        <f>Storage_modulus_G!D69/1000000</f>
        <v>1.1844071477495E-2</v>
      </c>
      <c r="E69" s="2">
        <f>Storage_modulus_G!E69/1000000</f>
        <v>1.2947494516215199E-2</v>
      </c>
      <c r="F69" s="2">
        <f>Storage_modulus_G!F69/1000000</f>
        <v>1.34171134166298E-2</v>
      </c>
      <c r="G69" s="2">
        <f>Storage_modulus_G!G69/1000000</f>
        <v>1.44081284684364E-2</v>
      </c>
      <c r="H69" s="2">
        <f>Storage_modulus_G!H69/1000000</f>
        <v>1.5750425408058901E-2</v>
      </c>
      <c r="I69" s="2">
        <f>Storage_modulus_G!I69/1000000</f>
        <v>1.6321720577630601E-2</v>
      </c>
      <c r="J69" s="2">
        <f>Storage_modulus_G!J69/1000000</f>
        <v>1.6913749105408597E-2</v>
      </c>
      <c r="K69" s="2">
        <f>Storage_modulus_G!K69/1000000</f>
        <v>1.88218245382092E-2</v>
      </c>
      <c r="L69" s="2">
        <f>Storage_modulus_G!L69/1000000</f>
        <v>2.1321614500233701E-2</v>
      </c>
      <c r="M69" s="2">
        <f>Storage_modulus_G!M69/1000000</f>
        <v>2.2492159403254702E-2</v>
      </c>
      <c r="N69" s="2">
        <f>Storage_modulus_G!N69/1000000</f>
        <v>2.4587584690350699E-2</v>
      </c>
      <c r="O69" s="208">
        <f>Storage_modulus_G!O69/1000000</f>
        <v>2.6878224987934698E-2</v>
      </c>
      <c r="P69" s="2"/>
    </row>
    <row r="70" spans="1:16" ht="15.75" customHeight="1">
      <c r="A70" s="174">
        <v>14</v>
      </c>
      <c r="B70" s="179">
        <v>8</v>
      </c>
      <c r="C70" s="2">
        <f>Storage_modulus_G!C70/1000000</f>
        <v>2.1704870911799099E-2</v>
      </c>
      <c r="D70" s="2">
        <f>Storage_modulus_G!D70/1000000</f>
        <v>2.4587584690350699E-2</v>
      </c>
      <c r="E70" s="2">
        <f>Storage_modulus_G!E70/1000000</f>
        <v>2.4587584690350699E-2</v>
      </c>
      <c r="F70" s="2">
        <f>Storage_modulus_G!F70/1000000</f>
        <v>2.5479418910767798E-2</v>
      </c>
      <c r="G70" s="2">
        <f>Storage_modulus_G!G70/1000000</f>
        <v>2.6403619444322603E-2</v>
      </c>
      <c r="H70" s="2">
        <f>Storage_modulus_G!H70/1000000</f>
        <v>2.7361305791660299E-2</v>
      </c>
      <c r="I70" s="2">
        <f>Storage_modulus_G!I70/1000000</f>
        <v>2.8863446038228501E-2</v>
      </c>
      <c r="J70" s="2">
        <f>Storage_modulus_G!J70/1000000</f>
        <v>3.0448012650415301E-2</v>
      </c>
      <c r="K70" s="2">
        <f>Storage_modulus_G!K70/1000000</f>
        <v>3.2696919820634197E-2</v>
      </c>
      <c r="L70" s="2">
        <f>Storage_modulus_G!L70/1000000</f>
        <v>3.3284624934083795E-2</v>
      </c>
      <c r="M70" s="2">
        <f>Storage_modulus_G!M70/1000000</f>
        <v>3.5111932526814701E-2</v>
      </c>
      <c r="N70" s="2">
        <f>Storage_modulus_G!N70/1000000</f>
        <v>3.63855030448932E-2</v>
      </c>
      <c r="O70" s="208">
        <f>Storage_modulus_G!O70/1000000</f>
        <v>4.5057984500989502E-2</v>
      </c>
      <c r="P70" s="2"/>
    </row>
    <row r="71" spans="1:16" ht="15.75" customHeight="1">
      <c r="A71" s="174">
        <v>14</v>
      </c>
      <c r="B71" s="179">
        <v>9</v>
      </c>
      <c r="C71" s="2">
        <f>Storage_modulus_G!C71/1000000</f>
        <v>2.78531446935582E-2</v>
      </c>
      <c r="D71" s="2">
        <f>Storage_modulus_G!D71/1000000</f>
        <v>2.99103934714561E-2</v>
      </c>
      <c r="E71" s="2">
        <f>Storage_modulus_G!E71/1000000</f>
        <v>3.21195917897283E-2</v>
      </c>
      <c r="F71" s="2">
        <f>Storage_modulus_G!F71/1000000</f>
        <v>3.3882916677534999E-2</v>
      </c>
      <c r="G71" s="2">
        <f>Storage_modulus_G!G71/1000000</f>
        <v>3.7039533129239598E-2</v>
      </c>
      <c r="H71" s="2">
        <f>Storage_modulus_G!H71/1000000</f>
        <v>3.5743045867224293E-2</v>
      </c>
      <c r="I71" s="2">
        <f>Storage_modulus_G!I71/1000000</f>
        <v>3.7705293792300601E-2</v>
      </c>
      <c r="J71" s="2">
        <f>Storage_modulus_G!J71/1000000</f>
        <v>3.9775266641933399E-2</v>
      </c>
      <c r="K71" s="2">
        <f>Storage_modulus_G!K71/1000000</f>
        <v>4.1218012364726497E-2</v>
      </c>
      <c r="L71" s="2">
        <f>Storage_modulus_G!L71/1000000</f>
        <v>4.5867902598515996E-2</v>
      </c>
      <c r="M71" s="2">
        <f>Storage_modulus_G!M71/1000000</f>
        <v>4.8385992328078602E-2</v>
      </c>
      <c r="N71" s="2">
        <f>Storage_modulus_G!N71/1000000</f>
        <v>5.4812336319704003E-2</v>
      </c>
      <c r="O71" s="208">
        <f>Storage_modulus_G!O71/1000000</f>
        <v>5.8860766003081696E-2</v>
      </c>
      <c r="P71" s="2"/>
    </row>
    <row r="72" spans="1:16" ht="15.75" customHeight="1">
      <c r="A72" s="175">
        <v>14</v>
      </c>
      <c r="B72" s="180">
        <v>10</v>
      </c>
      <c r="C72" s="30">
        <f>Storage_modulus_G!C72/1000000</f>
        <v>5.3844480790280494E-2</v>
      </c>
      <c r="D72" s="30">
        <f>Storage_modulus_G!D72/1000000</f>
        <v>5.5797551150701001E-2</v>
      </c>
      <c r="E72" s="30">
        <f>Storage_modulus_G!E72/1000000</f>
        <v>5.6800474554774598E-2</v>
      </c>
      <c r="F72" s="30">
        <f>Storage_modulus_G!F72/1000000</f>
        <v>6.0995789236382499E-2</v>
      </c>
      <c r="G72" s="30">
        <f>Storage_modulus_G!G72/1000000</f>
        <v>6.2092147469199596E-2</v>
      </c>
      <c r="H72" s="30">
        <f>Storage_modulus_G!H72/1000000</f>
        <v>6.7876805740749599E-2</v>
      </c>
      <c r="I72" s="30">
        <f>Storage_modulus_G!I72/1000000</f>
        <v>7.2890224411930007E-2</v>
      </c>
      <c r="J72" s="30">
        <f>Storage_modulus_G!J72/1000000</f>
        <v>7.4200377106507204E-2</v>
      </c>
      <c r="K72" s="30">
        <f>Storage_modulus_G!K72/1000000</f>
        <v>7.4200377106507204E-2</v>
      </c>
      <c r="L72" s="30">
        <f>Storage_modulus_G!L72/1000000</f>
        <v>8.5566130845401905E-2</v>
      </c>
      <c r="M72" s="30">
        <f>Storage_modulus_G!M72/1000000</f>
        <v>8.8669762395944499E-2</v>
      </c>
      <c r="N72" s="30">
        <f>Storage_modulus_G!N72/1000000</f>
        <v>9.1886030475036504E-2</v>
      </c>
      <c r="O72" s="209">
        <f>Storage_modulus_G!O72/1000000</f>
        <v>9.5218960424838808E-2</v>
      </c>
      <c r="P72" s="2"/>
    </row>
    <row r="73" spans="1:16" ht="15.75" customHeight="1">
      <c r="A73" s="182">
        <v>15</v>
      </c>
      <c r="B73" s="179">
        <v>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6" ht="15.75" customHeight="1">
      <c r="A74" s="182">
        <v>15</v>
      </c>
      <c r="B74" s="179">
        <v>2</v>
      </c>
    </row>
    <row r="75" spans="1:16" ht="15.75" customHeight="1">
      <c r="A75" s="182">
        <v>15</v>
      </c>
      <c r="B75" s="179">
        <v>3</v>
      </c>
    </row>
    <row r="76" spans="1:16" ht="15.75" customHeight="1">
      <c r="A76" s="182">
        <v>15</v>
      </c>
      <c r="B76" s="179">
        <v>4</v>
      </c>
    </row>
    <row r="77" spans="1:16" ht="15.75" customHeight="1">
      <c r="A77" s="182">
        <v>15</v>
      </c>
      <c r="B77" s="179">
        <v>5</v>
      </c>
    </row>
    <row r="78" spans="1:16" ht="15.75" customHeight="1">
      <c r="A78" s="182">
        <v>15</v>
      </c>
      <c r="B78" s="179">
        <v>6</v>
      </c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6" ht="15.75" customHeight="1">
      <c r="A79" s="177">
        <v>16</v>
      </c>
      <c r="B79" s="178">
        <v>1</v>
      </c>
      <c r="C79" s="206">
        <f>1000*Storage_modulus_G!C79</f>
        <v>1623.0152115798401</v>
      </c>
      <c r="D79" s="206">
        <f>1000*Storage_modulus_G!D79</f>
        <v>1795.53295158486</v>
      </c>
      <c r="E79" s="206">
        <f>1000*Storage_modulus_G!E79</f>
        <v>1795.53295158486</v>
      </c>
      <c r="F79" s="206">
        <f>1000*Storage_modulus_G!F79</f>
        <v>1594.3382951508499</v>
      </c>
      <c r="G79" s="206">
        <f>1000*Storage_modulus_G!G79</f>
        <v>1349.9653814622</v>
      </c>
      <c r="H79" s="206">
        <f>1000*Storage_modulus_G!H79</f>
        <v>1070.7237436165001</v>
      </c>
      <c r="I79" s="206">
        <f>1000*Storage_modulus_G!I79</f>
        <v>859.39662445975296</v>
      </c>
      <c r="J79" s="206">
        <f>1000*Storage_modulus_G!J79</f>
        <v>661.67575233533603</v>
      </c>
      <c r="K79" s="206">
        <f>1000*Storage_modulus_G!K79</f>
        <v>491.60123467146099</v>
      </c>
      <c r="L79" s="207">
        <f>1000*Storage_modulus_G!L79</f>
        <v>383.023793032821</v>
      </c>
      <c r="M79" s="2"/>
    </row>
    <row r="80" spans="1:16" ht="15.75" customHeight="1">
      <c r="A80" s="174">
        <v>16</v>
      </c>
      <c r="B80" s="179">
        <v>2</v>
      </c>
      <c r="C80" s="2">
        <f>1000*Storage_modulus_G!C80</f>
        <v>2416.71719149509</v>
      </c>
      <c r="D80" s="2">
        <f>1000*Storage_modulus_G!D80</f>
        <v>2250.39145769472</v>
      </c>
      <c r="E80" s="2">
        <f>1000*Storage_modulus_G!E80</f>
        <v>2250.39145769472</v>
      </c>
      <c r="F80" s="2">
        <f>1000*Storage_modulus_G!F80</f>
        <v>2197.5337274429799</v>
      </c>
      <c r="G80" s="2">
        <f>1000*Storage_modulus_G!G80</f>
        <v>2022.1179229069</v>
      </c>
      <c r="H80" s="2">
        <f>1000*Storage_modulus_G!H80</f>
        <v>1742.97097167879</v>
      </c>
      <c r="I80" s="2">
        <f>1000*Storage_modulus_G!I80</f>
        <v>1398.9637551796</v>
      </c>
      <c r="J80" s="2">
        <f>1000*Storage_modulus_G!J80</f>
        <v>1103.0130707546998</v>
      </c>
      <c r="K80" s="2">
        <f>1000*Storage_modulus_G!K80</f>
        <v>829.29608555885409</v>
      </c>
      <c r="L80" s="208">
        <f>1000*Storage_modulus_G!L80</f>
        <v>714.81472122486298</v>
      </c>
      <c r="M80" s="2"/>
    </row>
    <row r="81" spans="1:29" ht="15.75" customHeight="1">
      <c r="A81" s="174">
        <v>16</v>
      </c>
      <c r="B81" s="179">
        <v>3</v>
      </c>
      <c r="C81" s="2">
        <f>1000*Storage_modulus_G!C81</f>
        <v>2888.31918134222</v>
      </c>
      <c r="D81" s="2">
        <f>1000*Storage_modulus_G!D81</f>
        <v>2673.6023718404399</v>
      </c>
      <c r="E81" s="2">
        <f>1000*Storage_modulus_G!E81</f>
        <v>2721.6904750948697</v>
      </c>
      <c r="F81" s="2">
        <f>1000*Storage_modulus_G!F81</f>
        <v>2689.5363825203099</v>
      </c>
      <c r="G81" s="2">
        <f>1000*Storage_modulus_G!G81</f>
        <v>2474.8475476276899</v>
      </c>
      <c r="H81" s="2">
        <f>1000*Storage_modulus_G!H81</f>
        <v>2095.5127603211299</v>
      </c>
      <c r="I81" s="2">
        <f>1000*Storage_modulus_G!I81</f>
        <v>1671.9597403898301</v>
      </c>
      <c r="J81" s="2">
        <f>1000*Storage_modulus_G!J81</f>
        <v>1382.43637614656</v>
      </c>
      <c r="K81" s="2">
        <f>1000*Storage_modulus_G!K81</f>
        <v>1116.1993669630299</v>
      </c>
      <c r="L81" s="208">
        <f>1000*Storage_modulus_G!L81</f>
        <v>967.84663731124294</v>
      </c>
      <c r="M81" s="2"/>
    </row>
    <row r="82" spans="1:29" ht="15.75" customHeight="1">
      <c r="A82" s="201">
        <v>17</v>
      </c>
      <c r="B82" s="58">
        <v>1</v>
      </c>
      <c r="C82" s="206">
        <f>Storage_modulus_G!C82/10000000</f>
        <v>2.6366509999999998E-3</v>
      </c>
      <c r="D82" s="206">
        <f>Storage_modulus_G!D82/10000000</f>
        <v>3.2267990000000002E-3</v>
      </c>
      <c r="E82" s="206">
        <f>Storage_modulus_G!E82/10000000</f>
        <v>3.9490369999999999E-3</v>
      </c>
      <c r="F82" s="206">
        <f>Storage_modulus_G!F82/10000000</f>
        <v>5.0321589999999996E-3</v>
      </c>
      <c r="G82" s="206">
        <f>Storage_modulus_G!G82/10000000</f>
        <v>5.9146609999999999E-3</v>
      </c>
      <c r="H82" s="206">
        <f>Storage_modulus_G!H82/10000000</f>
        <v>8.0077179999999987E-3</v>
      </c>
      <c r="I82" s="206">
        <f>Storage_modulus_G!I82/10000000</f>
        <v>1.0624678E-2</v>
      </c>
      <c r="J82" s="206">
        <f>Storage_modulus_G!J82/10000000</f>
        <v>1.4677992999999999E-2</v>
      </c>
      <c r="K82" s="206">
        <f>Storage_modulus_G!K82/10000000</f>
        <v>1.8703799E-2</v>
      </c>
      <c r="L82" s="206">
        <f>Storage_modulus_G!L82/10000000</f>
        <v>2.4320075E-2</v>
      </c>
      <c r="M82" s="207">
        <f>Storage_modulus_G!M82/10000000</f>
        <v>3.1622777000000005E-2</v>
      </c>
      <c r="N82" s="2"/>
    </row>
    <row r="83" spans="1:29" ht="15.75" customHeight="1">
      <c r="A83" s="200">
        <v>17</v>
      </c>
      <c r="B83" s="59">
        <v>2</v>
      </c>
      <c r="C83" s="2">
        <f>Storage_modulus_G!C83/10000000</f>
        <v>3.0990500000000002E-4</v>
      </c>
      <c r="D83" s="2">
        <f>Storage_modulus_G!D83/10000000</f>
        <v>3.7168500000000002E-4</v>
      </c>
      <c r="E83" s="2">
        <f>Storage_modulus_G!E83/10000000</f>
        <v>4.9315399999999999E-4</v>
      </c>
      <c r="F83" s="2">
        <f>Storage_modulus_G!F83/10000000</f>
        <v>6.15848E-4</v>
      </c>
      <c r="G83" s="2">
        <f>Storage_modulus_G!G83/10000000</f>
        <v>8.5079400000000009E-4</v>
      </c>
      <c r="H83" s="2">
        <f>Storage_modulus_G!H83/10000000</f>
        <v>9.6040900000000007E-4</v>
      </c>
      <c r="I83" s="2">
        <f>Storage_modulus_G!I83/10000000</f>
        <v>1.3814999999999999E-3</v>
      </c>
      <c r="J83" s="2">
        <f>Storage_modulus_G!J83/10000000</f>
        <v>1.9474830000000001E-3</v>
      </c>
      <c r="K83" s="2">
        <f>Storage_modulus_G!K83/10000000</f>
        <v>2.8585139999999999E-3</v>
      </c>
      <c r="L83" s="2">
        <f>Storage_modulus_G!L83/10000000</f>
        <v>4.195725E-3</v>
      </c>
      <c r="M83" s="208">
        <f>Storage_modulus_G!M83/10000000</f>
        <v>6.1584819999999998E-3</v>
      </c>
      <c r="N83" s="2"/>
    </row>
    <row r="84" spans="1:29" ht="15.75" customHeight="1">
      <c r="A84" s="200">
        <v>17</v>
      </c>
      <c r="B84" s="59">
        <v>3</v>
      </c>
      <c r="C84" s="2">
        <f>Storage_modulus_G!C84/10000000</f>
        <v>1.7604100000000002E-4</v>
      </c>
      <c r="D84" s="2">
        <f>Storage_modulus_G!D84/10000000</f>
        <v>2.4320100000000002E-4</v>
      </c>
      <c r="E84" s="2">
        <f>Storage_modulus_G!E84/10000000</f>
        <v>3.4283699999999997E-4</v>
      </c>
      <c r="F84" s="2">
        <f>Storage_modulus_G!F84/10000000</f>
        <v>4.7362899999999999E-4</v>
      </c>
      <c r="G84" s="2">
        <f>Storage_modulus_G!G84/10000000</f>
        <v>6.9519299999999998E-4</v>
      </c>
      <c r="H84" s="2">
        <f>Storage_modulus_G!H84/10000000</f>
        <v>1.1518700000000002E-3</v>
      </c>
      <c r="I84" s="2">
        <f>Storage_modulus_G!I84/10000000</f>
        <v>1.7252110000000001E-3</v>
      </c>
      <c r="J84" s="2">
        <f>Storage_modulus_G!J84/10000000</f>
        <v>2.745342E-3</v>
      </c>
      <c r="K84" s="2">
        <f>Storage_modulus_G!K84/10000000</f>
        <v>4.2813319999999997E-3</v>
      </c>
      <c r="L84" s="2">
        <f>Storage_modulus_G!L84/10000000</f>
        <v>9.4120499999999999E-3</v>
      </c>
      <c r="M84" s="208">
        <f>Storage_modulus_G!M84/10000000</f>
        <v>1.4096873999999999E-2</v>
      </c>
      <c r="N84" s="2"/>
    </row>
    <row r="85" spans="1:29" ht="15.75" customHeight="1">
      <c r="A85" s="200">
        <v>17</v>
      </c>
      <c r="B85" s="59">
        <v>4</v>
      </c>
      <c r="C85" s="2">
        <f>Storage_modulus_G!C85/10000000</f>
        <v>4.1957299999999996E-4</v>
      </c>
      <c r="D85" s="2">
        <f>Storage_modulus_G!D85/10000000</f>
        <v>5.0321600000000001E-4</v>
      </c>
      <c r="E85" s="2">
        <f>Storage_modulus_G!E85/10000000</f>
        <v>6.2841399999999999E-4</v>
      </c>
      <c r="F85" s="2">
        <f>Storage_modulus_G!F85/10000000</f>
        <v>8.5079400000000009E-4</v>
      </c>
      <c r="G85" s="2">
        <f>Storage_modulus_G!G85/10000000</f>
        <v>1.1753719999999998E-3</v>
      </c>
      <c r="H85" s="2">
        <f>Storage_modulus_G!H85/10000000</f>
        <v>1.6237770000000001E-3</v>
      </c>
      <c r="I85" s="2">
        <f>Storage_modulus_G!I85/10000000</f>
        <v>2.3833779999999998E-3</v>
      </c>
      <c r="J85" s="2">
        <f>Storage_modulus_G!J85/10000000</f>
        <v>3.569699E-3</v>
      </c>
      <c r="K85" s="2">
        <f>Storage_modulus_G!K85/10000000</f>
        <v>5.3465070000000003E-3</v>
      </c>
      <c r="L85" s="2">
        <f>Storage_modulus_G!L85/10000000</f>
        <v>7.6906830000000002E-3</v>
      </c>
      <c r="M85" s="208">
        <f>Storage_modulus_G!M85/10000000</f>
        <v>1.0841458999999999E-2</v>
      </c>
      <c r="N85" s="2"/>
      <c r="O85" s="2"/>
      <c r="P85" s="2"/>
      <c r="Q85" s="2"/>
      <c r="R85" s="2"/>
      <c r="S85" s="2"/>
      <c r="T85" s="2"/>
      <c r="U85" s="2"/>
      <c r="V85" s="2"/>
    </row>
    <row r="86" spans="1:29" ht="15.75" customHeight="1">
      <c r="A86" s="201">
        <v>18</v>
      </c>
      <c r="B86" s="58">
        <v>1</v>
      </c>
      <c r="C86" s="206">
        <f>Storage_modulus_G!C86/1000000</f>
        <v>2.1303200000000002E-3</v>
      </c>
      <c r="D86" s="206">
        <f>Storage_modulus_G!D86/1000000</f>
        <v>2.3101300000000001E-3</v>
      </c>
      <c r="E86" s="206">
        <f>Storage_modulus_G!E86/1000000</f>
        <v>2.55638E-3</v>
      </c>
      <c r="F86" s="206">
        <f>Storage_modulus_G!F86/1000000</f>
        <v>2.7165500000000003E-3</v>
      </c>
      <c r="G86" s="206">
        <f>Storage_modulus_G!G86/1000000</f>
        <v>3.0061199999999997E-3</v>
      </c>
      <c r="H86" s="206">
        <f>Storage_modulus_G!H86/1000000</f>
        <v>3.1304099999999997E-3</v>
      </c>
      <c r="I86" s="206">
        <f>Storage_modulus_G!I86/1000000</f>
        <v>3.46409E-3</v>
      </c>
      <c r="J86" s="206">
        <f>Storage_modulus_G!J86/1000000</f>
        <v>3.6811399999999998E-3</v>
      </c>
      <c r="K86" s="206">
        <f>Storage_modulus_G!K86/1000000</f>
        <v>3.9117900000000001E-3</v>
      </c>
      <c r="L86" s="206">
        <f>Storage_modulus_G!L86/1000000</f>
        <v>3.9117900000000001E-3</v>
      </c>
      <c r="M86" s="206">
        <f>Storage_modulus_G!M86/1000000</f>
        <v>4.3287600000000001E-3</v>
      </c>
      <c r="N86" s="206">
        <f>Storage_modulus_G!N86/1000000</f>
        <v>4.7901800000000007E-3</v>
      </c>
      <c r="O86" s="206">
        <f>Storage_modulus_G!O86/1000000</f>
        <v>4.8882099999999996E-3</v>
      </c>
      <c r="P86" s="206">
        <f>Storage_modulus_G!P86/1000000</f>
        <v>4.8882099999999996E-3</v>
      </c>
      <c r="Q86" s="206">
        <f>Storage_modulus_G!Q86/1000000</f>
        <v>4.9882399999999997E-3</v>
      </c>
      <c r="R86" s="206">
        <f>Storage_modulus_G!R86/1000000</f>
        <v>5.6329099999999997E-3</v>
      </c>
      <c r="S86" s="206">
        <f>Storage_modulus_G!S86/1000000</f>
        <v>5.98585E-3</v>
      </c>
      <c r="T86" s="206">
        <f>Storage_modulus_G!T86/1000000</f>
        <v>6.2333500000000003E-3</v>
      </c>
      <c r="U86" s="206">
        <f>Storage_modulus_G!U86/1000000</f>
        <v>6.4910799999999998E-3</v>
      </c>
      <c r="V86" s="207">
        <f>Storage_modulus_G!V86/1000000</f>
        <v>6.4921199999999997E-3</v>
      </c>
      <c r="W86" s="2"/>
    </row>
    <row r="87" spans="1:29" ht="15.75" customHeight="1">
      <c r="A87" s="200">
        <v>18</v>
      </c>
      <c r="B87" s="59">
        <v>2</v>
      </c>
      <c r="C87" s="2">
        <f>Storage_modulus_G!C87/1000000</f>
        <v>1.6000999999999998E-4</v>
      </c>
      <c r="D87" s="2">
        <f>Storage_modulus_G!D87/1000000</f>
        <v>2.2647999999999999E-4</v>
      </c>
      <c r="E87" s="2">
        <f>Storage_modulus_G!E87/1000000</f>
        <v>3.2717999999999999E-4</v>
      </c>
      <c r="F87" s="2">
        <f>Storage_modulus_G!F87/1000000</f>
        <v>4.8243E-4</v>
      </c>
      <c r="G87" s="2">
        <f>Storage_modulus_G!G87/1000000</f>
        <v>7.1133000000000004E-4</v>
      </c>
      <c r="H87" s="2">
        <f>Storage_modulus_G!H87/1000000</f>
        <v>1.0488399999999999E-3</v>
      </c>
      <c r="I87" s="2">
        <f>Storage_modulus_G!I87/1000000</f>
        <v>1.6110199999999999E-3</v>
      </c>
      <c r="J87" s="2">
        <f>Storage_modulus_G!J87/1000000</f>
        <v>2.2341500000000003E-3</v>
      </c>
      <c r="K87" s="2">
        <f>Storage_modulus_G!K87/1000000</f>
        <v>3.5025E-3</v>
      </c>
      <c r="L87" s="2">
        <f>Storage_modulus_G!L87/1000000</f>
        <v>4.8572499999999996E-3</v>
      </c>
      <c r="M87" s="2">
        <f>Storage_modulus_G!M87/1000000</f>
        <v>6.8750900000000004E-3</v>
      </c>
      <c r="N87" s="2">
        <f>Storage_modulus_G!N87/1000000</f>
        <v>9.7311800000000007E-3</v>
      </c>
      <c r="O87" s="30">
        <f>Storage_modulus_G!O87/1000000</f>
        <v>1.3773780000000001E-2</v>
      </c>
      <c r="P87" s="30">
        <f>Storage_modulus_G!P87/1000000</f>
        <v>1.7965439999999999E-2</v>
      </c>
      <c r="Q87" s="30">
        <f>Storage_modulus_G!Q87/1000000</f>
        <v>2.2494220000000002E-2</v>
      </c>
      <c r="R87" s="30">
        <f>Storage_modulus_G!R87/1000000</f>
        <v>2.5428779999999998E-2</v>
      </c>
      <c r="S87" s="30">
        <f>Storage_modulus_G!S87/1000000</f>
        <v>2.5953810000000001E-2</v>
      </c>
      <c r="T87" s="30"/>
      <c r="U87" s="30"/>
      <c r="V87" s="209"/>
      <c r="W87" s="2"/>
    </row>
    <row r="88" spans="1:29" ht="15.75" customHeight="1">
      <c r="A88" s="201">
        <v>19</v>
      </c>
      <c r="B88" s="58">
        <v>1</v>
      </c>
      <c r="C88" s="194">
        <v>5420.22</v>
      </c>
      <c r="D88" s="194">
        <v>5042.7</v>
      </c>
      <c r="E88" s="194">
        <v>4746.07</v>
      </c>
      <c r="F88" s="194">
        <v>4112.3599999999997</v>
      </c>
      <c r="G88" s="194">
        <v>3573.03</v>
      </c>
      <c r="H88" s="194">
        <v>3155.06</v>
      </c>
      <c r="I88" s="194">
        <v>2750.56</v>
      </c>
      <c r="J88" s="194">
        <v>2305.62</v>
      </c>
      <c r="K88" s="194">
        <v>1901.12</v>
      </c>
      <c r="L88" s="194">
        <v>1617.98</v>
      </c>
      <c r="M88" s="194">
        <v>1348.31</v>
      </c>
      <c r="N88" s="197">
        <v>1132.58</v>
      </c>
      <c r="O88" s="2"/>
      <c r="P88" s="2"/>
      <c r="Q88" s="2"/>
      <c r="R88" s="2"/>
      <c r="S88" s="2"/>
      <c r="T88" s="2"/>
      <c r="U88" s="2"/>
      <c r="V88" s="2"/>
    </row>
    <row r="89" spans="1:29" ht="15.75" customHeight="1">
      <c r="A89" s="200">
        <v>19</v>
      </c>
      <c r="B89" s="59">
        <v>2</v>
      </c>
      <c r="C89" s="20">
        <v>4489.8900000000003</v>
      </c>
      <c r="D89" s="20">
        <v>4314.6099999999997</v>
      </c>
      <c r="E89" s="20">
        <v>3950.56</v>
      </c>
      <c r="F89" s="20">
        <v>3303.37</v>
      </c>
      <c r="G89" s="20">
        <v>2723.6</v>
      </c>
      <c r="H89" s="20">
        <v>2386.52</v>
      </c>
      <c r="I89" s="20">
        <v>1995.51</v>
      </c>
      <c r="J89" s="20">
        <v>1671.91</v>
      </c>
      <c r="K89" s="20">
        <v>1294.3800000000001</v>
      </c>
      <c r="L89" s="20">
        <v>1051.69</v>
      </c>
      <c r="M89" s="20">
        <v>862.92</v>
      </c>
      <c r="N89" s="198">
        <v>728.09</v>
      </c>
      <c r="O89" s="2"/>
    </row>
    <row r="90" spans="1:29" ht="15.75" customHeight="1">
      <c r="A90" s="200">
        <v>19</v>
      </c>
      <c r="B90" s="59">
        <v>3</v>
      </c>
      <c r="C90" s="20">
        <v>4058.43</v>
      </c>
      <c r="D90" s="20">
        <v>3883.15</v>
      </c>
      <c r="E90" s="20">
        <v>3573.03</v>
      </c>
      <c r="F90" s="20">
        <v>2831.46</v>
      </c>
      <c r="G90" s="20">
        <v>2332.58</v>
      </c>
      <c r="H90" s="20">
        <v>1968.54</v>
      </c>
      <c r="I90" s="20">
        <v>1685.39</v>
      </c>
      <c r="J90" s="20">
        <v>1334.83</v>
      </c>
      <c r="K90" s="20">
        <v>1078.6500000000001</v>
      </c>
      <c r="L90" s="20">
        <v>822.47</v>
      </c>
      <c r="M90" s="20">
        <v>701.12</v>
      </c>
      <c r="N90" s="198">
        <v>552.80999999999995</v>
      </c>
      <c r="O90" s="2"/>
    </row>
    <row r="91" spans="1:29" ht="15.75" customHeight="1">
      <c r="A91" s="200">
        <v>19</v>
      </c>
      <c r="B91" s="59">
        <v>4</v>
      </c>
      <c r="C91" s="20">
        <v>3802.25</v>
      </c>
      <c r="D91" s="20">
        <v>3559.55</v>
      </c>
      <c r="E91" s="20">
        <v>3114.61</v>
      </c>
      <c r="F91" s="20">
        <v>2238.1999999999998</v>
      </c>
      <c r="G91" s="20">
        <v>1698.88</v>
      </c>
      <c r="H91" s="20">
        <v>1456.18</v>
      </c>
      <c r="I91" s="20">
        <v>1186.52</v>
      </c>
      <c r="J91" s="20">
        <v>943.82</v>
      </c>
      <c r="K91" s="20">
        <v>728.09</v>
      </c>
      <c r="L91" s="20">
        <v>633.71</v>
      </c>
      <c r="M91" s="20">
        <v>539.33000000000004</v>
      </c>
      <c r="N91" s="198">
        <v>417.98</v>
      </c>
      <c r="O91" s="2"/>
    </row>
    <row r="92" spans="1:29" ht="15.75" customHeight="1">
      <c r="A92" s="200">
        <v>19</v>
      </c>
      <c r="B92" s="59">
        <v>5</v>
      </c>
      <c r="C92" s="26">
        <v>2575.2800000000002</v>
      </c>
      <c r="D92" s="26">
        <v>2507.87</v>
      </c>
      <c r="E92" s="26">
        <v>2332.58</v>
      </c>
      <c r="F92" s="26">
        <v>1766.29</v>
      </c>
      <c r="G92" s="26">
        <v>1361.8</v>
      </c>
      <c r="H92" s="26">
        <v>1146.07</v>
      </c>
      <c r="I92" s="26">
        <v>903.37</v>
      </c>
      <c r="J92" s="26">
        <v>714.61</v>
      </c>
      <c r="K92" s="26">
        <v>539.33000000000004</v>
      </c>
      <c r="L92" s="26">
        <v>431.46</v>
      </c>
      <c r="M92" s="26">
        <v>296.63</v>
      </c>
      <c r="N92" s="204">
        <v>215.73</v>
      </c>
      <c r="O92" s="2"/>
    </row>
    <row r="93" spans="1:29" ht="15.75" customHeight="1">
      <c r="A93" s="201">
        <v>20</v>
      </c>
      <c r="B93" s="178" t="s">
        <v>220</v>
      </c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7"/>
      <c r="N93" s="2"/>
      <c r="Y93" s="94"/>
      <c r="Z93" s="28"/>
      <c r="AB93" s="28"/>
      <c r="AC93" s="28"/>
    </row>
    <row r="94" spans="1:29" ht="15.75" customHeight="1">
      <c r="A94" s="200">
        <v>20</v>
      </c>
      <c r="B94" s="179" t="s">
        <v>221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08"/>
      <c r="N94" s="2"/>
      <c r="Y94" s="94"/>
      <c r="Z94" s="28"/>
      <c r="AB94" s="28"/>
      <c r="AC94" s="28"/>
    </row>
    <row r="95" spans="1:29" ht="15.75" customHeight="1">
      <c r="A95" s="200">
        <v>20</v>
      </c>
      <c r="B95" s="179" t="s">
        <v>222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08"/>
      <c r="N95" s="2"/>
      <c r="Y95" s="94"/>
      <c r="Z95" s="28"/>
      <c r="AB95" s="28"/>
    </row>
    <row r="96" spans="1:29" ht="15.75" customHeight="1">
      <c r="A96" s="200">
        <v>20</v>
      </c>
      <c r="B96" s="179" t="s">
        <v>223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08"/>
      <c r="N96" s="2"/>
      <c r="Y96" s="94"/>
      <c r="Z96" s="28"/>
      <c r="AB96" s="28"/>
      <c r="AC96" s="28"/>
    </row>
    <row r="97" spans="1:29" ht="15.75" customHeight="1">
      <c r="A97" s="200">
        <v>20</v>
      </c>
      <c r="B97" s="179" t="s">
        <v>224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08"/>
      <c r="N97" s="2"/>
      <c r="Y97" s="94"/>
      <c r="Z97" s="28"/>
      <c r="AB97" s="28"/>
      <c r="AC97" s="28"/>
    </row>
    <row r="98" spans="1:29" ht="15.75" customHeight="1">
      <c r="A98" s="200">
        <v>20</v>
      </c>
      <c r="B98" s="179" t="s">
        <v>225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08"/>
      <c r="N98" s="2"/>
      <c r="Y98" s="94"/>
      <c r="Z98" s="28"/>
      <c r="AB98" s="28"/>
      <c r="AC98" s="28"/>
    </row>
    <row r="99" spans="1:29" ht="15.75" customHeight="1">
      <c r="A99" s="200">
        <v>20</v>
      </c>
      <c r="B99" s="179" t="s">
        <v>226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08"/>
      <c r="N99" s="2"/>
      <c r="Y99" s="94"/>
      <c r="Z99" s="28"/>
      <c r="AB99" s="28"/>
      <c r="AC99" s="28"/>
    </row>
    <row r="100" spans="1:29" ht="15.75" customHeight="1">
      <c r="A100" s="200">
        <v>20</v>
      </c>
      <c r="B100" s="179" t="s">
        <v>227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08"/>
      <c r="N100" s="2"/>
      <c r="Y100" s="94"/>
      <c r="Z100" s="28"/>
      <c r="AB100" s="28"/>
      <c r="AC100" s="28"/>
    </row>
    <row r="101" spans="1:29" ht="15.75" customHeight="1">
      <c r="A101" s="200">
        <v>20</v>
      </c>
      <c r="B101" s="179" t="s">
        <v>230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08"/>
      <c r="N101" s="2"/>
      <c r="Y101" s="94"/>
      <c r="Z101" s="28"/>
      <c r="AB101" s="28"/>
      <c r="AC101" s="28"/>
    </row>
    <row r="102" spans="1:29" ht="15.75" customHeight="1">
      <c r="A102" s="200">
        <v>20</v>
      </c>
      <c r="B102" s="179" t="s">
        <v>231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08"/>
      <c r="N102" s="2"/>
      <c r="Y102" s="94"/>
      <c r="Z102" s="28"/>
      <c r="AB102" s="28"/>
      <c r="AC102" s="28"/>
    </row>
    <row r="103" spans="1:29" ht="15.75" customHeight="1">
      <c r="A103" s="200">
        <v>20</v>
      </c>
      <c r="B103" s="179" t="s">
        <v>232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08"/>
      <c r="N103" s="2"/>
      <c r="Y103" s="94"/>
      <c r="Z103" s="28"/>
      <c r="AB103" s="28"/>
      <c r="AC103" s="28"/>
    </row>
    <row r="104" spans="1:29" ht="15.75" customHeight="1">
      <c r="A104" s="200">
        <v>20</v>
      </c>
      <c r="B104" s="179" t="s">
        <v>233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08"/>
      <c r="N104" s="2"/>
      <c r="Y104" s="94"/>
      <c r="Z104" s="28"/>
      <c r="AB104" s="28"/>
      <c r="AC104" s="28"/>
    </row>
    <row r="105" spans="1:29" ht="15.75" customHeight="1">
      <c r="A105" s="200">
        <v>20</v>
      </c>
      <c r="B105" s="59" t="s">
        <v>234</v>
      </c>
      <c r="C105" s="2">
        <v>2564.8851719364202</v>
      </c>
      <c r="D105" s="2">
        <v>2402.6983010860099</v>
      </c>
      <c r="E105" s="2">
        <v>1850.22169360921</v>
      </c>
      <c r="F105" s="2">
        <v>1313.06940633011</v>
      </c>
      <c r="G105" s="2">
        <v>916.76795677089399</v>
      </c>
      <c r="H105" s="2">
        <v>750.55062513448297</v>
      </c>
      <c r="I105" s="2">
        <v>599.95052727083305</v>
      </c>
      <c r="J105" s="2">
        <v>489.74430416069703</v>
      </c>
      <c r="K105" s="2">
        <v>312.92537215781101</v>
      </c>
      <c r="L105" s="2">
        <v>208.52058261559199</v>
      </c>
      <c r="M105" s="208">
        <v>100.702326026476</v>
      </c>
      <c r="N105" s="2"/>
      <c r="Y105" s="94"/>
      <c r="Z105" s="28"/>
      <c r="AB105" s="28"/>
      <c r="AC105" s="28"/>
    </row>
    <row r="106" spans="1:29" ht="15.75" customHeight="1">
      <c r="A106" s="200">
        <v>20</v>
      </c>
      <c r="B106" s="59" t="s">
        <v>235</v>
      </c>
      <c r="C106" s="2">
        <v>1459.26288005383</v>
      </c>
      <c r="D106" s="2">
        <v>1418.9779567524199</v>
      </c>
      <c r="E106" s="2">
        <v>1304.67284932078</v>
      </c>
      <c r="F106" s="2">
        <v>1035.6131848166499</v>
      </c>
      <c r="G106" s="2">
        <v>827.81448109253097</v>
      </c>
      <c r="H106" s="2">
        <v>714.66618463477198</v>
      </c>
      <c r="I106" s="2">
        <v>657.09621507635995</v>
      </c>
      <c r="J106" s="2">
        <v>440.93732536599902</v>
      </c>
      <c r="K106" s="2"/>
      <c r="L106" s="2"/>
      <c r="M106" s="208"/>
      <c r="N106" s="2"/>
      <c r="Y106" s="94"/>
      <c r="Z106" s="28"/>
      <c r="AB106" s="28"/>
    </row>
    <row r="107" spans="1:29" ht="15.75" customHeight="1">
      <c r="A107" s="200">
        <v>20</v>
      </c>
      <c r="B107" s="59" t="s">
        <v>236</v>
      </c>
      <c r="C107" s="2">
        <v>875.48614787682698</v>
      </c>
      <c r="D107" s="2">
        <v>680.497790171779</v>
      </c>
      <c r="E107" s="2">
        <v>507.185871846547</v>
      </c>
      <c r="F107" s="2">
        <v>347.56301122262602</v>
      </c>
      <c r="G107" s="2">
        <v>306.42364288973801</v>
      </c>
      <c r="H107" s="2">
        <v>279.77474048838297</v>
      </c>
      <c r="I107" s="2">
        <v>251.89278479235099</v>
      </c>
      <c r="J107" s="2">
        <v>155.41372068988201</v>
      </c>
      <c r="K107" s="2"/>
      <c r="L107" s="2"/>
      <c r="M107" s="208"/>
      <c r="N107" s="2"/>
      <c r="Y107" s="94"/>
      <c r="Z107" s="28"/>
      <c r="AB107" s="28"/>
      <c r="AC107" s="28"/>
    </row>
    <row r="108" spans="1:29" ht="15.75" customHeight="1">
      <c r="A108" s="200">
        <v>20</v>
      </c>
      <c r="B108" s="59" t="s">
        <v>237</v>
      </c>
      <c r="C108" s="2">
        <v>755.82193751668501</v>
      </c>
      <c r="D108" s="2">
        <v>709.68230180834405</v>
      </c>
      <c r="E108" s="2">
        <v>571.26672115994802</v>
      </c>
      <c r="F108" s="2">
        <v>503.64861653066401</v>
      </c>
      <c r="G108" s="2">
        <v>347.56301122262602</v>
      </c>
      <c r="H108" s="2"/>
      <c r="I108" s="2"/>
      <c r="J108" s="2"/>
      <c r="K108" s="2"/>
      <c r="L108" s="2"/>
      <c r="M108" s="208"/>
      <c r="N108" s="2"/>
      <c r="Y108" s="94"/>
      <c r="Z108" s="28"/>
      <c r="AB108" s="28"/>
      <c r="AC108" s="28"/>
    </row>
    <row r="109" spans="1:29" ht="15.75" customHeight="1">
      <c r="A109" s="200">
        <v>20</v>
      </c>
      <c r="B109" s="59" t="s">
        <v>238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08"/>
      <c r="N109" s="2"/>
      <c r="Y109" s="94"/>
      <c r="Z109" s="28"/>
      <c r="AB109" s="28"/>
      <c r="AC109" s="28"/>
    </row>
    <row r="110" spans="1:29" ht="15.75" customHeight="1">
      <c r="A110" s="200">
        <v>20</v>
      </c>
      <c r="B110" s="59" t="s">
        <v>239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08"/>
      <c r="N110" s="2"/>
      <c r="Y110" s="94"/>
      <c r="Z110" s="28"/>
      <c r="AB110" s="28"/>
      <c r="AC110" s="28"/>
    </row>
    <row r="111" spans="1:29" ht="15.75" customHeight="1">
      <c r="A111" s="200">
        <v>20</v>
      </c>
      <c r="B111" s="59" t="s">
        <v>240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08"/>
      <c r="N111" s="2"/>
      <c r="Y111" s="94"/>
      <c r="Z111" s="28"/>
      <c r="AB111" s="28"/>
      <c r="AC111" s="28"/>
    </row>
    <row r="112" spans="1:29" ht="15.75" customHeight="1">
      <c r="A112" s="200">
        <v>20</v>
      </c>
      <c r="B112" s="59" t="s">
        <v>241</v>
      </c>
      <c r="C112" s="2"/>
      <c r="D112" s="2"/>
      <c r="E112" s="2"/>
      <c r="F112" s="2"/>
      <c r="G112" s="2"/>
      <c r="H112" s="2"/>
      <c r="I112" s="2"/>
      <c r="J112" s="2"/>
      <c r="K112" s="30"/>
      <c r="L112" s="30"/>
      <c r="M112" s="209"/>
      <c r="N112" s="2"/>
      <c r="Y112" s="94"/>
      <c r="Z112" s="28"/>
      <c r="AB112" s="28"/>
      <c r="AC112" s="28"/>
    </row>
    <row r="113" spans="1:13" ht="15.75" customHeight="1">
      <c r="A113" s="201">
        <v>21</v>
      </c>
      <c r="B113" s="58" t="s">
        <v>220</v>
      </c>
      <c r="C113" s="206">
        <v>3307.34</v>
      </c>
      <c r="D113" s="206">
        <v>3285.93</v>
      </c>
      <c r="E113" s="206">
        <v>3243.12</v>
      </c>
      <c r="F113" s="206">
        <v>3071.87</v>
      </c>
      <c r="G113" s="206">
        <v>2568.81</v>
      </c>
      <c r="H113" s="206">
        <v>2065.75</v>
      </c>
      <c r="I113" s="206">
        <v>1530.58</v>
      </c>
      <c r="J113" s="207">
        <v>1081.04</v>
      </c>
      <c r="K113" s="2"/>
      <c r="L113" s="2"/>
      <c r="M113" s="2"/>
    </row>
    <row r="114" spans="1:13" ht="15.75" customHeight="1">
      <c r="A114" s="200">
        <v>21</v>
      </c>
      <c r="B114" s="59" t="s">
        <v>221</v>
      </c>
      <c r="C114" s="2">
        <v>3050.46</v>
      </c>
      <c r="D114" s="2">
        <v>2964.83</v>
      </c>
      <c r="E114" s="2">
        <v>2814.98</v>
      </c>
      <c r="F114" s="2">
        <v>2579.5100000000002</v>
      </c>
      <c r="G114" s="2">
        <v>2162.08</v>
      </c>
      <c r="H114" s="2">
        <v>1691.13</v>
      </c>
      <c r="I114" s="2">
        <v>1166.67</v>
      </c>
      <c r="J114" s="208">
        <v>781.35</v>
      </c>
      <c r="K114" s="2"/>
    </row>
    <row r="115" spans="1:13" ht="15.75" customHeight="1">
      <c r="A115" s="200">
        <v>21</v>
      </c>
      <c r="B115" s="59" t="s">
        <v>222</v>
      </c>
      <c r="C115" s="2">
        <v>2868.5</v>
      </c>
      <c r="D115" s="2">
        <v>2707.95</v>
      </c>
      <c r="E115" s="2">
        <v>2440.37</v>
      </c>
      <c r="F115" s="2">
        <v>2172.7800000000002</v>
      </c>
      <c r="G115" s="2">
        <v>1840.98</v>
      </c>
      <c r="H115" s="2">
        <v>1466.36</v>
      </c>
      <c r="I115" s="2">
        <v>974.01</v>
      </c>
      <c r="J115" s="208">
        <v>642.20000000000005</v>
      </c>
      <c r="K115" s="2"/>
    </row>
    <row r="116" spans="1:13" ht="15.75" customHeight="1">
      <c r="A116" s="200">
        <v>21</v>
      </c>
      <c r="B116" s="59" t="s">
        <v>223</v>
      </c>
      <c r="C116" s="2">
        <v>2707.95</v>
      </c>
      <c r="D116" s="2">
        <v>2504.59</v>
      </c>
      <c r="E116" s="2">
        <v>2076.4499999999998</v>
      </c>
      <c r="F116" s="2">
        <v>1755.35</v>
      </c>
      <c r="G116" s="2">
        <v>1477.06</v>
      </c>
      <c r="H116" s="2">
        <v>1188.07</v>
      </c>
      <c r="I116" s="2">
        <v>856.27</v>
      </c>
      <c r="J116" s="208">
        <v>545.87</v>
      </c>
      <c r="K116" s="2"/>
    </row>
    <row r="117" spans="1:13" ht="15.75" customHeight="1">
      <c r="A117" s="200">
        <v>21</v>
      </c>
      <c r="B117" s="59" t="s">
        <v>228</v>
      </c>
      <c r="C117" s="2">
        <v>3000</v>
      </c>
      <c r="D117" s="2">
        <v>3000</v>
      </c>
      <c r="E117" s="2">
        <v>2964.29</v>
      </c>
      <c r="F117" s="2">
        <v>2797.62</v>
      </c>
      <c r="G117" s="2">
        <v>2380.9499999999998</v>
      </c>
      <c r="H117" s="2">
        <v>1964.29</v>
      </c>
      <c r="I117" s="2">
        <v>1392.86</v>
      </c>
      <c r="J117" s="208">
        <v>892.86</v>
      </c>
      <c r="K117" s="2"/>
    </row>
    <row r="118" spans="1:13" ht="15.75" customHeight="1">
      <c r="A118" s="200">
        <v>21</v>
      </c>
      <c r="B118" s="59" t="s">
        <v>242</v>
      </c>
      <c r="C118" s="2">
        <v>3702.38</v>
      </c>
      <c r="D118" s="2">
        <v>3619.05</v>
      </c>
      <c r="E118" s="2">
        <v>3380.95</v>
      </c>
      <c r="F118" s="2">
        <v>3095.24</v>
      </c>
      <c r="G118" s="2">
        <v>2583.33</v>
      </c>
      <c r="H118" s="2">
        <v>2154.7600000000002</v>
      </c>
      <c r="I118" s="2">
        <v>1511.9</v>
      </c>
      <c r="J118" s="208">
        <v>1000</v>
      </c>
      <c r="K118" s="2"/>
    </row>
    <row r="119" spans="1:13" ht="15.75" customHeight="1">
      <c r="A119" s="200">
        <v>21</v>
      </c>
      <c r="B119" s="59" t="s">
        <v>243</v>
      </c>
      <c r="C119" s="2">
        <v>3130.95</v>
      </c>
      <c r="D119" s="2">
        <v>2940.48</v>
      </c>
      <c r="E119" s="2">
        <v>2559.52</v>
      </c>
      <c r="F119" s="2">
        <v>2333.33</v>
      </c>
      <c r="G119" s="2">
        <v>1952.38</v>
      </c>
      <c r="H119" s="2">
        <v>1619.05</v>
      </c>
      <c r="I119" s="2">
        <v>1130.95</v>
      </c>
      <c r="J119" s="208">
        <v>738.1</v>
      </c>
      <c r="K119" s="2"/>
    </row>
    <row r="120" spans="1:13" ht="15.75" customHeight="1">
      <c r="A120" s="200">
        <v>21</v>
      </c>
      <c r="B120" s="59" t="s">
        <v>244</v>
      </c>
      <c r="C120" s="30">
        <v>2642.86</v>
      </c>
      <c r="D120" s="30">
        <v>2440.48</v>
      </c>
      <c r="E120" s="30">
        <v>1940.48</v>
      </c>
      <c r="F120" s="30">
        <v>1666.67</v>
      </c>
      <c r="G120" s="30">
        <v>1476.19</v>
      </c>
      <c r="H120" s="30">
        <v>1297.6199999999999</v>
      </c>
      <c r="I120" s="30">
        <v>964.29</v>
      </c>
      <c r="J120" s="209">
        <v>642.86</v>
      </c>
      <c r="K120" s="2"/>
    </row>
    <row r="121" spans="1:13" ht="15.75" customHeight="1">
      <c r="A121" s="200">
        <v>21</v>
      </c>
      <c r="B121" s="59" t="s">
        <v>224</v>
      </c>
      <c r="C121" s="2"/>
      <c r="D121" s="2"/>
      <c r="E121" s="2"/>
      <c r="F121" s="2"/>
      <c r="G121" s="2"/>
      <c r="H121" s="2"/>
      <c r="I121" s="2"/>
      <c r="J121" s="208"/>
      <c r="K121" s="2"/>
    </row>
    <row r="122" spans="1:13" ht="15.75" customHeight="1">
      <c r="A122" s="200">
        <v>21</v>
      </c>
      <c r="B122" s="59" t="s">
        <v>225</v>
      </c>
      <c r="C122" s="2"/>
      <c r="D122" s="2"/>
      <c r="E122" s="2"/>
      <c r="F122" s="2"/>
      <c r="G122" s="2"/>
      <c r="H122" s="2"/>
      <c r="I122" s="2"/>
      <c r="J122" s="208"/>
      <c r="K122" s="2"/>
    </row>
    <row r="123" spans="1:13" ht="15.75" customHeight="1">
      <c r="A123" s="200">
        <v>21</v>
      </c>
      <c r="B123" s="59" t="s">
        <v>226</v>
      </c>
      <c r="C123" s="2"/>
      <c r="D123" s="2"/>
      <c r="E123" s="2"/>
      <c r="F123" s="2"/>
      <c r="G123" s="2"/>
      <c r="H123" s="2"/>
      <c r="I123" s="2"/>
      <c r="J123" s="208"/>
      <c r="K123" s="2"/>
    </row>
    <row r="124" spans="1:13" ht="15.75" customHeight="1">
      <c r="A124" s="200">
        <v>21</v>
      </c>
      <c r="B124" s="59" t="s">
        <v>227</v>
      </c>
      <c r="C124" s="2"/>
      <c r="D124" s="2"/>
      <c r="E124" s="2"/>
      <c r="F124" s="2"/>
      <c r="G124" s="2"/>
      <c r="H124" s="2"/>
      <c r="I124" s="2"/>
      <c r="J124" s="208"/>
      <c r="K124" s="2"/>
    </row>
    <row r="125" spans="1:13" ht="15.75" customHeight="1">
      <c r="A125" s="200">
        <v>21</v>
      </c>
      <c r="B125" s="59" t="s">
        <v>229</v>
      </c>
      <c r="C125" s="2"/>
      <c r="D125" s="2"/>
      <c r="E125" s="2"/>
      <c r="F125" s="2"/>
      <c r="G125" s="2"/>
      <c r="H125" s="2"/>
      <c r="I125" s="2"/>
      <c r="J125" s="208"/>
      <c r="K125" s="2"/>
    </row>
    <row r="126" spans="1:13" ht="15.75" customHeight="1">
      <c r="A126" s="200">
        <v>21</v>
      </c>
      <c r="B126" s="59" t="s">
        <v>245</v>
      </c>
      <c r="C126" s="2"/>
      <c r="D126" s="2"/>
      <c r="E126" s="2"/>
      <c r="F126" s="2"/>
      <c r="G126" s="2"/>
      <c r="H126" s="2"/>
      <c r="I126" s="2"/>
      <c r="J126" s="208"/>
      <c r="K126" s="2"/>
    </row>
    <row r="127" spans="1:13" ht="15.75" customHeight="1">
      <c r="A127" s="200">
        <v>21</v>
      </c>
      <c r="B127" s="59" t="s">
        <v>246</v>
      </c>
      <c r="C127" s="2"/>
      <c r="D127" s="2"/>
      <c r="E127" s="2"/>
      <c r="F127" s="2"/>
      <c r="G127" s="2"/>
      <c r="H127" s="2"/>
      <c r="I127" s="2"/>
      <c r="J127" s="208"/>
      <c r="K127" s="2"/>
    </row>
    <row r="128" spans="1:13" ht="15.75" customHeight="1">
      <c r="A128" s="202">
        <v>21</v>
      </c>
      <c r="B128" s="203" t="s">
        <v>247</v>
      </c>
      <c r="C128" s="30"/>
      <c r="D128" s="30"/>
      <c r="E128" s="30"/>
      <c r="F128" s="30"/>
      <c r="G128" s="30"/>
      <c r="H128" s="30"/>
      <c r="I128" s="30"/>
      <c r="J128" s="209"/>
      <c r="K128" s="2"/>
    </row>
    <row r="129" spans="1:37" ht="15.75" customHeight="1">
      <c r="A129" s="200">
        <v>22</v>
      </c>
      <c r="B129" s="59">
        <v>1</v>
      </c>
      <c r="C129" s="2"/>
      <c r="D129" s="2"/>
      <c r="E129" s="2"/>
      <c r="F129" s="2"/>
      <c r="G129" s="2"/>
      <c r="H129" s="2"/>
      <c r="I129" s="2"/>
      <c r="J129" s="2"/>
    </row>
    <row r="130" spans="1:37" ht="15.75" customHeight="1">
      <c r="A130" s="200">
        <v>22</v>
      </c>
      <c r="B130" s="59">
        <v>2</v>
      </c>
    </row>
    <row r="131" spans="1:37" ht="15.75" customHeight="1">
      <c r="A131" s="200">
        <v>22</v>
      </c>
      <c r="B131" s="59">
        <v>3</v>
      </c>
    </row>
    <row r="132" spans="1:37" ht="15.75" customHeight="1">
      <c r="A132" s="200">
        <v>22</v>
      </c>
      <c r="B132" s="59">
        <v>4</v>
      </c>
    </row>
    <row r="133" spans="1:37" ht="15.75" customHeight="1">
      <c r="A133" s="200">
        <v>22</v>
      </c>
      <c r="B133" s="59">
        <v>5</v>
      </c>
    </row>
    <row r="134" spans="1:37" ht="15.75" customHeight="1">
      <c r="A134" s="200">
        <v>22</v>
      </c>
      <c r="B134" s="59">
        <v>6</v>
      </c>
    </row>
    <row r="135" spans="1:37" ht="15.75" customHeight="1">
      <c r="A135" s="200">
        <v>22</v>
      </c>
      <c r="B135" s="59">
        <v>7</v>
      </c>
    </row>
    <row r="136" spans="1:37" ht="15.75" customHeight="1">
      <c r="A136" s="200">
        <v>22</v>
      </c>
      <c r="B136" s="59">
        <v>8</v>
      </c>
      <c r="C136" s="2"/>
      <c r="D136" s="2"/>
      <c r="E136" s="2"/>
      <c r="F136" s="2"/>
      <c r="G136" s="2"/>
      <c r="H136" s="2"/>
      <c r="I136" s="2"/>
      <c r="J136" s="2"/>
      <c r="K136" s="2"/>
    </row>
    <row r="137" spans="1:37" ht="15.75" customHeight="1">
      <c r="A137" s="201">
        <v>23</v>
      </c>
      <c r="B137" s="58">
        <v>1</v>
      </c>
      <c r="C137" s="127">
        <f>Storage_modulus_G!C137*1000</f>
        <v>3990</v>
      </c>
      <c r="D137" s="206">
        <f>Storage_modulus_G!D137*1000</f>
        <v>3780</v>
      </c>
      <c r="E137" s="206">
        <f>Storage_modulus_G!E137*1000</f>
        <v>3240</v>
      </c>
      <c r="F137" s="206">
        <f>Storage_modulus_G!F137*1000</f>
        <v>2770</v>
      </c>
      <c r="G137" s="206">
        <f>Storage_modulus_G!G137*1000</f>
        <v>2060</v>
      </c>
      <c r="H137" s="206">
        <f>Storage_modulus_G!H137*1000</f>
        <v>1370</v>
      </c>
      <c r="I137" s="206">
        <f>Storage_modulus_G!I137*1000</f>
        <v>1000</v>
      </c>
      <c r="J137" s="206">
        <f>Storage_modulus_G!J137*1000</f>
        <v>570</v>
      </c>
      <c r="K137" s="207">
        <f>Storage_modulus_G!K137*1000</f>
        <v>340</v>
      </c>
      <c r="L137" s="2"/>
    </row>
    <row r="138" spans="1:37" ht="15.75" customHeight="1">
      <c r="A138" s="200">
        <v>23</v>
      </c>
      <c r="B138" s="59">
        <v>2</v>
      </c>
      <c r="C138" s="48">
        <f>Storage_modulus_G!C138*1000</f>
        <v>5050</v>
      </c>
      <c r="D138" s="2">
        <f>Storage_modulus_G!D138*1000</f>
        <v>4610</v>
      </c>
      <c r="E138" s="2">
        <f>Storage_modulus_G!E138*1000</f>
        <v>3820</v>
      </c>
      <c r="F138" s="2">
        <f>Storage_modulus_G!F138*1000</f>
        <v>3260</v>
      </c>
      <c r="G138" s="2">
        <f>Storage_modulus_G!G138*1000</f>
        <v>2500</v>
      </c>
      <c r="H138" s="2">
        <f>Storage_modulus_G!H138*1000</f>
        <v>1810</v>
      </c>
      <c r="I138" s="2">
        <f>Storage_modulus_G!I138*1000</f>
        <v>1280</v>
      </c>
      <c r="J138" s="2">
        <f>Storage_modulus_G!J138*1000</f>
        <v>840</v>
      </c>
      <c r="K138" s="208">
        <f>Storage_modulus_G!K138*1000</f>
        <v>590</v>
      </c>
      <c r="L138" s="2"/>
    </row>
    <row r="139" spans="1:37" ht="15.75" customHeight="1">
      <c r="A139" s="200">
        <v>23</v>
      </c>
      <c r="B139" s="59">
        <v>3</v>
      </c>
      <c r="C139" s="48">
        <f>Storage_modulus_G!C139*1000</f>
        <v>7450</v>
      </c>
      <c r="D139" s="2">
        <f>Storage_modulus_G!D139*1000</f>
        <v>6790</v>
      </c>
      <c r="E139" s="2">
        <f>Storage_modulus_G!E139*1000</f>
        <v>5320</v>
      </c>
      <c r="F139" s="2">
        <f>Storage_modulus_G!F139*1000</f>
        <v>4160</v>
      </c>
      <c r="G139" s="2">
        <f>Storage_modulus_G!G139*1000</f>
        <v>3130</v>
      </c>
      <c r="H139" s="2">
        <f>Storage_modulus_G!H139*1000</f>
        <v>2090</v>
      </c>
      <c r="I139" s="2">
        <f>Storage_modulus_G!I139*1000</f>
        <v>1640</v>
      </c>
      <c r="J139" s="2">
        <f>Storage_modulus_G!J139*1000</f>
        <v>1180</v>
      </c>
      <c r="K139" s="208">
        <f>Storage_modulus_G!K139*1000</f>
        <v>860</v>
      </c>
      <c r="L139" s="2"/>
    </row>
    <row r="140" spans="1:37" ht="15.75" customHeight="1">
      <c r="A140" s="200">
        <v>23</v>
      </c>
      <c r="B140" s="59">
        <v>4</v>
      </c>
      <c r="C140" s="48">
        <f>Storage_modulus_G!C140*1000</f>
        <v>8400</v>
      </c>
      <c r="D140" s="2">
        <f>Storage_modulus_G!D140*1000</f>
        <v>7750</v>
      </c>
      <c r="E140" s="2">
        <f>Storage_modulus_G!E140*1000</f>
        <v>6280</v>
      </c>
      <c r="F140" s="2">
        <f>Storage_modulus_G!F140*1000</f>
        <v>5070</v>
      </c>
      <c r="G140" s="2">
        <f>Storage_modulus_G!G140*1000</f>
        <v>3510</v>
      </c>
      <c r="H140" s="2">
        <f>Storage_modulus_G!H140*1000</f>
        <v>2450</v>
      </c>
      <c r="I140" s="2">
        <f>Storage_modulus_G!I140*1000</f>
        <v>1980</v>
      </c>
      <c r="J140" s="2">
        <f>Storage_modulus_G!J140*1000</f>
        <v>1400</v>
      </c>
      <c r="K140" s="208">
        <f>Storage_modulus_G!K140*1000</f>
        <v>1030</v>
      </c>
      <c r="L140" s="2"/>
    </row>
    <row r="141" spans="1:37" ht="15.75" customHeight="1">
      <c r="A141" s="200">
        <v>23</v>
      </c>
      <c r="B141" s="59">
        <v>5</v>
      </c>
      <c r="C141" s="128">
        <f>Storage_modulus_G!C141*1000</f>
        <v>5950</v>
      </c>
      <c r="D141" s="30">
        <f>Storage_modulus_G!D141*1000</f>
        <v>5630</v>
      </c>
      <c r="E141" s="30">
        <f>Storage_modulus_G!E141*1000</f>
        <v>4660</v>
      </c>
      <c r="F141" s="30">
        <f>Storage_modulus_G!F141*1000</f>
        <v>3850</v>
      </c>
      <c r="G141" s="30">
        <f>Storage_modulus_G!G141*1000</f>
        <v>2940</v>
      </c>
      <c r="H141" s="30">
        <f>Storage_modulus_G!H141*1000</f>
        <v>1960</v>
      </c>
      <c r="I141" s="30">
        <f>Storage_modulus_G!I141*1000</f>
        <v>1470</v>
      </c>
      <c r="J141" s="30">
        <f>Storage_modulus_G!J141*1000</f>
        <v>1030</v>
      </c>
      <c r="K141" s="209">
        <f>Storage_modulus_G!K141*1000</f>
        <v>730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7" ht="15.75" customHeight="1">
      <c r="A142" s="266">
        <v>24</v>
      </c>
      <c r="B142" s="267">
        <v>1</v>
      </c>
      <c r="C142" s="2">
        <f>Storage_modulus_G!C142/1000000</f>
        <v>8.9999999999999999E-8</v>
      </c>
      <c r="D142" s="2">
        <f>Storage_modulus_G!D142/1000000</f>
        <v>1.1000000000000001E-7</v>
      </c>
      <c r="E142" s="2">
        <f>Storage_modulus_G!E142/1000000</f>
        <v>1.1999999999999999E-7</v>
      </c>
      <c r="F142" s="2">
        <f>Storage_modulus_G!F142/1000000</f>
        <v>1.4000000000000001E-7</v>
      </c>
      <c r="G142" s="2">
        <f>Storage_modulus_G!G142/1000000</f>
        <v>1.4999999999999999E-7</v>
      </c>
      <c r="H142" s="2">
        <f>Storage_modulus_G!H142/1000000</f>
        <v>1.6E-7</v>
      </c>
      <c r="I142" s="2">
        <f>Storage_modulus_G!I142/1000000</f>
        <v>1.9000000000000001E-7</v>
      </c>
      <c r="J142" s="2">
        <f>Storage_modulus_G!J142/1000000</f>
        <v>2.3999999999999998E-7</v>
      </c>
      <c r="K142" s="2">
        <f>Storage_modulus_G!K142/1000000</f>
        <v>2.8000000000000002E-7</v>
      </c>
      <c r="L142" s="206">
        <f>Storage_modulus_G!L142/1000000</f>
        <v>3.4000000000000003E-7</v>
      </c>
      <c r="M142" s="206">
        <f>Storage_modulus_G!M142/1000000</f>
        <v>4.0999999999999999E-7</v>
      </c>
      <c r="N142" s="206">
        <f>Storage_modulus_G!N142/1000000</f>
        <v>5.3000000000000001E-7</v>
      </c>
      <c r="O142" s="206">
        <f>Storage_modulus_G!O142/1000000</f>
        <v>5.5000000000000003E-7</v>
      </c>
      <c r="P142" s="206">
        <f>Storage_modulus_G!P142/1000000</f>
        <v>6.7000000000000004E-7</v>
      </c>
      <c r="Q142" s="206">
        <f>Storage_modulus_G!Q142/1000000</f>
        <v>8.9000000000000006E-7</v>
      </c>
      <c r="R142" s="206">
        <f>Storage_modulus_G!R142/1000000</f>
        <v>1.22E-6</v>
      </c>
      <c r="S142" s="206">
        <f>Storage_modulus_G!S142/1000000</f>
        <v>1.55E-6</v>
      </c>
      <c r="T142" s="206">
        <f>Storage_modulus_G!T142/1000000</f>
        <v>2.5099999999999997E-6</v>
      </c>
      <c r="U142" s="206">
        <f>Storage_modulus_G!U142/1000000</f>
        <v>3.7500000000000001E-6</v>
      </c>
      <c r="V142" s="206">
        <f>Storage_modulus_G!V142/1000000</f>
        <v>5.3800000000000002E-6</v>
      </c>
      <c r="W142" s="206">
        <f>Storage_modulus_G!W142/1000000</f>
        <v>8.0199999999999994E-6</v>
      </c>
      <c r="X142" s="206">
        <f>Storage_modulus_G!X142/1000000</f>
        <v>1.2460000000000001E-5</v>
      </c>
      <c r="Y142" s="206">
        <f>Storage_modulus_G!Y142/1000000</f>
        <v>1.7170000000000003E-5</v>
      </c>
      <c r="Z142" s="206">
        <f>Storage_modulus_G!Z142/1000000</f>
        <v>2.563E-5</v>
      </c>
      <c r="AA142" s="206">
        <f>Storage_modulus_G!AA142/1000000</f>
        <v>3.6749999999999999E-5</v>
      </c>
      <c r="AB142" s="206">
        <f>Storage_modulus_G!AB142/1000000</f>
        <v>5.4840000000000003E-5</v>
      </c>
      <c r="AC142" s="206">
        <f>Storage_modulus_G!AC142/1000000</f>
        <v>7.5549999999999993E-5</v>
      </c>
      <c r="AD142" s="206">
        <f>Storage_modulus_G!AD142/1000000</f>
        <v>9.2299999999999994E-5</v>
      </c>
      <c r="AE142" s="206">
        <f>Storage_modulus_G!AE142/1000000</f>
        <v>1.3775999999999998E-4</v>
      </c>
      <c r="AF142" s="206">
        <f>Storage_modulus_G!AF142/1000000</f>
        <v>1.8977999999999999E-4</v>
      </c>
      <c r="AG142" s="206">
        <f>Storage_modulus_G!AG142/1000000</f>
        <v>2.5118999999999999E-4</v>
      </c>
      <c r="AH142" s="206">
        <f>Storage_modulus_G!AH142/1000000</f>
        <v>3.0686999999999999E-4</v>
      </c>
      <c r="AI142" s="206">
        <f>Storage_modulus_G!AI142/1000000</f>
        <v>4.2275E-4</v>
      </c>
      <c r="AJ142" s="207">
        <f>Storage_modulus_G!AJ142/1000000</f>
        <v>5.3757000000000002E-4</v>
      </c>
      <c r="AK142" s="2"/>
    </row>
    <row r="143" spans="1:37" ht="15.75" customHeight="1">
      <c r="A143" s="210">
        <v>24</v>
      </c>
      <c r="B143" s="211">
        <v>2</v>
      </c>
      <c r="C143" s="2">
        <f>Storage_modulus_G!C143/1000000</f>
        <v>9.4199999999999996E-6</v>
      </c>
      <c r="D143" s="2">
        <f>Storage_modulus_G!D143/1000000</f>
        <v>1.0199999999999999E-5</v>
      </c>
      <c r="E143" s="2">
        <f>Storage_modulus_G!E143/1000000</f>
        <v>1.1050000000000001E-5</v>
      </c>
      <c r="F143" s="2">
        <f>Storage_modulus_G!F143/1000000</f>
        <v>1.15E-5</v>
      </c>
      <c r="G143" s="2">
        <f>Storage_modulus_G!G143/1000000</f>
        <v>1.1970000000000001E-5</v>
      </c>
      <c r="H143" s="2">
        <f>Storage_modulus_G!H143/1000000</f>
        <v>1.2970000000000001E-5</v>
      </c>
      <c r="I143" s="2">
        <f>Storage_modulus_G!I143/1000000</f>
        <v>1.4050000000000001E-5</v>
      </c>
      <c r="J143" s="2">
        <f>Storage_modulus_G!J143/1000000</f>
        <v>1.4630000000000001E-5</v>
      </c>
      <c r="K143" s="2">
        <f>Storage_modulus_G!K143/1000000</f>
        <v>1.7170000000000003E-5</v>
      </c>
      <c r="L143" s="2">
        <f>Storage_modulus_G!L143/1000000</f>
        <v>2.0149999999999999E-5</v>
      </c>
      <c r="M143" s="2">
        <f>Storage_modulus_G!M143/1000000</f>
        <v>2.0979999999999999E-5</v>
      </c>
      <c r="N143" s="2">
        <f>Storage_modulus_G!N143/1000000</f>
        <v>2.3649999999999999E-5</v>
      </c>
      <c r="O143" s="2">
        <f>Storage_modulus_G!O143/1000000</f>
        <v>2.667E-5</v>
      </c>
      <c r="P143" s="2">
        <f>Storage_modulus_G!P143/1000000</f>
        <v>2.7760000000000002E-5</v>
      </c>
      <c r="Q143" s="2">
        <f>Storage_modulus_G!Q143/1000000</f>
        <v>3.1309999999999997E-5</v>
      </c>
      <c r="R143" s="2">
        <f>Storage_modulus_G!R143/1000000</f>
        <v>3.392E-5</v>
      </c>
      <c r="S143" s="2">
        <f>Storage_modulus_G!S143/1000000</f>
        <v>3.8250000000000001E-5</v>
      </c>
      <c r="T143" s="2">
        <f>Storage_modulus_G!T143/1000000</f>
        <v>4.1439999999999996E-5</v>
      </c>
      <c r="U143" s="2">
        <f>Storage_modulus_G!U143/1000000</f>
        <v>4.8640000000000002E-5</v>
      </c>
      <c r="V143" s="2">
        <f>Storage_modulus_G!V143/1000000</f>
        <v>5.2689999999999999E-5</v>
      </c>
      <c r="W143" s="2">
        <f>Storage_modulus_G!W143/1000000</f>
        <v>6.1840000000000004E-5</v>
      </c>
      <c r="X143" s="2">
        <f>Storage_modulus_G!X143/1000000</f>
        <v>6.4370000000000009E-5</v>
      </c>
      <c r="Y143" s="2">
        <f>Storage_modulus_G!Y143/1000000</f>
        <v>7.5549999999999993E-5</v>
      </c>
      <c r="Z143" s="2">
        <f>Storage_modulus_G!Z143/1000000</f>
        <v>1E-4</v>
      </c>
      <c r="AA143" s="2">
        <f>Storage_modulus_G!AA143/1000000</f>
        <v>1.0834000000000001E-4</v>
      </c>
      <c r="AB143" s="2">
        <f>Storage_modulus_G!AB143/1000000</f>
        <v>1.1737000000000001E-4</v>
      </c>
      <c r="AC143" s="2">
        <f>Storage_modulus_G!AC143/1000000</f>
        <v>1.3775999999999998E-4</v>
      </c>
      <c r="AD143" s="2">
        <f>Storage_modulus_G!AD143/1000000</f>
        <v>1.683E-4</v>
      </c>
      <c r="AE143" s="2">
        <f>Storage_modulus_G!AE143/1000000</f>
        <v>1.8977999999999999E-4</v>
      </c>
      <c r="AF143" s="2">
        <f>Storage_modulus_G!AF143/1000000</f>
        <v>2.6144999999999999E-4</v>
      </c>
      <c r="AG143" s="2">
        <f>Storage_modulus_G!AG143/1000000</f>
        <v>3.1941000000000001E-4</v>
      </c>
      <c r="AH143" s="2">
        <f>Storage_modulus_G!AH143/1000000</f>
        <v>3.7489999999999995E-4</v>
      </c>
      <c r="AI143" s="2">
        <f>Storage_modulus_G!AI143/1000000</f>
        <v>5.3757000000000002E-4</v>
      </c>
      <c r="AJ143" s="208">
        <f>Storage_modulus_G!AJ143/1000000</f>
        <v>6.835700000000001E-4</v>
      </c>
      <c r="AK143" s="2"/>
    </row>
    <row r="144" spans="1:37" ht="15.75" customHeight="1">
      <c r="A144" s="210">
        <v>24</v>
      </c>
      <c r="B144" s="211">
        <v>3</v>
      </c>
      <c r="C144" s="2">
        <f>Storage_modulus_G!C144/1000000</f>
        <v>7.8640000000000006E-5</v>
      </c>
      <c r="D144" s="2">
        <f>Storage_modulus_G!D144/1000000</f>
        <v>7.5549999999999993E-5</v>
      </c>
      <c r="E144" s="2">
        <f>Storage_modulus_G!E144/1000000</f>
        <v>7.5549999999999993E-5</v>
      </c>
      <c r="F144" s="2">
        <f>Storage_modulus_G!F144/1000000</f>
        <v>7.2590000000000008E-5</v>
      </c>
      <c r="G144" s="2">
        <f>Storage_modulus_G!G144/1000000</f>
        <v>7.5549999999999993E-5</v>
      </c>
      <c r="H144" s="2">
        <f>Storage_modulus_G!H144/1000000</f>
        <v>8.1849999999999997E-5</v>
      </c>
      <c r="I144" s="2">
        <f>Storage_modulus_G!I144/1000000</f>
        <v>7.8640000000000006E-5</v>
      </c>
      <c r="J144" s="2">
        <f>Storage_modulus_G!J144/1000000</f>
        <v>7.5549999999999993E-5</v>
      </c>
      <c r="K144" s="2">
        <f>Storage_modulus_G!K144/1000000</f>
        <v>8.5199999999999997E-5</v>
      </c>
      <c r="L144" s="2">
        <f>Storage_modulus_G!L144/1000000</f>
        <v>8.8680000000000012E-5</v>
      </c>
      <c r="M144" s="2">
        <f>Storage_modulus_G!M144/1000000</f>
        <v>9.2299999999999994E-5</v>
      </c>
      <c r="N144" s="2">
        <f>Storage_modulus_G!N144/1000000</f>
        <v>9.2299999999999994E-5</v>
      </c>
      <c r="O144" s="2">
        <f>Storage_modulus_G!O144/1000000</f>
        <v>8.8680000000000012E-5</v>
      </c>
      <c r="P144" s="2">
        <f>Storage_modulus_G!P144/1000000</f>
        <v>9.2299999999999994E-5</v>
      </c>
      <c r="Q144" s="2">
        <f>Storage_modulus_G!Q144/1000000</f>
        <v>1.0409E-4</v>
      </c>
      <c r="R144" s="2">
        <f>Storage_modulus_G!R144/1000000</f>
        <v>1.0834000000000001E-4</v>
      </c>
      <c r="S144" s="2">
        <f>Storage_modulus_G!S144/1000000</f>
        <v>1.1276000000000001E-4</v>
      </c>
      <c r="T144" s="2">
        <f>Storage_modulus_G!T144/1000000</f>
        <v>1.2217E-4</v>
      </c>
      <c r="U144" s="2">
        <f>Storage_modulus_G!U144/1000000</f>
        <v>1.2716E-4</v>
      </c>
      <c r="V144" s="2">
        <f>Storage_modulus_G!V144/1000000</f>
        <v>1.3775999999999998E-4</v>
      </c>
      <c r="W144" s="2">
        <f>Storage_modulus_G!W144/1000000</f>
        <v>1.4338999999999999E-4</v>
      </c>
      <c r="X144" s="2">
        <f>Storage_modulus_G!X144/1000000</f>
        <v>1.4925E-4</v>
      </c>
      <c r="Y144" s="2">
        <f>Storage_modulus_G!Y144/1000000</f>
        <v>1.683E-4</v>
      </c>
      <c r="Z144" s="2">
        <f>Storage_modulus_G!Z144/1000000</f>
        <v>1.8977999999999999E-4</v>
      </c>
      <c r="AA144" s="2">
        <f>Storage_modulus_G!AA144/1000000</f>
        <v>2.0561000000000001E-4</v>
      </c>
      <c r="AB144" s="2">
        <f>Storage_modulus_G!AB144/1000000</f>
        <v>2.1400999999999999E-4</v>
      </c>
      <c r="AC144" s="2">
        <f>Storage_modulus_G!AC144/1000000</f>
        <v>2.5118999999999999E-4</v>
      </c>
      <c r="AD144" s="2">
        <f>Storage_modulus_G!AD144/1000000</f>
        <v>2.9482999999999999E-4</v>
      </c>
      <c r="AE144" s="2">
        <f>Storage_modulus_G!AE144/1000000</f>
        <v>3.3245999999999997E-4</v>
      </c>
      <c r="AF144" s="2">
        <f>Storage_modulus_G!AF144/1000000</f>
        <v>3.9022000000000004E-4</v>
      </c>
      <c r="AG144" s="2">
        <f>Storage_modulus_G!AG144/1000000</f>
        <v>4.4002999999999995E-4</v>
      </c>
      <c r="AH144" s="2">
        <f>Storage_modulus_G!AH144/1000000</f>
        <v>4.7672000000000003E-4</v>
      </c>
      <c r="AI144" s="2">
        <f>Storage_modulus_G!AI144/1000000</f>
        <v>6.835700000000001E-4</v>
      </c>
      <c r="AJ144" s="208">
        <f>Storage_modulus_G!AJ144/1000000</f>
        <v>9.4170000000000007E-4</v>
      </c>
      <c r="AK144" s="2"/>
    </row>
    <row r="145" spans="1:38" ht="15.75" customHeight="1">
      <c r="A145" s="210">
        <v>24</v>
      </c>
      <c r="B145" s="211">
        <v>4</v>
      </c>
      <c r="C145" s="2">
        <f>Storage_modulus_G!C145/1000000</f>
        <v>2.0561000000000001E-4</v>
      </c>
      <c r="D145" s="2">
        <f>Storage_modulus_G!D145/1000000</f>
        <v>2.0561000000000001E-4</v>
      </c>
      <c r="E145" s="2">
        <f>Storage_modulus_G!E145/1000000</f>
        <v>1.9753999999999998E-4</v>
      </c>
      <c r="F145" s="2">
        <f>Storage_modulus_G!F145/1000000</f>
        <v>1.9753999999999998E-4</v>
      </c>
      <c r="G145" s="2">
        <f>Storage_modulus_G!G145/1000000</f>
        <v>2.1400999999999999E-4</v>
      </c>
      <c r="H145" s="2">
        <f>Storage_modulus_G!H145/1000000</f>
        <v>2.1400999999999999E-4</v>
      </c>
      <c r="I145" s="2">
        <f>Storage_modulus_G!I145/1000000</f>
        <v>2.1400999999999999E-4</v>
      </c>
      <c r="J145" s="2">
        <f>Storage_modulus_G!J145/1000000</f>
        <v>2.0561000000000001E-4</v>
      </c>
      <c r="K145" s="2">
        <f>Storage_modulus_G!K145/1000000</f>
        <v>2.2274999999999999E-4</v>
      </c>
      <c r="L145" s="2">
        <f>Storage_modulus_G!L145/1000000</f>
        <v>2.2274999999999999E-4</v>
      </c>
      <c r="M145" s="2">
        <f>Storage_modulus_G!M145/1000000</f>
        <v>2.4133000000000002E-4</v>
      </c>
      <c r="N145" s="2">
        <f>Storage_modulus_G!N145/1000000</f>
        <v>2.4133000000000002E-4</v>
      </c>
      <c r="O145" s="2">
        <f>Storage_modulus_G!O145/1000000</f>
        <v>2.6144999999999999E-4</v>
      </c>
      <c r="P145" s="2">
        <f>Storage_modulus_G!P145/1000000</f>
        <v>2.6144999999999999E-4</v>
      </c>
      <c r="Q145" s="2">
        <f>Storage_modulus_G!Q145/1000000</f>
        <v>2.8324999999999997E-4</v>
      </c>
      <c r="R145" s="2">
        <f>Storage_modulus_G!R145/1000000</f>
        <v>2.9482999999999999E-4</v>
      </c>
      <c r="S145" s="2">
        <f>Storage_modulus_G!S145/1000000</f>
        <v>3.3245999999999997E-4</v>
      </c>
      <c r="T145" s="2">
        <f>Storage_modulus_G!T145/1000000</f>
        <v>3.6017999999999998E-4</v>
      </c>
      <c r="U145" s="2">
        <f>Storage_modulus_G!U145/1000000</f>
        <v>3.6017999999999998E-4</v>
      </c>
      <c r="V145" s="2">
        <f>Storage_modulus_G!V145/1000000</f>
        <v>4.0616000000000003E-4</v>
      </c>
      <c r="W145" s="2">
        <f>Storage_modulus_G!W145/1000000</f>
        <v>4.7672000000000003E-4</v>
      </c>
      <c r="X145" s="2">
        <f>Storage_modulus_G!X145/1000000</f>
        <v>5.1646999999999999E-4</v>
      </c>
      <c r="Y145" s="2">
        <f>Storage_modulus_G!Y145/1000000</f>
        <v>5.3757000000000002E-4</v>
      </c>
      <c r="Z145" s="2">
        <f>Storage_modulus_G!Z145/1000000</f>
        <v>5.8239000000000001E-4</v>
      </c>
      <c r="AA145" s="2">
        <f>Storage_modulus_G!AA145/1000000</f>
        <v>6.835700000000001E-4</v>
      </c>
      <c r="AB145" s="2">
        <f>Storage_modulus_G!AB145/1000000</f>
        <v>7.4057000000000007E-4</v>
      </c>
      <c r="AC145" s="2">
        <f>Storage_modulus_G!AC145/1000000</f>
        <v>8.3509999999999997E-4</v>
      </c>
      <c r="AD145" s="2">
        <f>Storage_modulus_G!AD145/1000000</f>
        <v>9.4170000000000007E-4</v>
      </c>
      <c r="AE145" s="2">
        <f>Storage_modulus_G!AE145/1000000</f>
        <v>1.0619100000000001E-3</v>
      </c>
      <c r="AF145" s="2">
        <f>Storage_modulus_G!AF145/1000000</f>
        <v>1.2463800000000001E-3</v>
      </c>
      <c r="AG145" s="2">
        <f>Storage_modulus_G!AG145/1000000</f>
        <v>1.40548E-3</v>
      </c>
      <c r="AH145" s="2">
        <f>Storage_modulus_G!AH145/1000000</f>
        <v>1.8602200000000001E-3</v>
      </c>
      <c r="AI145" s="2">
        <f>Storage_modulus_G!AI145/1000000</f>
        <v>2.01534E-3</v>
      </c>
      <c r="AJ145" s="208">
        <f>Storage_modulus_G!AJ145/1000000</f>
        <v>2.2725900000000001E-3</v>
      </c>
      <c r="AK145" s="2"/>
    </row>
    <row r="146" spans="1:38" ht="15.75" customHeight="1">
      <c r="A146" s="210">
        <v>24</v>
      </c>
      <c r="B146" s="211">
        <v>5</v>
      </c>
      <c r="C146" s="2">
        <f>Storage_modulus_G!C146/1000000</f>
        <v>8.0232000000000003E-4</v>
      </c>
      <c r="D146" s="2">
        <f>Storage_modulus_G!D146/1000000</f>
        <v>8.6921999999999998E-4</v>
      </c>
      <c r="E146" s="2">
        <f>Storage_modulus_G!E146/1000000</f>
        <v>8.6921999999999998E-4</v>
      </c>
      <c r="F146" s="2">
        <f>Storage_modulus_G!F146/1000000</f>
        <v>8.6921999999999998E-4</v>
      </c>
      <c r="G146" s="2">
        <f>Storage_modulus_G!G146/1000000</f>
        <v>8.0232000000000003E-4</v>
      </c>
      <c r="H146" s="2">
        <f>Storage_modulus_G!H146/1000000</f>
        <v>8.3509999999999997E-4</v>
      </c>
      <c r="I146" s="2">
        <f>Storage_modulus_G!I146/1000000</f>
        <v>8.6921999999999998E-4</v>
      </c>
      <c r="J146" s="2">
        <f>Storage_modulus_G!J146/1000000</f>
        <v>8.6921999999999998E-4</v>
      </c>
      <c r="K146" s="2">
        <f>Storage_modulus_G!K146/1000000</f>
        <v>8.6921999999999998E-4</v>
      </c>
      <c r="L146" s="2">
        <f>Storage_modulus_G!L146/1000000</f>
        <v>8.0232000000000003E-4</v>
      </c>
      <c r="M146" s="2">
        <f>Storage_modulus_G!M146/1000000</f>
        <v>8.6921999999999998E-4</v>
      </c>
      <c r="N146" s="2">
        <f>Storage_modulus_G!N146/1000000</f>
        <v>9.0474000000000001E-4</v>
      </c>
      <c r="O146" s="2">
        <f>Storage_modulus_G!O146/1000000</f>
        <v>9.4170000000000007E-4</v>
      </c>
      <c r="P146" s="2">
        <f>Storage_modulus_G!P146/1000000</f>
        <v>9.4170000000000007E-4</v>
      </c>
      <c r="Q146" s="2">
        <f>Storage_modulus_G!Q146/1000000</f>
        <v>9.4170000000000007E-4</v>
      </c>
      <c r="R146" s="2">
        <f>Storage_modulus_G!R146/1000000</f>
        <v>9.0474000000000001E-4</v>
      </c>
      <c r="S146" s="2">
        <f>Storage_modulus_G!S146/1000000</f>
        <v>9.0474000000000001E-4</v>
      </c>
      <c r="T146" s="2">
        <f>Storage_modulus_G!T146/1000000</f>
        <v>9.8017999999999998E-4</v>
      </c>
      <c r="U146" s="2">
        <f>Storage_modulus_G!U146/1000000</f>
        <v>9.8017999999999998E-4</v>
      </c>
      <c r="V146" s="2">
        <f>Storage_modulus_G!V146/1000000</f>
        <v>1.0619100000000001E-3</v>
      </c>
      <c r="W146" s="2">
        <f>Storage_modulus_G!W146/1000000</f>
        <v>1.1053E-3</v>
      </c>
      <c r="X146" s="2">
        <f>Storage_modulus_G!X146/1000000</f>
        <v>1.1053E-3</v>
      </c>
      <c r="Y146" s="2">
        <f>Storage_modulus_G!Y146/1000000</f>
        <v>1.19746E-3</v>
      </c>
      <c r="Z146" s="2">
        <f>Storage_modulus_G!Z146/1000000</f>
        <v>1.2463800000000001E-3</v>
      </c>
      <c r="AA146" s="2">
        <f>Storage_modulus_G!AA146/1000000</f>
        <v>1.40548E-3</v>
      </c>
      <c r="AB146" s="2">
        <f>Storage_modulus_G!AB146/1000000</f>
        <v>1.46291E-3</v>
      </c>
      <c r="AC146" s="2">
        <f>Storage_modulus_G!AC146/1000000</f>
        <v>1.58489E-3</v>
      </c>
      <c r="AD146" s="2">
        <f>Storage_modulus_G!AD146/1000000</f>
        <v>1.7872000000000001E-3</v>
      </c>
      <c r="AE146" s="2">
        <f>Storage_modulus_G!AE146/1000000</f>
        <v>2.01534E-3</v>
      </c>
      <c r="AF146" s="2">
        <f>Storage_modulus_G!AF146/1000000</f>
        <v>2.3654499999999998E-3</v>
      </c>
      <c r="AG146" s="2">
        <f>Storage_modulus_G!AG146/1000000</f>
        <v>2.3654499999999998E-3</v>
      </c>
      <c r="AH146" s="2">
        <f>Storage_modulus_G!AH146/1000000</f>
        <v>2.88981E-3</v>
      </c>
      <c r="AI146" s="2">
        <f>Storage_modulus_G!AI146/1000000</f>
        <v>2.88981E-3</v>
      </c>
      <c r="AJ146" s="208">
        <f>Storage_modulus_G!AJ146/1000000</f>
        <v>3.3918400000000001E-3</v>
      </c>
      <c r="AK146" s="2"/>
    </row>
    <row r="147" spans="1:38" ht="15.75" customHeight="1">
      <c r="A147" s="210">
        <v>24</v>
      </c>
      <c r="B147" s="211">
        <v>6</v>
      </c>
      <c r="C147" s="2">
        <f>Storage_modulus_G!C147/1000000</f>
        <v>2.0976799999999998E-3</v>
      </c>
      <c r="D147" s="2">
        <f>Storage_modulus_G!D147/1000000</f>
        <v>2.1833899999999999E-3</v>
      </c>
      <c r="E147" s="2">
        <f>Storage_modulus_G!E147/1000000</f>
        <v>2.1833899999999999E-3</v>
      </c>
      <c r="F147" s="2">
        <f>Storage_modulus_G!F147/1000000</f>
        <v>2.2725900000000001E-3</v>
      </c>
      <c r="G147" s="2">
        <f>Storage_modulus_G!G147/1000000</f>
        <v>2.1833899999999999E-3</v>
      </c>
      <c r="H147" s="2">
        <f>Storage_modulus_G!H147/1000000</f>
        <v>2.1833899999999999E-3</v>
      </c>
      <c r="I147" s="2">
        <f>Storage_modulus_G!I147/1000000</f>
        <v>2.0976799999999998E-3</v>
      </c>
      <c r="J147" s="2">
        <f>Storage_modulus_G!J147/1000000</f>
        <v>2.1833899999999999E-3</v>
      </c>
      <c r="K147" s="2">
        <f>Storage_modulus_G!K147/1000000</f>
        <v>2.1833899999999999E-3</v>
      </c>
      <c r="L147" s="2">
        <f>Storage_modulus_G!L147/1000000</f>
        <v>2.01534E-3</v>
      </c>
      <c r="M147" s="2">
        <f>Storage_modulus_G!M147/1000000</f>
        <v>2.01534E-3</v>
      </c>
      <c r="N147" s="2">
        <f>Storage_modulus_G!N147/1000000</f>
        <v>2.01534E-3</v>
      </c>
      <c r="O147" s="2">
        <f>Storage_modulus_G!O147/1000000</f>
        <v>2.01534E-3</v>
      </c>
      <c r="P147" s="2">
        <f>Storage_modulus_G!P147/1000000</f>
        <v>2.1833899999999999E-3</v>
      </c>
      <c r="Q147" s="2">
        <f>Storage_modulus_G!Q147/1000000</f>
        <v>2.1833899999999999E-3</v>
      </c>
      <c r="R147" s="2">
        <f>Storage_modulus_G!R147/1000000</f>
        <v>2.3654499999999998E-3</v>
      </c>
      <c r="S147" s="2">
        <f>Storage_modulus_G!S147/1000000</f>
        <v>2.2725900000000001E-3</v>
      </c>
      <c r="T147" s="2">
        <f>Storage_modulus_G!T147/1000000</f>
        <v>2.2725900000000001E-3</v>
      </c>
      <c r="U147" s="2">
        <f>Storage_modulus_G!U147/1000000</f>
        <v>2.01534E-3</v>
      </c>
      <c r="V147" s="2">
        <f>Storage_modulus_G!V147/1000000</f>
        <v>2.3654499999999998E-3</v>
      </c>
      <c r="W147" s="2">
        <f>Storage_modulus_G!W147/1000000</f>
        <v>2.3654499999999998E-3</v>
      </c>
      <c r="X147" s="2">
        <f>Storage_modulus_G!X147/1000000</f>
        <v>2.4620900000000001E-3</v>
      </c>
      <c r="Y147" s="2">
        <f>Storage_modulus_G!Y147/1000000</f>
        <v>2.4620900000000001E-3</v>
      </c>
      <c r="Z147" s="2">
        <f>Storage_modulus_G!Z147/1000000</f>
        <v>2.4620900000000001E-3</v>
      </c>
      <c r="AA147" s="2">
        <f>Storage_modulus_G!AA147/1000000</f>
        <v>2.66739E-3</v>
      </c>
      <c r="AB147" s="2">
        <f>Storage_modulus_G!AB147/1000000</f>
        <v>2.88981E-3</v>
      </c>
      <c r="AC147" s="2">
        <f>Storage_modulus_G!AC147/1000000</f>
        <v>3.1307800000000001E-3</v>
      </c>
      <c r="AD147" s="2">
        <f>Storage_modulus_G!AD147/1000000</f>
        <v>3.1307800000000001E-3</v>
      </c>
      <c r="AE147" s="2">
        <f>Storage_modulus_G!AE147/1000000</f>
        <v>3.1307800000000001E-3</v>
      </c>
      <c r="AF147" s="2">
        <f>Storage_modulus_G!AF147/1000000</f>
        <v>3.5304200000000003E-3</v>
      </c>
      <c r="AG147" s="2">
        <f>Storage_modulus_G!AG147/1000000</f>
        <v>3.8248000000000002E-3</v>
      </c>
      <c r="AH147" s="2">
        <f>Storage_modulus_G!AH147/1000000</f>
        <v>4.3130299999999998E-3</v>
      </c>
      <c r="AI147" s="2">
        <f>Storage_modulus_G!AI147/1000000</f>
        <v>4.6726700000000003E-3</v>
      </c>
      <c r="AJ147" s="208">
        <f>Storage_modulus_G!AJ147/1000000</f>
        <v>4.8635900000000001E-3</v>
      </c>
      <c r="AK147" s="2"/>
    </row>
    <row r="148" spans="1:38" ht="15.75" customHeight="1">
      <c r="A148" s="210">
        <v>24</v>
      </c>
      <c r="B148" s="211">
        <v>7</v>
      </c>
      <c r="C148" s="30">
        <f>Storage_modulus_G!C148/1000000</f>
        <v>9.60746E-3</v>
      </c>
      <c r="D148" s="30">
        <f>Storage_modulus_G!D148/1000000</f>
        <v>9.60746E-3</v>
      </c>
      <c r="E148" s="30">
        <f>Storage_modulus_G!E148/1000000</f>
        <v>9.2303300000000001E-3</v>
      </c>
      <c r="F148" s="30">
        <f>Storage_modulus_G!F148/1000000</f>
        <v>9.2303300000000001E-3</v>
      </c>
      <c r="G148" s="30">
        <f>Storage_modulus_G!G148/1000000</f>
        <v>8.5199100000000003E-3</v>
      </c>
      <c r="H148" s="30">
        <f>Storage_modulus_G!H148/1000000</f>
        <v>9.60746E-3</v>
      </c>
      <c r="I148" s="30">
        <f>Storage_modulus_G!I148/1000000</f>
        <v>9.2303300000000001E-3</v>
      </c>
      <c r="J148" s="30">
        <f>Storage_modulus_G!J148/1000000</f>
        <v>9.2303300000000001E-3</v>
      </c>
      <c r="K148" s="30">
        <f>Storage_modulus_G!K148/1000000</f>
        <v>8.8680100000000008E-3</v>
      </c>
      <c r="L148" s="30">
        <f>Storage_modulus_G!L148/1000000</f>
        <v>9.2303300000000001E-3</v>
      </c>
      <c r="M148" s="30">
        <f>Storage_modulus_G!M148/1000000</f>
        <v>9.2303300000000001E-3</v>
      </c>
      <c r="N148" s="30">
        <f>Storage_modulus_G!N148/1000000</f>
        <v>9.60746E-3</v>
      </c>
      <c r="O148" s="30">
        <f>Storage_modulus_G!O148/1000000</f>
        <v>9.60746E-3</v>
      </c>
      <c r="P148" s="30">
        <f>Storage_modulus_G!P148/1000000</f>
        <v>9.60746E-3</v>
      </c>
      <c r="Q148" s="30">
        <f>Storage_modulus_G!Q148/1000000</f>
        <v>9.60746E-3</v>
      </c>
      <c r="R148" s="30">
        <f>Storage_modulus_G!R148/1000000</f>
        <v>0.01</v>
      </c>
      <c r="S148" s="30">
        <f>Storage_modulus_G!S148/1000000</f>
        <v>0.01</v>
      </c>
      <c r="T148" s="30">
        <f>Storage_modulus_G!T148/1000000</f>
        <v>9.60746E-3</v>
      </c>
      <c r="U148" s="30">
        <f>Storage_modulus_G!U148/1000000</f>
        <v>9.60746E-3</v>
      </c>
      <c r="V148" s="30">
        <f>Storage_modulus_G!V148/1000000</f>
        <v>9.60746E-3</v>
      </c>
      <c r="W148" s="30">
        <f>Storage_modulus_G!W148/1000000</f>
        <v>0.01</v>
      </c>
      <c r="X148" s="30">
        <f>Storage_modulus_G!X148/1000000</f>
        <v>0.01</v>
      </c>
      <c r="Y148" s="30">
        <f>Storage_modulus_G!Y148/1000000</f>
        <v>0.01</v>
      </c>
      <c r="Z148" s="30">
        <f>Storage_modulus_G!Z148/1000000</f>
        <v>1.0408580000000001E-2</v>
      </c>
      <c r="AA148" s="30">
        <f>Storage_modulus_G!AA148/1000000</f>
        <v>1.0408580000000001E-2</v>
      </c>
      <c r="AB148" s="30">
        <f>Storage_modulus_G!AB148/1000000</f>
        <v>1.0408580000000001E-2</v>
      </c>
      <c r="AC148" s="30">
        <f>Storage_modulus_G!AC148/1000000</f>
        <v>1.0833840000000001E-2</v>
      </c>
      <c r="AD148" s="30">
        <f>Storage_modulus_G!AD148/1000000</f>
        <v>1.0833840000000001E-2</v>
      </c>
      <c r="AE148" s="30">
        <f>Storage_modulus_G!AE148/1000000</f>
        <v>1.0833840000000001E-2</v>
      </c>
      <c r="AF148" s="30">
        <f>Storage_modulus_G!AF148/1000000</f>
        <v>1.127649E-2</v>
      </c>
      <c r="AG148" s="30">
        <f>Storage_modulus_G!AG148/1000000</f>
        <v>1.173722E-2</v>
      </c>
      <c r="AH148" s="30">
        <f>Storage_modulus_G!AH148/1000000</f>
        <v>1.271592E-2</v>
      </c>
      <c r="AI148" s="30">
        <f>Storage_modulus_G!AI148/1000000</f>
        <v>1.271592E-2</v>
      </c>
      <c r="AJ148" s="209">
        <f>Storage_modulus_G!AJ148/1000000</f>
        <v>1.271592E-2</v>
      </c>
      <c r="AK148" s="2"/>
    </row>
    <row r="149" spans="1:38" ht="15.75" customHeight="1">
      <c r="A149" s="201">
        <v>25</v>
      </c>
      <c r="B149" s="58">
        <v>1</v>
      </c>
      <c r="C149" s="399">
        <v>1365.74</v>
      </c>
      <c r="D149" s="399">
        <v>1333.33</v>
      </c>
      <c r="E149" s="399">
        <v>1194.44</v>
      </c>
      <c r="F149" s="399">
        <v>708.33</v>
      </c>
      <c r="G149" s="399">
        <v>532.41</v>
      </c>
      <c r="H149" s="399">
        <v>263.89</v>
      </c>
      <c r="I149" s="198">
        <v>120.37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8" ht="15.75" customHeight="1">
      <c r="A150" s="200">
        <v>25</v>
      </c>
      <c r="B150" s="59">
        <v>2</v>
      </c>
      <c r="C150" s="20">
        <v>1722.22</v>
      </c>
      <c r="D150" s="20">
        <v>1694.44</v>
      </c>
      <c r="E150" s="20">
        <v>1518.52</v>
      </c>
      <c r="F150" s="20">
        <v>907.41</v>
      </c>
      <c r="G150" s="20">
        <v>675.93</v>
      </c>
      <c r="H150" s="20">
        <v>342.59</v>
      </c>
      <c r="I150" s="198">
        <v>162.04</v>
      </c>
      <c r="J150" s="2"/>
    </row>
    <row r="151" spans="1:38" ht="15.75" customHeight="1">
      <c r="A151" s="200">
        <v>25</v>
      </c>
      <c r="B151" s="59">
        <v>3</v>
      </c>
      <c r="C151" s="20">
        <v>2518.52</v>
      </c>
      <c r="D151" s="20">
        <v>2375</v>
      </c>
      <c r="E151" s="20">
        <v>1962.96</v>
      </c>
      <c r="F151" s="20">
        <v>1189.81</v>
      </c>
      <c r="G151" s="20">
        <v>847.22</v>
      </c>
      <c r="H151" s="20">
        <v>407.41</v>
      </c>
      <c r="I151" s="198">
        <v>189.81</v>
      </c>
      <c r="J151" s="2"/>
    </row>
    <row r="152" spans="1:38" ht="15.75" customHeight="1">
      <c r="A152" s="200">
        <v>25</v>
      </c>
      <c r="B152" s="59">
        <v>4</v>
      </c>
      <c r="C152" s="26">
        <v>2634.26</v>
      </c>
      <c r="D152" s="26">
        <v>2518.52</v>
      </c>
      <c r="E152" s="26">
        <v>2092.59</v>
      </c>
      <c r="F152" s="26">
        <v>1259.26</v>
      </c>
      <c r="G152" s="26">
        <v>939.81</v>
      </c>
      <c r="H152" s="26">
        <v>472.22</v>
      </c>
      <c r="I152" s="204">
        <v>236.11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38" ht="15.75" customHeight="1">
      <c r="A153" s="201">
        <v>26</v>
      </c>
      <c r="B153" s="178" t="s">
        <v>220</v>
      </c>
      <c r="C153" s="206">
        <f>Storage_modulus_G!C153/1000000</f>
        <v>8.0000000000000007E-7</v>
      </c>
      <c r="D153" s="206">
        <f>Storage_modulus_G!D153/1000000</f>
        <v>1.2640000000000001E-6</v>
      </c>
      <c r="E153" s="206">
        <f>Storage_modulus_G!E153/1000000</f>
        <v>2.9220000000000001E-6</v>
      </c>
      <c r="F153" s="206">
        <f>Storage_modulus_G!F153/1000000</f>
        <v>2.9220000000000001E-6</v>
      </c>
      <c r="G153" s="206">
        <f>Storage_modulus_G!G153/1000000</f>
        <v>4.6159999999999995E-6</v>
      </c>
      <c r="H153" s="206">
        <f>Storage_modulus_G!H153/1000000</f>
        <v>7.2930000000000003E-6</v>
      </c>
      <c r="I153" s="206">
        <f>Storage_modulus_G!I153/1000000</f>
        <v>1.2432999999999999E-5</v>
      </c>
      <c r="J153" s="206">
        <f>Storage_modulus_G!J153/1000000</f>
        <v>2.0402999999999998E-5</v>
      </c>
      <c r="K153" s="206">
        <f>Storage_modulus_G!K153/1000000</f>
        <v>4.2084000000000006E-5</v>
      </c>
      <c r="L153" s="206">
        <f>Storage_modulus_G!L153/1000000</f>
        <v>6.6480999999999989E-5</v>
      </c>
      <c r="M153" s="206">
        <f>Storage_modulus_G!M153/1000000</f>
        <v>1.1773900000000001E-4</v>
      </c>
      <c r="N153" s="206">
        <f>Storage_modulus_G!N153/1000000</f>
        <v>2.25033E-4</v>
      </c>
      <c r="O153" s="206">
        <f>Storage_modulus_G!O153/1000000</f>
        <v>4.3010000000000005E-4</v>
      </c>
      <c r="P153" s="206">
        <f>Storage_modulus_G!P153/1000000</f>
        <v>7.3324399999999997E-4</v>
      </c>
      <c r="Q153" s="206">
        <f>Storage_modulus_G!Q153/1000000</f>
        <v>1.2985989999999999E-3</v>
      </c>
      <c r="R153" s="206">
        <f>Storage_modulus_G!R153/1000000</f>
        <v>2.0514299999999999E-3</v>
      </c>
      <c r="S153" s="206">
        <f>Storage_modulus_G!S153/1000000</f>
        <v>3.3665629999999999E-3</v>
      </c>
      <c r="T153" s="206">
        <f>Storage_modulus_G!T153/1000000</f>
        <v>5.524803E-3</v>
      </c>
      <c r="U153" s="207">
        <f>Storage_modulus_G!U153/1000000</f>
        <v>2.299864E-3</v>
      </c>
      <c r="V153" s="2"/>
    </row>
    <row r="154" spans="1:38" ht="15.75" customHeight="1">
      <c r="A154" s="200">
        <v>26</v>
      </c>
      <c r="B154" s="179" t="s">
        <v>221</v>
      </c>
      <c r="C154" s="2">
        <f>Storage_modulus_G!C154/1000000</f>
        <v>1.2914999999999999E-5</v>
      </c>
      <c r="D154" s="2">
        <f>Storage_modulus_G!D154/1000000</f>
        <v>1.8199000000000003E-5</v>
      </c>
      <c r="E154" s="2">
        <f>Storage_modulus_G!E154/1000000</f>
        <v>2.6639999999999999E-5</v>
      </c>
      <c r="F154" s="2">
        <f>Storage_modulus_G!F154/1000000</f>
        <v>3.8996000000000004E-5</v>
      </c>
      <c r="G154" s="2">
        <f>Storage_modulus_G!G154/1000000</f>
        <v>4.9013E-5</v>
      </c>
      <c r="H154" s="2">
        <f>Storage_modulus_G!H154/1000000</f>
        <v>6.9062999999999999E-5</v>
      </c>
      <c r="I154" s="2">
        <f>Storage_modulus_G!I154/1000000</f>
        <v>9.0174000000000008E-5</v>
      </c>
      <c r="J154" s="2">
        <f>Storage_modulus_G!J154/1000000</f>
        <v>1.2706300000000001E-4</v>
      </c>
      <c r="K154" s="2">
        <f>Storage_modulus_G!K154/1000000</f>
        <v>1.79042E-4</v>
      </c>
      <c r="L154" s="2">
        <f>Storage_modulus_G!L154/1000000</f>
        <v>2.9382299999999997E-4</v>
      </c>
      <c r="M154" s="2">
        <f>Storage_modulus_G!M154/1000000</f>
        <v>4.4680499999999999E-4</v>
      </c>
      <c r="N154" s="2">
        <f>Storage_modulus_G!N154/1000000</f>
        <v>7.0582899999999994E-4</v>
      </c>
      <c r="O154" s="2">
        <f>Storage_modulus_G!O154/1000000</f>
        <v>1.203312E-3</v>
      </c>
      <c r="P154" s="2">
        <f>Storage_modulus_G!P154/1000000</f>
        <v>1.9009020000000001E-3</v>
      </c>
      <c r="Q154" s="2">
        <f>Storage_modulus_G!Q154/1000000</f>
        <v>3.2406959999999999E-3</v>
      </c>
      <c r="R154" s="2">
        <f>Storage_modulus_G!R154/1000000</f>
        <v>4.7437619999999995E-3</v>
      </c>
      <c r="S154" s="2">
        <f>Storage_modulus_G!S154/1000000</f>
        <v>7.4938410000000002E-3</v>
      </c>
      <c r="T154" s="2">
        <f>Storage_modulus_G!T154/1000000</f>
        <v>1.1838209999999998E-2</v>
      </c>
      <c r="U154" s="208">
        <f>Storage_modulus_G!U154/1000000</f>
        <v>1.6681005000000002E-2</v>
      </c>
      <c r="V154" s="2"/>
    </row>
    <row r="155" spans="1:38" ht="15.75" customHeight="1">
      <c r="A155" s="200">
        <v>26</v>
      </c>
      <c r="B155" s="179" t="s">
        <v>222</v>
      </c>
      <c r="C155" s="2">
        <f>Storage_modulus_G!C155/1000000</f>
        <v>2.6208399999999999E-4</v>
      </c>
      <c r="D155" s="2">
        <f>Storage_modulus_G!D155/1000000</f>
        <v>3.2940499999999995E-4</v>
      </c>
      <c r="E155" s="2">
        <f>Storage_modulus_G!E155/1000000</f>
        <v>3.5549000000000003E-4</v>
      </c>
      <c r="F155" s="2">
        <f>Storage_modulus_G!F155/1000000</f>
        <v>4.3010000000000005E-4</v>
      </c>
      <c r="G155" s="2">
        <f>Storage_modulus_G!G155/1000000</f>
        <v>5.4058100000000005E-4</v>
      </c>
      <c r="H155" s="2">
        <f>Storage_modulus_G!H155/1000000</f>
        <v>6.5403800000000002E-4</v>
      </c>
      <c r="I155" s="2">
        <f>Storage_modulus_G!I155/1000000</f>
        <v>7.3324399999999997E-4</v>
      </c>
      <c r="J155" s="2">
        <f>Storage_modulus_G!J155/1000000</f>
        <v>8.539690000000001E-4</v>
      </c>
      <c r="K155" s="2">
        <f>Storage_modulus_G!K155/1000000</f>
        <v>1.203312E-3</v>
      </c>
      <c r="L155" s="2">
        <f>Storage_modulus_G!L155/1000000</f>
        <v>1.571149E-3</v>
      </c>
      <c r="M155" s="2">
        <f>Storage_modulus_G!M155/1000000</f>
        <v>2.1311070000000001E-3</v>
      </c>
      <c r="N155" s="2">
        <f>Storage_modulus_G!N155/1000000</f>
        <v>2.782559E-3</v>
      </c>
      <c r="O155" s="2">
        <f>Storage_modulus_G!O155/1000000</f>
        <v>4.0731379999999996E-3</v>
      </c>
      <c r="P155" s="2">
        <f>Storage_modulus_G!P155/1000000</f>
        <v>5.3182450000000001E-3</v>
      </c>
      <c r="Q155" s="2">
        <f>Storage_modulus_G!Q155/1000000</f>
        <v>7.7848990000000005E-3</v>
      </c>
      <c r="R155" s="2">
        <f>Storage_modulus_G!R155/1000000</f>
        <v>1.0969558000000001E-2</v>
      </c>
      <c r="S155" s="2">
        <f>Storage_modulus_G!S155/1000000</f>
        <v>1.6057346E-2</v>
      </c>
      <c r="T155" s="2">
        <f>Storage_modulus_G!T155/1000000</f>
        <v>2.0965874999999998E-2</v>
      </c>
      <c r="U155" s="208">
        <f>Storage_modulus_G!U155/1000000</f>
        <v>2.9542631E-2</v>
      </c>
      <c r="V155" s="2"/>
    </row>
    <row r="156" spans="1:38" ht="15.75" customHeight="1">
      <c r="A156" s="200">
        <v>26</v>
      </c>
      <c r="B156" s="179" t="s">
        <v>223</v>
      </c>
      <c r="C156" s="2">
        <f>Storage_modulus_G!C156/1000000</f>
        <v>1.8298330000000001E-3</v>
      </c>
      <c r="D156" s="2">
        <f>Storage_modulus_G!D156/1000000</f>
        <v>1.9747329999999998E-3</v>
      </c>
      <c r="E156" s="2">
        <f>Storage_modulus_G!E156/1000000</f>
        <v>2.0514299999999999E-3</v>
      </c>
      <c r="F156" s="2">
        <f>Storage_modulus_G!F156/1000000</f>
        <v>2.2138780000000003E-3</v>
      </c>
      <c r="G156" s="2">
        <f>Storage_modulus_G!G156/1000000</f>
        <v>2.8906329999999997E-3</v>
      </c>
      <c r="H156" s="2">
        <f>Storage_modulus_G!H156/1000000</f>
        <v>3.497319E-3</v>
      </c>
      <c r="I156" s="2">
        <f>Storage_modulus_G!I156/1000000</f>
        <v>4.2313360000000005E-3</v>
      </c>
      <c r="J156" s="2">
        <f>Storage_modulus_G!J156/1000000</f>
        <v>4.9280080000000002E-3</v>
      </c>
      <c r="K156" s="2">
        <f>Storage_modulus_G!K156/1000000</f>
        <v>5.9622979999999996E-3</v>
      </c>
      <c r="L156" s="2">
        <f>Storage_modulus_G!L156/1000000</f>
        <v>7.4938410000000002E-3</v>
      </c>
      <c r="M156" s="2">
        <f>Storage_modulus_G!M156/1000000</f>
        <v>9.0666489999999995E-3</v>
      </c>
      <c r="N156" s="2">
        <f>Storage_modulus_G!N156/1000000</f>
        <v>1.139561E-2</v>
      </c>
      <c r="O156" s="2">
        <f>Storage_modulus_G!O156/1000000</f>
        <v>1.4879106E-2</v>
      </c>
      <c r="P156" s="2">
        <f>Storage_modulus_G!P156/1000000</f>
        <v>2.0965874999999998E-2</v>
      </c>
      <c r="Q156" s="2">
        <f>Storage_modulus_G!Q156/1000000</f>
        <v>2.5366195000000001E-2</v>
      </c>
      <c r="R156" s="2">
        <f>Storage_modulus_G!R156/1000000</f>
        <v>3.4406699999999998E-2</v>
      </c>
      <c r="S156" s="2">
        <f>Storage_modulus_G!S156/1000000</f>
        <v>4.1627981000000001E-2</v>
      </c>
      <c r="T156" s="2">
        <f>Storage_modulus_G!T156/1000000</f>
        <v>6.3302147000000003E-2</v>
      </c>
      <c r="U156" s="208">
        <f>Storage_modulus_G!U156/1000000</f>
        <v>0.12568712200000001</v>
      </c>
      <c r="V156" s="2"/>
    </row>
    <row r="157" spans="1:38" ht="15.75" customHeight="1">
      <c r="A157" s="200">
        <v>26</v>
      </c>
      <c r="B157" s="179" t="s">
        <v>228</v>
      </c>
      <c r="C157" s="2">
        <f>Storage_modulus_G!C157/1000000</f>
        <v>7.2136660000000005E-3</v>
      </c>
      <c r="D157" s="2">
        <f>Storage_modulus_G!D157/1000000</f>
        <v>7.2136660000000005E-3</v>
      </c>
      <c r="E157" s="2">
        <f>Storage_modulus_G!E157/1000000</f>
        <v>7.2136660000000005E-3</v>
      </c>
      <c r="F157" s="2">
        <f>Storage_modulus_G!F157/1000000</f>
        <v>7.2136660000000005E-3</v>
      </c>
      <c r="G157" s="2">
        <f>Storage_modulus_G!G157/1000000</f>
        <v>7.7848990000000005E-3</v>
      </c>
      <c r="H157" s="2">
        <f>Storage_modulus_G!H157/1000000</f>
        <v>8.4013660000000004E-3</v>
      </c>
      <c r="I157" s="2">
        <f>Storage_modulus_G!I157/1000000</f>
        <v>9.418793E-3</v>
      </c>
      <c r="J157" s="2">
        <f>Storage_modulus_G!J157/1000000</f>
        <v>1.139561E-2</v>
      </c>
      <c r="K157" s="2">
        <f>Storage_modulus_G!K157/1000000</f>
        <v>1.2775649E-2</v>
      </c>
      <c r="L157" s="2">
        <f>Storage_modulus_G!L157/1000000</f>
        <v>1.3787321999999999E-2</v>
      </c>
      <c r="M157" s="2">
        <f>Storage_modulus_G!M157/1000000</f>
        <v>1.8001933000000001E-2</v>
      </c>
      <c r="N157" s="2">
        <f>Storage_modulus_G!N157/1000000</f>
        <v>2.0965874999999998E-2</v>
      </c>
      <c r="O157" s="2">
        <f>Storage_modulus_G!O157/1000000</f>
        <v>2.5366195000000001E-2</v>
      </c>
      <c r="P157" s="2">
        <f>Storage_modulus_G!P157/1000000</f>
        <v>3.188204E-2</v>
      </c>
      <c r="Q157" s="2">
        <f>Storage_modulus_G!Q157/1000000</f>
        <v>4.0071618000000003E-2</v>
      </c>
      <c r="R157" s="2">
        <f>Storage_modulus_G!R157/1000000</f>
        <v>4.6669240000000001E-2</v>
      </c>
      <c r="S157" s="2">
        <f>Storage_modulus_G!S157/1000000</f>
        <v>6.0935444000000005E-2</v>
      </c>
      <c r="T157" s="2">
        <f>Storage_modulus_G!T157/1000000</f>
        <v>7.6588005000000001E-2</v>
      </c>
      <c r="U157" s="208">
        <f>Storage_modulus_G!U157/1000000</f>
        <v>8.5863017000000014E-2</v>
      </c>
      <c r="V157" s="2"/>
    </row>
    <row r="158" spans="1:38" ht="15.75" customHeight="1">
      <c r="A158" s="200">
        <v>26</v>
      </c>
      <c r="B158" s="179" t="s">
        <v>224</v>
      </c>
      <c r="C158" s="2">
        <v>9816.4716526543798</v>
      </c>
      <c r="D158" s="2">
        <v>9520.0011309452893</v>
      </c>
      <c r="E158" s="2">
        <v>9058.8242611998903</v>
      </c>
      <c r="F158" s="2">
        <v>8037.6485223997797</v>
      </c>
      <c r="G158" s="2">
        <v>7115.2925210184103</v>
      </c>
      <c r="H158" s="2">
        <v>6028.2346953818997</v>
      </c>
      <c r="I158" s="2">
        <v>5534.1179131635899</v>
      </c>
      <c r="J158" s="2">
        <v>4743.5283473456102</v>
      </c>
      <c r="K158" s="2">
        <v>3920.0011309452798</v>
      </c>
      <c r="L158" s="2">
        <v>3195.2959138542801</v>
      </c>
      <c r="M158" s="2">
        <v>2569.4126960725898</v>
      </c>
      <c r="N158" s="2">
        <v>2075.2936519637001</v>
      </c>
      <c r="O158" s="2"/>
      <c r="P158" s="2"/>
      <c r="Q158" s="2"/>
      <c r="R158" s="2"/>
      <c r="S158" s="2"/>
      <c r="T158" s="2"/>
      <c r="U158" s="208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15.75" customHeight="1">
      <c r="A159" s="200">
        <v>26</v>
      </c>
      <c r="B159" s="179" t="s">
        <v>225</v>
      </c>
      <c r="C159" s="2">
        <v>13209.4115651273</v>
      </c>
      <c r="D159" s="2">
        <v>12748.2346953819</v>
      </c>
      <c r="E159" s="2">
        <v>12188.2358263271</v>
      </c>
      <c r="F159" s="2">
        <v>10705.8832177816</v>
      </c>
      <c r="G159" s="2">
        <v>8828.2358263271908</v>
      </c>
      <c r="H159" s="2">
        <v>7214.1167822182997</v>
      </c>
      <c r="I159" s="2">
        <v>6061.1768697453899</v>
      </c>
      <c r="J159" s="2">
        <v>5105.8832177816903</v>
      </c>
      <c r="K159" s="2">
        <v>4414.1201750541704</v>
      </c>
      <c r="L159" s="2">
        <v>3920.0011309452798</v>
      </c>
      <c r="M159" s="2">
        <v>3623.5306092361802</v>
      </c>
      <c r="N159" s="2">
        <v>3360</v>
      </c>
      <c r="O159" s="2"/>
      <c r="P159" s="2"/>
      <c r="Q159" s="2"/>
      <c r="R159" s="2"/>
      <c r="S159" s="2"/>
      <c r="T159" s="2"/>
      <c r="U159" s="20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5.75" customHeight="1">
      <c r="A160" s="200">
        <v>26</v>
      </c>
      <c r="B160" s="179" t="s">
        <v>226</v>
      </c>
      <c r="C160" s="2">
        <v>11754.718000000001</v>
      </c>
      <c r="D160" s="2">
        <v>11391.511</v>
      </c>
      <c r="E160" s="2">
        <v>11061.321</v>
      </c>
      <c r="F160" s="2">
        <v>10301.887000000001</v>
      </c>
      <c r="G160" s="67">
        <v>9179.2469999999994</v>
      </c>
      <c r="H160" s="2">
        <v>7825.4709999999995</v>
      </c>
      <c r="I160" s="2">
        <v>6669.8119999999999</v>
      </c>
      <c r="J160" s="2">
        <v>5910.38</v>
      </c>
      <c r="K160" s="2">
        <v>4952.8310000000001</v>
      </c>
      <c r="L160" s="2">
        <v>3962.2640000000001</v>
      </c>
      <c r="M160" s="2">
        <v>3070.7550000000001</v>
      </c>
      <c r="N160" s="2">
        <v>2641.5129999999999</v>
      </c>
      <c r="O160" s="2"/>
      <c r="P160" s="2"/>
      <c r="Q160" s="2"/>
      <c r="R160" s="2"/>
      <c r="S160" s="2"/>
      <c r="T160" s="2"/>
      <c r="U160" s="208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5.75" customHeight="1">
      <c r="A161" s="200">
        <v>26</v>
      </c>
      <c r="B161" s="179" t="s">
        <v>227</v>
      </c>
      <c r="C161" s="2">
        <v>12712.264999999999</v>
      </c>
      <c r="D161" s="2">
        <v>12448.115</v>
      </c>
      <c r="E161" s="2">
        <v>11985.85</v>
      </c>
      <c r="F161" s="2">
        <v>10896.226000000001</v>
      </c>
      <c r="G161" s="2">
        <v>9707.5470000000005</v>
      </c>
      <c r="H161" s="2">
        <v>8419.8109999999997</v>
      </c>
      <c r="I161" s="2">
        <v>7594.3410000000003</v>
      </c>
      <c r="J161" s="2">
        <v>6702.8320000000003</v>
      </c>
      <c r="K161" s="2">
        <v>5745.2830000000004</v>
      </c>
      <c r="L161" s="2">
        <v>4655.6610000000001</v>
      </c>
      <c r="M161" s="2">
        <v>3929.2469999999998</v>
      </c>
      <c r="N161" s="2">
        <v>3433.9650000000001</v>
      </c>
      <c r="O161" s="2"/>
      <c r="P161" s="2"/>
      <c r="Q161" s="2"/>
      <c r="R161" s="2"/>
      <c r="S161" s="2"/>
      <c r="T161" s="2"/>
      <c r="U161" s="20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5.75" customHeight="1">
      <c r="A162" s="202">
        <v>26</v>
      </c>
      <c r="B162" s="203" t="s">
        <v>229</v>
      </c>
      <c r="C162" s="30">
        <v>12051.888000000001</v>
      </c>
      <c r="D162" s="30">
        <v>11820.754999999999</v>
      </c>
      <c r="E162" s="30">
        <v>11358.491</v>
      </c>
      <c r="F162" s="30">
        <v>10500.001</v>
      </c>
      <c r="G162" s="30">
        <v>8915.0930000000008</v>
      </c>
      <c r="H162" s="30">
        <v>7396.2290000000003</v>
      </c>
      <c r="I162" s="30">
        <v>6372.6419999999998</v>
      </c>
      <c r="J162" s="30">
        <v>5712.2650000000003</v>
      </c>
      <c r="K162" s="30">
        <v>4919.8130000000001</v>
      </c>
      <c r="L162" s="30">
        <v>3962.2640000000001</v>
      </c>
      <c r="M162" s="30">
        <v>3367.9250000000002</v>
      </c>
      <c r="N162" s="30">
        <v>2938.6819999999998</v>
      </c>
      <c r="O162" s="30"/>
      <c r="P162" s="30"/>
      <c r="Q162" s="30"/>
      <c r="R162" s="30"/>
      <c r="S162" s="30"/>
      <c r="T162" s="30"/>
      <c r="U162" s="20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5.75" customHeight="1">
      <c r="A163" s="174">
        <v>27</v>
      </c>
      <c r="B163" s="179">
        <v>1</v>
      </c>
      <c r="C163" s="2">
        <v>1638.655</v>
      </c>
      <c r="D163" s="2">
        <v>1550.42</v>
      </c>
      <c r="E163" s="2">
        <v>1424.37</v>
      </c>
      <c r="F163" s="2">
        <v>1323.529</v>
      </c>
      <c r="G163" s="2">
        <v>1222.6890000000001</v>
      </c>
      <c r="H163" s="2">
        <v>1172.269</v>
      </c>
      <c r="I163" s="2">
        <v>1071.4290000000001</v>
      </c>
      <c r="J163" s="2">
        <v>957.98299999999995</v>
      </c>
      <c r="K163" s="2">
        <v>857.14300000000003</v>
      </c>
      <c r="L163" s="2">
        <v>768.90800000000002</v>
      </c>
      <c r="M163" s="2">
        <v>705.88199999999995</v>
      </c>
      <c r="N163" s="208">
        <v>668.06700000000001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8" ht="15.75" customHeight="1">
      <c r="A164" s="174">
        <v>27</v>
      </c>
      <c r="B164" s="179">
        <v>2</v>
      </c>
      <c r="C164" s="2">
        <v>4172.2690000000002</v>
      </c>
      <c r="D164" s="2">
        <v>3844.538</v>
      </c>
      <c r="E164" s="2">
        <v>3478.9920000000002</v>
      </c>
      <c r="F164" s="2">
        <v>3176.471</v>
      </c>
      <c r="G164" s="2">
        <v>2861.3449999999998</v>
      </c>
      <c r="H164" s="2">
        <v>2621.8490000000002</v>
      </c>
      <c r="I164" s="2">
        <v>2432.7730000000001</v>
      </c>
      <c r="J164" s="2">
        <v>2180.672</v>
      </c>
      <c r="K164" s="2">
        <v>1815.126</v>
      </c>
      <c r="L164" s="2">
        <v>1525.21</v>
      </c>
      <c r="M164" s="2">
        <v>1348.739</v>
      </c>
      <c r="N164" s="208">
        <v>1184.874</v>
      </c>
      <c r="O164" s="2"/>
    </row>
    <row r="165" spans="1:38" ht="15.75" customHeight="1">
      <c r="A165" s="174">
        <v>27</v>
      </c>
      <c r="B165" s="179">
        <v>3</v>
      </c>
      <c r="C165" s="2">
        <v>5130.2520000000004</v>
      </c>
      <c r="D165" s="2">
        <v>4726.8909999999996</v>
      </c>
      <c r="E165" s="2">
        <v>4159.6639999999998</v>
      </c>
      <c r="F165" s="2">
        <v>3617.6469999999999</v>
      </c>
      <c r="G165" s="2">
        <v>3264.7060000000001</v>
      </c>
      <c r="H165" s="2">
        <v>2974.79</v>
      </c>
      <c r="I165" s="2">
        <v>2747.8989999999999</v>
      </c>
      <c r="J165" s="2">
        <v>2369.748</v>
      </c>
      <c r="K165" s="2">
        <v>1978.992</v>
      </c>
      <c r="L165" s="2">
        <v>1651.261</v>
      </c>
      <c r="M165" s="2">
        <v>1348.739</v>
      </c>
      <c r="N165" s="208">
        <v>1184.874</v>
      </c>
      <c r="O165" s="2"/>
    </row>
    <row r="166" spans="1:38" ht="15.75" customHeight="1">
      <c r="A166" s="174">
        <v>27</v>
      </c>
      <c r="B166" s="179">
        <v>4</v>
      </c>
      <c r="C166" s="2">
        <v>5369.7479999999996</v>
      </c>
      <c r="D166" s="2">
        <v>5067.2269999999999</v>
      </c>
      <c r="E166" s="2">
        <v>4537.8149999999996</v>
      </c>
      <c r="F166" s="2">
        <v>3932.7730000000001</v>
      </c>
      <c r="G166" s="2">
        <v>3491.5970000000002</v>
      </c>
      <c r="H166" s="2">
        <v>3176.471</v>
      </c>
      <c r="I166" s="2">
        <v>2899.16</v>
      </c>
      <c r="J166" s="2">
        <v>2508.4029999999998</v>
      </c>
      <c r="K166" s="2">
        <v>2117.6469999999999</v>
      </c>
      <c r="L166" s="2">
        <v>1764.7059999999999</v>
      </c>
      <c r="M166" s="2">
        <v>1512.605</v>
      </c>
      <c r="N166" s="208">
        <v>1298.319</v>
      </c>
      <c r="O166" s="2"/>
      <c r="P166" s="2"/>
      <c r="Q166" s="2"/>
      <c r="R166" s="2"/>
      <c r="S166" s="2"/>
      <c r="T166" s="2"/>
      <c r="U166" s="2"/>
    </row>
    <row r="167" spans="1:38" ht="15.75" customHeight="1">
      <c r="A167" s="201">
        <v>28</v>
      </c>
      <c r="B167" s="58">
        <v>1</v>
      </c>
      <c r="C167" s="206">
        <f>Storage_modulus_G!C167/1000000</f>
        <v>1.187E-5</v>
      </c>
      <c r="D167" s="206">
        <f>Storage_modulus_G!D167/1000000</f>
        <v>1.2510000000000001E-5</v>
      </c>
      <c r="E167" s="206">
        <f>Storage_modulus_G!E167/1000000</f>
        <v>1.485E-5</v>
      </c>
      <c r="F167" s="206">
        <f>Storage_modulus_G!F167/1000000</f>
        <v>1.505E-5</v>
      </c>
      <c r="G167" s="206">
        <f>Storage_modulus_G!G167/1000000</f>
        <v>1.6289999999999998E-5</v>
      </c>
      <c r="H167" s="206">
        <f>Storage_modulus_G!H167/1000000</f>
        <v>1.6289999999999998E-5</v>
      </c>
      <c r="I167" s="206">
        <f>Storage_modulus_G!I167/1000000</f>
        <v>1.6500000000000001E-5</v>
      </c>
      <c r="J167" s="206">
        <f>Storage_modulus_G!J167/1000000</f>
        <v>1.7399999999999999E-5</v>
      </c>
      <c r="K167" s="206">
        <f>Storage_modulus_G!K167/1000000</f>
        <v>1.8340000000000001E-5</v>
      </c>
      <c r="L167" s="206">
        <f>Storage_modulus_G!L167/1000000</f>
        <v>1.9850000000000001E-5</v>
      </c>
      <c r="M167" s="206">
        <f>Storage_modulus_G!M167/1000000</f>
        <v>1.9850000000000001E-5</v>
      </c>
      <c r="N167" s="206">
        <f>Storage_modulus_G!N167/1000000</f>
        <v>2.1480000000000001E-5</v>
      </c>
      <c r="O167" s="206">
        <f>Storage_modulus_G!O167/1000000</f>
        <v>2.3249999999999999E-5</v>
      </c>
      <c r="P167" s="206">
        <f>Storage_modulus_G!P167/1000000</f>
        <v>2.7230000000000002E-5</v>
      </c>
      <c r="Q167" s="206">
        <f>Storage_modulus_G!Q167/1000000</f>
        <v>3.6879999999999999E-5</v>
      </c>
      <c r="R167" s="206">
        <f>Storage_modulus_G!R167/1000000</f>
        <v>5.8499999999999999E-5</v>
      </c>
      <c r="S167" s="206">
        <f>Storage_modulus_G!S167/1000000</f>
        <v>7.1290000000000004E-5</v>
      </c>
      <c r="T167" s="206">
        <f>Storage_modulus_G!T167/1000000</f>
        <v>1.3602000000000002E-4</v>
      </c>
      <c r="U167" s="207">
        <f>Storage_modulus_G!U167/1000000</f>
        <v>2.3352E-4</v>
      </c>
      <c r="V167" s="2"/>
    </row>
    <row r="168" spans="1:38" ht="15.75" customHeight="1">
      <c r="A168" s="200">
        <v>28</v>
      </c>
      <c r="B168" s="59">
        <v>2</v>
      </c>
      <c r="C168" s="2">
        <f>Storage_modulus_G!C168/1000000</f>
        <v>1.156051E-2</v>
      </c>
      <c r="D168" s="2">
        <f>Storage_modulus_G!D168/1000000</f>
        <v>1.202687E-2</v>
      </c>
      <c r="E168" s="2">
        <f>Storage_modulus_G!E168/1000000</f>
        <v>1.218647E-2</v>
      </c>
      <c r="F168" s="2">
        <f>Storage_modulus_G!F168/1000000</f>
        <v>1.234818E-2</v>
      </c>
      <c r="G168" s="2">
        <f>Storage_modulus_G!G168/1000000</f>
        <v>1.251204E-2</v>
      </c>
      <c r="H168" s="2">
        <f>Storage_modulus_G!H168/1000000</f>
        <v>1.301679E-2</v>
      </c>
      <c r="I168" s="2">
        <f>Storage_modulus_G!I168/1000000</f>
        <v>1.284632E-2</v>
      </c>
      <c r="J168" s="2">
        <f>Storage_modulus_G!J168/1000000</f>
        <v>1.301679E-2</v>
      </c>
      <c r="K168" s="2">
        <f>Storage_modulus_G!K168/1000000</f>
        <v>1.318952E-2</v>
      </c>
      <c r="L168" s="2">
        <f>Storage_modulus_G!L168/1000000</f>
        <v>1.3541889999999999E-2</v>
      </c>
      <c r="M168" s="2">
        <f>Storage_modulus_G!M168/1000000</f>
        <v>1.408818E-2</v>
      </c>
      <c r="N168" s="2">
        <f>Storage_modulus_G!N168/1000000</f>
        <v>1.3721590000000001E-2</v>
      </c>
      <c r="O168" s="2">
        <f>Storage_modulus_G!O168/1000000</f>
        <v>1.446456E-2</v>
      </c>
      <c r="P168" s="2">
        <f>Storage_modulus_G!P168/1000000</f>
        <v>1.446456E-2</v>
      </c>
      <c r="Q168" s="2">
        <f>Storage_modulus_G!Q168/1000000</f>
        <v>1.4851E-2</v>
      </c>
      <c r="R168" s="2">
        <f>Storage_modulus_G!R168/1000000</f>
        <v>1.54501E-2</v>
      </c>
      <c r="S168" s="2">
        <f>Storage_modulus_G!S168/1000000</f>
        <v>1.6286660000000001E-2</v>
      </c>
      <c r="T168" s="2">
        <f>Storage_modulus_G!T168/1000000</f>
        <v>1.6721779999999999E-2</v>
      </c>
      <c r="U168" s="208">
        <f>Storage_modulus_G!U168/1000000</f>
        <v>1.716852E-2</v>
      </c>
      <c r="V168" s="2"/>
    </row>
    <row r="169" spans="1:38" ht="15.75" customHeight="1">
      <c r="A169" s="200">
        <v>28</v>
      </c>
      <c r="B169" s="59">
        <v>3</v>
      </c>
      <c r="C169" s="2">
        <f>Storage_modulus_G!C169/1000000</f>
        <v>2.60634E-3</v>
      </c>
      <c r="D169" s="2">
        <f>Storage_modulus_G!D169/1000000</f>
        <v>3.1346099999999999E-3</v>
      </c>
      <c r="E169" s="2">
        <f>Storage_modulus_G!E169/1000000</f>
        <v>3.2610600000000001E-3</v>
      </c>
      <c r="F169" s="2">
        <f>Storage_modulus_G!F169/1000000</f>
        <v>3.3481799999999996E-3</v>
      </c>
      <c r="G169" s="2">
        <f>Storage_modulus_G!G169/1000000</f>
        <v>3.5294699999999998E-3</v>
      </c>
      <c r="H169" s="2">
        <f>Storage_modulus_G!H169/1000000</f>
        <v>3.6237700000000001E-3</v>
      </c>
      <c r="I169" s="2">
        <f>Storage_modulus_G!I169/1000000</f>
        <v>3.6718499999999999E-3</v>
      </c>
      <c r="J169" s="2">
        <f>Storage_modulus_G!J169/1000000</f>
        <v>3.7205799999999998E-3</v>
      </c>
      <c r="K169" s="2">
        <f>Storage_modulus_G!K169/1000000</f>
        <v>3.7205799999999998E-3</v>
      </c>
      <c r="L169" s="2">
        <f>Storage_modulus_G!L169/1000000</f>
        <v>3.8706700000000001E-3</v>
      </c>
      <c r="M169" s="2">
        <f>Storage_modulus_G!M169/1000000</f>
        <v>4.0802499999999997E-3</v>
      </c>
      <c r="N169" s="2">
        <f>Storage_modulus_G!N169/1000000</f>
        <v>4.4746899999999999E-3</v>
      </c>
      <c r="O169" s="2">
        <f>Storage_modulus_G!O169/1000000</f>
        <v>4.9723900000000001E-3</v>
      </c>
      <c r="P169" s="2">
        <f>Storage_modulus_G!P169/1000000</f>
        <v>5.45307E-3</v>
      </c>
      <c r="Q169" s="2">
        <f>Storage_modulus_G!Q169/1000000</f>
        <v>6.0595800000000002E-3</v>
      </c>
      <c r="R169" s="2">
        <f>Storage_modulus_G!R169/1000000</f>
        <v>6.4724499999999994E-3</v>
      </c>
      <c r="S169" s="2">
        <f>Storage_modulus_G!S169/1000000</f>
        <v>7.5817799999999998E-3</v>
      </c>
      <c r="T169" s="2">
        <f>Storage_modulus_G!T169/1000000</f>
        <v>8.6501399999999989E-3</v>
      </c>
      <c r="U169" s="208">
        <f>Storage_modulus_G!U169/1000000</f>
        <v>9.8690400000000008E-3</v>
      </c>
      <c r="V169" s="2"/>
    </row>
    <row r="170" spans="1:38" ht="15.75" customHeight="1">
      <c r="A170" s="200">
        <v>28</v>
      </c>
      <c r="B170" s="59">
        <v>4</v>
      </c>
      <c r="C170" s="2">
        <f>Storage_modulus_G!C170/1000000</f>
        <v>1.318952E-2</v>
      </c>
      <c r="D170" s="2">
        <f>Storage_modulus_G!D170/1000000</f>
        <v>1.408818E-2</v>
      </c>
      <c r="E170" s="2">
        <f>Storage_modulus_G!E170/1000000</f>
        <v>1.446456E-2</v>
      </c>
      <c r="F170" s="2">
        <f>Storage_modulus_G!F170/1000000</f>
        <v>1.4656510000000001E-2</v>
      </c>
      <c r="G170" s="2">
        <f>Storage_modulus_G!G170/1000000</f>
        <v>1.4656510000000001E-2</v>
      </c>
      <c r="H170" s="2">
        <f>Storage_modulus_G!H170/1000000</f>
        <v>1.5247760000000001E-2</v>
      </c>
      <c r="I170" s="2">
        <f>Storage_modulus_G!I170/1000000</f>
        <v>1.4851E-2</v>
      </c>
      <c r="J170" s="2">
        <f>Storage_modulus_G!J170/1000000</f>
        <v>1.504807E-2</v>
      </c>
      <c r="K170" s="2">
        <f>Storage_modulus_G!K170/1000000</f>
        <v>1.54501E-2</v>
      </c>
      <c r="L170" s="2">
        <f>Storage_modulus_G!L170/1000000</f>
        <v>1.54501E-2</v>
      </c>
      <c r="M170" s="2">
        <f>Storage_modulus_G!M170/1000000</f>
        <v>1.5862870000000001E-2</v>
      </c>
      <c r="N170" s="2">
        <f>Storage_modulus_G!N170/1000000</f>
        <v>1.607337E-2</v>
      </c>
      <c r="O170" s="2">
        <f>Storage_modulus_G!O170/1000000</f>
        <v>1.650279E-2</v>
      </c>
      <c r="P170" s="2">
        <f>Storage_modulus_G!P170/1000000</f>
        <v>1.6943679999999999E-2</v>
      </c>
      <c r="Q170" s="2">
        <f>Storage_modulus_G!Q170/1000000</f>
        <v>1.716852E-2</v>
      </c>
      <c r="R170" s="2">
        <f>Storage_modulus_G!R170/1000000</f>
        <v>1.809813E-2</v>
      </c>
      <c r="S170" s="2">
        <f>Storage_modulus_G!S170/1000000</f>
        <v>1.882822E-2</v>
      </c>
      <c r="T170" s="2">
        <f>Storage_modulus_G!T170/1000000</f>
        <v>1.9587759999999999E-2</v>
      </c>
      <c r="U170" s="208">
        <f>Storage_modulus_G!U170/1000000</f>
        <v>2.0648360000000001E-2</v>
      </c>
      <c r="V170" s="2"/>
    </row>
    <row r="171" spans="1:38" ht="15.75" customHeight="1">
      <c r="A171" s="200">
        <v>28</v>
      </c>
      <c r="B171" s="59">
        <v>5</v>
      </c>
      <c r="C171" s="2">
        <f>Storage_modulus_G!C171/1000000</f>
        <v>1.6943679999999999E-2</v>
      </c>
      <c r="D171" s="2">
        <f>Storage_modulus_G!D171/1000000</f>
        <v>1.7627189999999997E-2</v>
      </c>
      <c r="E171" s="2">
        <f>Storage_modulus_G!E171/1000000</f>
        <v>1.7861109999999999E-2</v>
      </c>
      <c r="F171" s="2">
        <f>Storage_modulus_G!F171/1000000</f>
        <v>1.833829E-2</v>
      </c>
      <c r="G171" s="2">
        <f>Storage_modulus_G!G171/1000000</f>
        <v>1.858164E-2</v>
      </c>
      <c r="H171" s="2">
        <f>Storage_modulus_G!H171/1000000</f>
        <v>1.9078069999999999E-2</v>
      </c>
      <c r="I171" s="2">
        <f>Storage_modulus_G!I171/1000000</f>
        <v>1.858164E-2</v>
      </c>
      <c r="J171" s="2">
        <f>Storage_modulus_G!J171/1000000</f>
        <v>1.882822E-2</v>
      </c>
      <c r="K171" s="2">
        <f>Storage_modulus_G!K171/1000000</f>
        <v>1.9078069999999999E-2</v>
      </c>
      <c r="L171" s="2">
        <f>Storage_modulus_G!L171/1000000</f>
        <v>1.9331229999999998E-2</v>
      </c>
      <c r="M171" s="2">
        <f>Storage_modulus_G!M171/1000000</f>
        <v>1.9587759999999999E-2</v>
      </c>
      <c r="N171" s="2">
        <f>Storage_modulus_G!N171/1000000</f>
        <v>1.9847689999999998E-2</v>
      </c>
      <c r="O171" s="2">
        <f>Storage_modulus_G!O171/1000000</f>
        <v>2.0377939999999997E-2</v>
      </c>
      <c r="P171" s="2">
        <f>Storage_modulus_G!P171/1000000</f>
        <v>2.0648360000000001E-2</v>
      </c>
      <c r="Q171" s="2">
        <f>Storage_modulus_G!Q171/1000000</f>
        <v>2.0648360000000001E-2</v>
      </c>
      <c r="R171" s="2">
        <f>Storage_modulus_G!R171/1000000</f>
        <v>2.205522E-2</v>
      </c>
      <c r="S171" s="2">
        <f>Storage_modulus_G!S171/1000000</f>
        <v>2.324942E-2</v>
      </c>
      <c r="T171" s="2">
        <f>Storage_modulus_G!T171/1000000</f>
        <v>2.4508290000000002E-2</v>
      </c>
      <c r="U171" s="208">
        <f>Storage_modulus_G!U171/1000000</f>
        <v>2.5496970000000001E-2</v>
      </c>
      <c r="V171" s="2"/>
    </row>
    <row r="172" spans="1:38" ht="15.75" customHeight="1">
      <c r="A172" s="200">
        <v>28</v>
      </c>
      <c r="B172" s="59">
        <v>6</v>
      </c>
      <c r="C172" s="2">
        <f>Storage_modulus_G!C172/1000000</f>
        <v>8.7649200000000007E-3</v>
      </c>
      <c r="D172" s="2">
        <f>Storage_modulus_G!D172/1000000</f>
        <v>8.9990899999999995E-3</v>
      </c>
      <c r="E172" s="2">
        <f>Storage_modulus_G!E172/1000000</f>
        <v>9.486350000000001E-3</v>
      </c>
      <c r="F172" s="2">
        <f>Storage_modulus_G!F172/1000000</f>
        <v>9.7397900000000016E-3</v>
      </c>
      <c r="G172" s="2">
        <f>Storage_modulus_G!G172/1000000</f>
        <v>9.6122399999999993E-3</v>
      </c>
      <c r="H172" s="2">
        <f>Storage_modulus_G!H172/1000000</f>
        <v>9.486350000000001E-3</v>
      </c>
      <c r="I172" s="2">
        <f>Storage_modulus_G!I172/1000000</f>
        <v>9.7397900000000016E-3</v>
      </c>
      <c r="J172" s="2">
        <f>Storage_modulus_G!J172/1000000</f>
        <v>0.01</v>
      </c>
      <c r="K172" s="2">
        <f>Storage_modulus_G!K172/1000000</f>
        <v>0.01</v>
      </c>
      <c r="L172" s="2">
        <f>Storage_modulus_G!L172/1000000</f>
        <v>0.01</v>
      </c>
      <c r="M172" s="2">
        <f>Storage_modulus_G!M172/1000000</f>
        <v>1.0132700000000001E-2</v>
      </c>
      <c r="N172" s="2">
        <f>Storage_modulus_G!N172/1000000</f>
        <v>1.0681350000000001E-2</v>
      </c>
      <c r="O172" s="2">
        <f>Storage_modulus_G!O172/1000000</f>
        <v>1.0681350000000001E-2</v>
      </c>
      <c r="P172" s="2">
        <f>Storage_modulus_G!P172/1000000</f>
        <v>1.1112239999999999E-2</v>
      </c>
      <c r="Q172" s="2">
        <f>Storage_modulus_G!Q172/1000000</f>
        <v>1.1713920000000001E-2</v>
      </c>
      <c r="R172" s="2">
        <f>Storage_modulus_G!R172/1000000</f>
        <v>1.234818E-2</v>
      </c>
      <c r="S172" s="2">
        <f>Storage_modulus_G!S172/1000000</f>
        <v>1.267808E-2</v>
      </c>
      <c r="T172" s="2">
        <f>Storage_modulus_G!T172/1000000</f>
        <v>1.390368E-2</v>
      </c>
      <c r="U172" s="209">
        <f>Storage_modulus_G!U172/1000000</f>
        <v>1.390368E-2</v>
      </c>
      <c r="V172" s="2"/>
    </row>
    <row r="173" spans="1:38" ht="15.75" customHeight="1">
      <c r="A173" s="201">
        <v>29</v>
      </c>
      <c r="B173" s="58">
        <v>1</v>
      </c>
      <c r="C173" s="206">
        <f>Storage_modulus_G!C173/1000000</f>
        <v>5.5952999999999992E-4</v>
      </c>
      <c r="D173" s="206">
        <f>Storage_modulus_G!D173/1000000</f>
        <v>1.19746E-3</v>
      </c>
      <c r="E173" s="206">
        <f>Storage_modulus_G!E173/1000000</f>
        <v>2.0698699999999997E-3</v>
      </c>
      <c r="F173" s="206">
        <f>Storage_modulus_G!F173/1000000</f>
        <v>3.6259400000000002E-3</v>
      </c>
      <c r="G173" s="206">
        <f>Storage_modulus_G!G173/1000000</f>
        <v>6.3518300000000001E-3</v>
      </c>
      <c r="H173" s="206">
        <f>Storage_modulus_G!H173/1000000</f>
        <v>1.0408580000000001E-2</v>
      </c>
      <c r="I173" s="206">
        <f>Storage_modulus_G!I173/1000000</f>
        <v>1.6386749999999999E-2</v>
      </c>
      <c r="J173" s="206">
        <f>Storage_modulus_G!J173/1000000</f>
        <v>2.445715E-2</v>
      </c>
      <c r="K173" s="206">
        <f>Storage_modulus_G!K173/1000000</f>
        <v>4.0615860000000004E-2</v>
      </c>
      <c r="L173" s="206">
        <f>Storage_modulus_G!L173/1000000</f>
        <v>5.9815199999999999E-2</v>
      </c>
      <c r="M173" s="206">
        <f>Storage_modulus_G!M173/1000000</f>
        <v>8.2402809999999993E-2</v>
      </c>
      <c r="N173" s="206">
        <f>Storage_modulus_G!N173/1000000</f>
        <v>0.11504547999999999</v>
      </c>
      <c r="O173" s="206">
        <f>Storage_modulus_G!O173/1000000</f>
        <v>0.16061907</v>
      </c>
      <c r="P173" s="206">
        <f>Storage_modulus_G!P173/1000000</f>
        <v>0.20698649999999999</v>
      </c>
      <c r="Q173" s="206">
        <f>Storage_modulus_G!Q173/1000000</f>
        <v>0.25971243999999999</v>
      </c>
      <c r="R173" s="206">
        <f>Storage_modulus_G!R173/1000000</f>
        <v>0.31307773</v>
      </c>
      <c r="S173" s="206">
        <f>Storage_modulus_G!S173/1000000</f>
        <v>0.36746619000000003</v>
      </c>
      <c r="T173" s="207">
        <f>Storage_modulus_G!T173/1000000</f>
        <v>0.43130312999999998</v>
      </c>
      <c r="U173" s="2"/>
    </row>
    <row r="174" spans="1:38" ht="15.75" customHeight="1">
      <c r="A174" s="200">
        <v>29</v>
      </c>
      <c r="B174" s="59">
        <v>2</v>
      </c>
      <c r="C174" s="2">
        <f>Storage_modulus_G!C174/1000000</f>
        <v>1.0134379999999998E-2</v>
      </c>
      <c r="D174" s="2">
        <f>Storage_modulus_G!D174/1000000</f>
        <v>1.173722E-2</v>
      </c>
      <c r="E174" s="2">
        <f>Storage_modulus_G!E174/1000000</f>
        <v>1.553475E-2</v>
      </c>
      <c r="F174" s="2">
        <f>Storage_modulus_G!F174/1000000</f>
        <v>1.872681E-2</v>
      </c>
      <c r="G174" s="2">
        <f>Storage_modulus_G!G174/1000000</f>
        <v>2.5456409999999999E-2</v>
      </c>
      <c r="H174" s="2">
        <f>Storage_modulus_G!H174/1000000</f>
        <v>3.5540589999999997E-2</v>
      </c>
      <c r="I174" s="2">
        <f>Storage_modulus_G!I174/1000000</f>
        <v>4.4593889999999997E-2</v>
      </c>
      <c r="J174" s="2">
        <f>Storage_modulus_G!J174/1000000</f>
        <v>5.7467230000000001E-2</v>
      </c>
      <c r="K174" s="2">
        <f>Storage_modulus_G!K174/1000000</f>
        <v>7.5052009999999988E-2</v>
      </c>
      <c r="L174" s="2">
        <f>Storage_modulus_G!L174/1000000</f>
        <v>9.8017660000000006E-2</v>
      </c>
      <c r="M174" s="2">
        <f>Storage_modulus_G!M174/1000000</f>
        <v>0.12298583</v>
      </c>
      <c r="N174" s="2">
        <f>Storage_modulus_G!N174/1000000</f>
        <v>0.15024899999999999</v>
      </c>
      <c r="O174" s="2">
        <f>Storage_modulus_G!O174/1000000</f>
        <v>0.19622467999999998</v>
      </c>
      <c r="P174" s="2">
        <f>Storage_modulus_G!P174/1000000</f>
        <v>0.24620924</v>
      </c>
      <c r="Q174" s="2">
        <f>Storage_modulus_G!Q174/1000000</f>
        <v>0.28898118</v>
      </c>
      <c r="R174" s="2">
        <f>Storage_modulus_G!R174/1000000</f>
        <v>0.32586932000000002</v>
      </c>
      <c r="S174" s="2">
        <f>Storage_modulus_G!S174/1000000</f>
        <v>0.38247996999999995</v>
      </c>
      <c r="T174" s="208">
        <f>Storage_modulus_G!T174/1000000</f>
        <v>0.45495769000000003</v>
      </c>
      <c r="U174" s="2"/>
    </row>
    <row r="175" spans="1:38" ht="15.75" customHeight="1">
      <c r="A175" s="200">
        <v>29</v>
      </c>
      <c r="B175" s="59">
        <v>3</v>
      </c>
      <c r="C175" s="2">
        <f>Storage_modulus_G!C175/1000000</f>
        <v>2.8325259999999998E-2</v>
      </c>
      <c r="D175" s="2">
        <f>Storage_modulus_G!D175/1000000</f>
        <v>3.1517419999999997E-2</v>
      </c>
      <c r="E175" s="2">
        <f>Storage_modulus_G!E175/1000000</f>
        <v>3.5540589999999997E-2</v>
      </c>
      <c r="F175" s="2">
        <f>Storage_modulus_G!F175/1000000</f>
        <v>4.4002589999999994E-2</v>
      </c>
      <c r="G175" s="2">
        <f>Storage_modulus_G!G175/1000000</f>
        <v>5.3044170000000002E-2</v>
      </c>
      <c r="H175" s="2">
        <f>Storage_modulus_G!H175/1000000</f>
        <v>6.2259109999999999E-2</v>
      </c>
      <c r="I175" s="2">
        <f>Storage_modulus_G!I175/1000000</f>
        <v>7.9168189999999999E-2</v>
      </c>
      <c r="J175" s="2">
        <f>Storage_modulus_G!J175/1000000</f>
        <v>9.1689339999999994E-2</v>
      </c>
      <c r="K175" s="2">
        <f>Storage_modulus_G!K175/1000000</f>
        <v>0.11504547999999999</v>
      </c>
      <c r="L175" s="2">
        <f>Storage_modulus_G!L175/1000000</f>
        <v>0.1350314</v>
      </c>
      <c r="M175" s="2">
        <f>Storage_modulus_G!M175/1000000</f>
        <v>0.17401220000000001</v>
      </c>
      <c r="N175" s="2">
        <f>Storage_modulus_G!N175/1000000</f>
        <v>0.20698649999999999</v>
      </c>
      <c r="O175" s="2">
        <f>Storage_modulus_G!O175/1000000</f>
        <v>0.23340810999999997</v>
      </c>
      <c r="P175" s="2">
        <f>Storage_modulus_G!P175/1000000</f>
        <v>0.2851494</v>
      </c>
      <c r="Q175" s="2">
        <f>Storage_modulus_G!Q175/1000000</f>
        <v>0.32586932000000002</v>
      </c>
      <c r="R175" s="2">
        <f>Storage_modulus_G!R175/1000000</f>
        <v>0.36746619000000003</v>
      </c>
      <c r="S175" s="2">
        <f>Storage_modulus_G!S175/1000000</f>
        <v>0.42558421000000002</v>
      </c>
      <c r="T175" s="208">
        <f>Storage_modulus_G!T175/1000000</f>
        <v>0.4928941</v>
      </c>
      <c r="U175" s="2"/>
    </row>
    <row r="176" spans="1:38" ht="15.75" customHeight="1">
      <c r="A176" s="200">
        <v>29</v>
      </c>
      <c r="B176" s="59">
        <v>4</v>
      </c>
      <c r="C176" s="2">
        <f>Storage_modulus_G!C176/1000000</f>
        <v>0.19886151000000002</v>
      </c>
      <c r="D176" s="2">
        <f>Storage_modulus_G!D176/1000000</f>
        <v>0.21258676999999998</v>
      </c>
      <c r="E176" s="2">
        <f>Storage_modulus_G!E176/1000000</f>
        <v>0.21258676999999998</v>
      </c>
      <c r="F176" s="2">
        <f>Storage_modulus_G!F176/1000000</f>
        <v>0.23340810999999997</v>
      </c>
      <c r="G176" s="2">
        <f>Storage_modulus_G!G176/1000000</f>
        <v>0.24620924</v>
      </c>
      <c r="H176" s="2">
        <f>Storage_modulus_G!H176/1000000</f>
        <v>0.25971243999999999</v>
      </c>
      <c r="I176" s="2">
        <f>Storage_modulus_G!I176/1000000</f>
        <v>0.27395621999999997</v>
      </c>
      <c r="J176" s="2">
        <f>Storage_modulus_G!J176/1000000</f>
        <v>0.28898118</v>
      </c>
      <c r="K176" s="2">
        <f>Storage_modulus_G!K176/1000000</f>
        <v>0.28898118</v>
      </c>
      <c r="L176" s="2">
        <f>Storage_modulus_G!L176/1000000</f>
        <v>0.30483019</v>
      </c>
      <c r="M176" s="2">
        <f>Storage_modulus_G!M176/1000000</f>
        <v>0.32586932000000002</v>
      </c>
      <c r="N176" s="2">
        <f>Storage_modulus_G!N176/1000000</f>
        <v>0.34374143000000001</v>
      </c>
      <c r="O176" s="2">
        <f>Storage_modulus_G!O176/1000000</f>
        <v>0.36746619000000003</v>
      </c>
      <c r="P176" s="2">
        <f>Storage_modulus_G!P176/1000000</f>
        <v>0.40345685999999997</v>
      </c>
      <c r="Q176" s="2">
        <f>Storage_modulus_G!Q176/1000000</f>
        <v>0.44297254999999996</v>
      </c>
      <c r="R176" s="2">
        <f>Storage_modulus_G!R176/1000000</f>
        <v>0.46107133</v>
      </c>
      <c r="S176" s="2">
        <f>Storage_modulus_G!S176/1000000</f>
        <v>0.51303255999999997</v>
      </c>
      <c r="T176" s="208">
        <f>Storage_modulus_G!T176/1000000</f>
        <v>0.57084964999999999</v>
      </c>
      <c r="U176" s="2"/>
    </row>
    <row r="177" spans="1:28" ht="15.75" customHeight="1">
      <c r="A177" s="202">
        <v>29</v>
      </c>
      <c r="B177" s="203">
        <v>5</v>
      </c>
      <c r="C177" s="30">
        <f>Storage_modulus_G!C177/1000000</f>
        <v>7.2105940000000007E-2</v>
      </c>
      <c r="D177" s="30">
        <f>Storage_modulus_G!D177/1000000</f>
        <v>7.6060539999999996E-2</v>
      </c>
      <c r="E177" s="30">
        <f>Storage_modulus_G!E177/1000000</f>
        <v>7.9168189999999999E-2</v>
      </c>
      <c r="F177" s="30">
        <f>Storage_modulus_G!F177/1000000</f>
        <v>8.5769589999999993E-2</v>
      </c>
      <c r="G177" s="30">
        <f>Storage_modulus_G!G177/1000000</f>
        <v>9.6717990000000004E-2</v>
      </c>
      <c r="H177" s="30">
        <f>Storage_modulus_G!H177/1000000</f>
        <v>0.10478277</v>
      </c>
      <c r="I177" s="30">
        <f>Storage_modulus_G!I177/1000000</f>
        <v>0.11974596000000001</v>
      </c>
      <c r="J177" s="30">
        <f>Storage_modulus_G!J177/1000000</f>
        <v>0.13324094</v>
      </c>
      <c r="K177" s="30">
        <f>Storage_modulus_G!K177/1000000</f>
        <v>0.16277744</v>
      </c>
      <c r="L177" s="30">
        <f>Storage_modulus_G!L177/1000000</f>
        <v>0.18852211999999999</v>
      </c>
      <c r="M177" s="30">
        <f>Storage_modulus_G!M177/1000000</f>
        <v>0.20976795000000001</v>
      </c>
      <c r="N177" s="30">
        <f>Storage_modulus_G!N177/1000000</f>
        <v>0.25287071999999999</v>
      </c>
      <c r="O177" s="30">
        <f>Storage_modulus_G!O177/1000000</f>
        <v>0.2851494</v>
      </c>
      <c r="P177" s="30">
        <f>Storage_modulus_G!P177/1000000</f>
        <v>0.34836055999999999</v>
      </c>
      <c r="Q177" s="30">
        <f>Storage_modulus_G!Q177/1000000</f>
        <v>0.39810717000000001</v>
      </c>
      <c r="R177" s="30">
        <f>Storage_modulus_G!R177/1000000</f>
        <v>0.42558421000000002</v>
      </c>
      <c r="S177" s="30">
        <f>Storage_modulus_G!S177/1000000</f>
        <v>0.47990958</v>
      </c>
      <c r="T177" s="209">
        <f>Storage_modulus_G!T177/1000000</f>
        <v>0.54844166000000005</v>
      </c>
      <c r="U177" s="2"/>
    </row>
    <row r="178" spans="1:28" ht="15.75" customHeight="1">
      <c r="A178" s="200">
        <v>30</v>
      </c>
      <c r="B178" s="59">
        <v>1</v>
      </c>
      <c r="C178" s="2">
        <v>2511.9</v>
      </c>
      <c r="D178" s="2">
        <v>2523.81</v>
      </c>
      <c r="E178" s="2">
        <v>2178.5700000000002</v>
      </c>
      <c r="F178" s="2">
        <v>1702.38</v>
      </c>
      <c r="G178" s="2">
        <v>1333.33</v>
      </c>
      <c r="H178" s="2">
        <v>1095.24</v>
      </c>
      <c r="I178" s="2">
        <v>916.67</v>
      </c>
      <c r="J178" s="2">
        <v>702.38</v>
      </c>
      <c r="K178" s="2">
        <v>547.62</v>
      </c>
      <c r="L178" s="2">
        <v>416.67</v>
      </c>
      <c r="M178" s="2">
        <v>333.33</v>
      </c>
      <c r="N178" s="2">
        <v>250</v>
      </c>
      <c r="O178" s="208">
        <v>202.38</v>
      </c>
      <c r="P178" s="2"/>
      <c r="Q178" s="2"/>
      <c r="R178" s="2"/>
      <c r="S178" s="2"/>
      <c r="T178" s="2"/>
    </row>
    <row r="179" spans="1:28" ht="15.75" customHeight="1">
      <c r="A179" s="200">
        <v>30</v>
      </c>
      <c r="B179" s="59">
        <v>2</v>
      </c>
      <c r="C179" s="2">
        <v>5595.24</v>
      </c>
      <c r="D179" s="2">
        <v>5357.14</v>
      </c>
      <c r="E179" s="2">
        <v>4738.1000000000004</v>
      </c>
      <c r="F179" s="2">
        <v>4035.71</v>
      </c>
      <c r="G179" s="2">
        <v>3416.67</v>
      </c>
      <c r="H179" s="2">
        <v>3000</v>
      </c>
      <c r="I179" s="2">
        <v>2464.29</v>
      </c>
      <c r="J179" s="2">
        <v>1964.29</v>
      </c>
      <c r="K179" s="2">
        <v>1547.62</v>
      </c>
      <c r="L179" s="2">
        <v>1261.9000000000001</v>
      </c>
      <c r="M179" s="2">
        <v>1023.81</v>
      </c>
      <c r="N179" s="2">
        <v>785.71</v>
      </c>
      <c r="O179" s="208">
        <v>559.52</v>
      </c>
      <c r="P179" s="2"/>
    </row>
    <row r="180" spans="1:28" ht="15.75" customHeight="1">
      <c r="A180" s="202">
        <v>30</v>
      </c>
      <c r="B180" s="203">
        <v>3</v>
      </c>
      <c r="C180" s="30">
        <v>5738.1</v>
      </c>
      <c r="D180" s="30">
        <v>5511.9</v>
      </c>
      <c r="E180" s="30">
        <v>4916.67</v>
      </c>
      <c r="F180" s="30">
        <v>4226.1899999999996</v>
      </c>
      <c r="G180" s="30">
        <v>3642.86</v>
      </c>
      <c r="H180" s="30">
        <v>3214.29</v>
      </c>
      <c r="I180" s="30">
        <v>2726.19</v>
      </c>
      <c r="J180" s="30">
        <v>2130.9499999999998</v>
      </c>
      <c r="K180" s="30">
        <v>1773.81</v>
      </c>
      <c r="L180" s="30">
        <v>1452.38</v>
      </c>
      <c r="M180" s="30">
        <v>1178.57</v>
      </c>
      <c r="N180" s="30">
        <v>904.76</v>
      </c>
      <c r="O180" s="209">
        <v>690.48</v>
      </c>
      <c r="P180" s="2"/>
    </row>
    <row r="181" spans="1:28" ht="15.75" customHeight="1">
      <c r="A181" s="200">
        <v>31</v>
      </c>
      <c r="B181" s="59">
        <v>1</v>
      </c>
      <c r="C181" s="20">
        <v>1190.48</v>
      </c>
      <c r="D181" s="20">
        <v>1150.79</v>
      </c>
      <c r="E181" s="20">
        <v>1051.5899999999999</v>
      </c>
      <c r="F181" s="20">
        <v>1001.98</v>
      </c>
      <c r="G181" s="20">
        <v>873.02</v>
      </c>
      <c r="H181" s="20">
        <v>803.57</v>
      </c>
      <c r="I181" s="20">
        <v>694.44</v>
      </c>
      <c r="J181" s="20">
        <v>625</v>
      </c>
      <c r="K181" s="20">
        <v>515.87</v>
      </c>
      <c r="L181" s="198">
        <v>476.19</v>
      </c>
      <c r="M181" s="2"/>
      <c r="N181" s="2"/>
      <c r="O181" s="2"/>
    </row>
    <row r="182" spans="1:28" ht="15.75" customHeight="1">
      <c r="A182" s="200">
        <v>31</v>
      </c>
      <c r="B182" s="59">
        <v>2</v>
      </c>
      <c r="C182" s="20">
        <v>1587.3</v>
      </c>
      <c r="D182" s="20">
        <v>1527.78</v>
      </c>
      <c r="E182" s="20">
        <v>1408.73</v>
      </c>
      <c r="F182" s="20">
        <v>1309.52</v>
      </c>
      <c r="G182" s="20">
        <v>1160.71</v>
      </c>
      <c r="H182" s="20">
        <v>1081.3499999999999</v>
      </c>
      <c r="I182" s="20">
        <v>972.22</v>
      </c>
      <c r="J182" s="20">
        <v>863.1</v>
      </c>
      <c r="K182" s="20">
        <v>833.33</v>
      </c>
      <c r="L182" s="198">
        <v>753.97</v>
      </c>
      <c r="M182" s="2"/>
    </row>
    <row r="183" spans="1:28" ht="15.75" customHeight="1">
      <c r="A183" s="200">
        <v>31</v>
      </c>
      <c r="B183" s="59">
        <v>3</v>
      </c>
      <c r="C183" s="20">
        <v>2371.0300000000002</v>
      </c>
      <c r="D183" s="20">
        <v>2281.75</v>
      </c>
      <c r="E183" s="20">
        <v>2172.62</v>
      </c>
      <c r="F183" s="20">
        <v>2073.41</v>
      </c>
      <c r="G183" s="20">
        <v>1855.16</v>
      </c>
      <c r="H183" s="20">
        <v>1716.27</v>
      </c>
      <c r="I183" s="20">
        <v>1527.78</v>
      </c>
      <c r="J183" s="20">
        <v>1359.13</v>
      </c>
      <c r="K183" s="20">
        <v>1220.24</v>
      </c>
      <c r="L183" s="198">
        <v>1140.8699999999999</v>
      </c>
      <c r="M183" s="2"/>
    </row>
    <row r="184" spans="1:28" ht="15.75" customHeight="1">
      <c r="A184" s="200">
        <v>31</v>
      </c>
      <c r="B184" s="59">
        <v>4</v>
      </c>
      <c r="C184" s="20">
        <v>3541.67</v>
      </c>
      <c r="D184" s="20">
        <v>3353.17</v>
      </c>
      <c r="E184" s="20">
        <v>3115.08</v>
      </c>
      <c r="F184" s="20">
        <v>2867.06</v>
      </c>
      <c r="G184" s="20">
        <v>2609.13</v>
      </c>
      <c r="H184" s="20">
        <v>2311.5100000000002</v>
      </c>
      <c r="I184" s="20">
        <v>2083.33</v>
      </c>
      <c r="J184" s="20">
        <v>1865.08</v>
      </c>
      <c r="K184" s="20">
        <v>1696.43</v>
      </c>
      <c r="L184" s="198">
        <v>1547.62</v>
      </c>
      <c r="M184" s="2"/>
    </row>
    <row r="185" spans="1:28" ht="15.75" customHeight="1">
      <c r="A185" s="200">
        <v>31</v>
      </c>
      <c r="B185" s="59">
        <v>5</v>
      </c>
      <c r="C185" s="20">
        <v>4186.51</v>
      </c>
      <c r="D185" s="20">
        <v>4017.86</v>
      </c>
      <c r="E185" s="20">
        <v>3759.92</v>
      </c>
      <c r="F185" s="20">
        <v>3472.22</v>
      </c>
      <c r="G185" s="20">
        <v>3184.52</v>
      </c>
      <c r="H185" s="20">
        <v>2867.06</v>
      </c>
      <c r="I185" s="20">
        <v>2619.0500000000002</v>
      </c>
      <c r="J185" s="20">
        <v>2380.9499999999998</v>
      </c>
      <c r="K185" s="26">
        <v>2162.6999999999998</v>
      </c>
      <c r="L185" s="204">
        <v>2013.89</v>
      </c>
      <c r="M185" s="2"/>
    </row>
    <row r="186" spans="1:28" ht="15.75" customHeight="1">
      <c r="A186" s="177">
        <v>32</v>
      </c>
      <c r="B186" s="178">
        <v>1</v>
      </c>
      <c r="C186" s="206"/>
      <c r="D186" s="206"/>
      <c r="E186" s="206"/>
      <c r="F186" s="206"/>
      <c r="G186" s="194">
        <v>2054</v>
      </c>
      <c r="H186" s="206"/>
      <c r="I186" s="206"/>
      <c r="J186" s="207"/>
      <c r="K186" s="2"/>
      <c r="L186" s="2"/>
    </row>
    <row r="187" spans="1:28" ht="15.75" customHeight="1">
      <c r="A187" s="174">
        <v>32</v>
      </c>
      <c r="B187" s="179">
        <v>2</v>
      </c>
      <c r="C187" s="2">
        <v>4652.4059999999999</v>
      </c>
      <c r="D187" s="2">
        <v>4625.6679999999997</v>
      </c>
      <c r="E187" s="2">
        <v>4318.1819999999998</v>
      </c>
      <c r="F187" s="2">
        <v>3910.4279999999999</v>
      </c>
      <c r="G187" s="2">
        <v>2627.0050000000001</v>
      </c>
      <c r="H187" s="2">
        <v>1664.4390000000001</v>
      </c>
      <c r="I187" s="2">
        <v>1076.203</v>
      </c>
      <c r="J187" s="208">
        <v>755.34799999999996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8" ht="15.75" customHeight="1">
      <c r="A188" s="201">
        <v>33</v>
      </c>
      <c r="B188" s="178">
        <v>1</v>
      </c>
      <c r="C188" s="206">
        <f>Storage_modulus_G!C188/1000000</f>
        <v>1.6500000000000001E-7</v>
      </c>
      <c r="D188" s="206">
        <f>Storage_modulus_G!D188/1000000</f>
        <v>4.4700000000000002E-7</v>
      </c>
      <c r="E188" s="206">
        <f>Storage_modulus_G!E188/1000000</f>
        <v>1.099E-6</v>
      </c>
      <c r="F188" s="206">
        <f>Storage_modulus_G!F188/1000000</f>
        <v>1.9350000000000001E-6</v>
      </c>
      <c r="G188" s="206">
        <f>Storage_modulus_G!G188/1000000</f>
        <v>4.4480000000000004E-6</v>
      </c>
      <c r="H188" s="206">
        <f>Storage_modulus_G!H188/1000000</f>
        <v>6.8570000000000006E-6</v>
      </c>
      <c r="I188" s="206">
        <f>Storage_modulus_G!I188/1000000</f>
        <v>1.0928000000000001E-5</v>
      </c>
      <c r="J188" s="206">
        <f>Storage_modulus_G!J188/1000000</f>
        <v>1.4746000000000001E-5</v>
      </c>
      <c r="K188" s="206">
        <f>Storage_modulus_G!K188/1000000</f>
        <v>2.0571E-5</v>
      </c>
      <c r="L188" s="206">
        <f>Storage_modulus_G!L188/1000000</f>
        <v>2.5969000000000002E-5</v>
      </c>
      <c r="M188" s="206">
        <f>Storage_modulus_G!M188/1000000</f>
        <v>3.2783999999999996E-5</v>
      </c>
      <c r="N188" s="206">
        <f>Storage_modulus_G!N188/1000000</f>
        <v>5.0537999999999996E-5</v>
      </c>
      <c r="O188" s="206">
        <f>Storage_modulus_G!O188/1000000</f>
        <v>9.201399999999999E-5</v>
      </c>
      <c r="P188" s="206">
        <f>Storage_modulus_G!P188/1000000</f>
        <v>1.5674000000000002E-4</v>
      </c>
      <c r="Q188" s="206">
        <f>Storage_modulus_G!Q188/1000000</f>
        <v>3.1535199999999997E-4</v>
      </c>
      <c r="R188" s="206">
        <f>Storage_modulus_G!R188/1000000</f>
        <v>7.24838E-4</v>
      </c>
      <c r="S188" s="206">
        <f>Storage_modulus_G!S188/1000000</f>
        <v>1.1551829999999999E-3</v>
      </c>
      <c r="T188" s="206">
        <f>Storage_modulus_G!T188/1000000</f>
        <v>2.4841669999999998E-3</v>
      </c>
      <c r="U188" s="206">
        <f>Storage_modulus_G!U188/1000000</f>
        <v>4.2316139999999999E-3</v>
      </c>
      <c r="V188" s="206">
        <f>Storage_modulus_G!V188/1000000</f>
        <v>6.3095730000000006E-3</v>
      </c>
      <c r="W188" s="206">
        <f>Storage_modulus_G!W188/1000000</f>
        <v>1.0055638E-2</v>
      </c>
      <c r="X188" s="206">
        <f>Storage_modulus_G!X188/1000000</f>
        <v>1.5501061999999999E-2</v>
      </c>
      <c r="Y188" s="206">
        <f>Storage_modulus_G!Y188/1000000</f>
        <v>3.6835372000000005E-2</v>
      </c>
      <c r="Z188" s="206">
        <f>Storage_modulus_G!Z188/1000000</f>
        <v>7.1683910000000003E-2</v>
      </c>
      <c r="AA188" s="207">
        <f>Storage_modulus_G!AA188/1000000</f>
        <v>0.245675272</v>
      </c>
      <c r="AB188" s="2"/>
    </row>
    <row r="189" spans="1:28" ht="15.75" customHeight="1">
      <c r="A189" s="200">
        <v>33</v>
      </c>
      <c r="B189" s="179">
        <v>2</v>
      </c>
      <c r="C189" s="2">
        <f>Storage_modulus_G!C189/1000000</f>
        <v>1.0279999999999999E-6</v>
      </c>
      <c r="D189" s="2">
        <f>Storage_modulus_G!D189/1000000</f>
        <v>2.4430000000000002E-6</v>
      </c>
      <c r="E189" s="2">
        <f>Storage_modulus_G!E189/1000000</f>
        <v>4.5990000000000004E-6</v>
      </c>
      <c r="F189" s="2">
        <f>Storage_modulus_G!F189/1000000</f>
        <v>8.6570000000000003E-6</v>
      </c>
      <c r="G189" s="2">
        <f>Storage_modulus_G!G189/1000000</f>
        <v>1.4746000000000001E-5</v>
      </c>
      <c r="H189" s="2">
        <f>Storage_modulus_G!H189/1000000</f>
        <v>2.8697E-5</v>
      </c>
      <c r="I189" s="2">
        <f>Storage_modulus_G!I189/1000000</f>
        <v>5.4017000000000001E-5</v>
      </c>
      <c r="J189" s="2">
        <f>Storage_modulus_G!J189/1000000</f>
        <v>1.01678E-4</v>
      </c>
      <c r="K189" s="2">
        <f>Storage_modulus_G!K189/1000000</f>
        <v>2.2605600000000001E-4</v>
      </c>
      <c r="L189" s="2">
        <f>Storage_modulus_G!L189/1000000</f>
        <v>3.9810700000000003E-4</v>
      </c>
      <c r="M189" s="2">
        <f>Storage_modulus_G!M189/1000000</f>
        <v>6.5594500000000001E-4</v>
      </c>
      <c r="N189" s="2">
        <f>Storage_modulus_G!N189/1000000</f>
        <v>1.1173589999999998E-3</v>
      </c>
      <c r="O189" s="2">
        <f>Storage_modulus_G!O189/1000000</f>
        <v>2.1744499999999996E-3</v>
      </c>
      <c r="P189" s="2">
        <f>Storage_modulus_G!P189/1000000</f>
        <v>3.829416E-3</v>
      </c>
      <c r="Q189" s="2">
        <f>Storage_modulus_G!Q189/1000000</f>
        <v>5.3420860000000002E-3</v>
      </c>
      <c r="R189" s="2">
        <f>Storage_modulus_G!R189/1000000</f>
        <v>7.4522799999999995E-3</v>
      </c>
      <c r="S189" s="2">
        <f>Storage_modulus_G!S189/1000000</f>
        <v>1.0396029000000001E-2</v>
      </c>
      <c r="T189" s="2">
        <f>Storage_modulus_G!T189/1000000</f>
        <v>1.6025784000000001E-2</v>
      </c>
      <c r="U189" s="2">
        <f>Storage_modulus_G!U189/1000000</f>
        <v>2.4704216000000001E-2</v>
      </c>
      <c r="V189" s="2">
        <f>Storage_modulus_G!V189/1000000</f>
        <v>3.1187164999999999E-2</v>
      </c>
      <c r="W189" s="2">
        <f>Storage_modulus_G!W189/1000000</f>
        <v>0.103385071</v>
      </c>
      <c r="X189" s="2">
        <f>Storage_modulus_G!X189/1000000</f>
        <v>0.11424345399999999</v>
      </c>
      <c r="Y189" s="2">
        <f>Storage_modulus_G!Y189/1000000</f>
        <v>0.130515668</v>
      </c>
      <c r="Z189" s="2">
        <f>Storage_modulus_G!Z189/1000000</f>
        <v>0.13950131899999998</v>
      </c>
      <c r="AA189" s="208">
        <f>Storage_modulus_G!AA189/1000000</f>
        <v>0.18823431400000001</v>
      </c>
      <c r="AB189" s="2"/>
    </row>
    <row r="190" spans="1:28" ht="15.75" customHeight="1">
      <c r="A190" s="200">
        <v>33</v>
      </c>
      <c r="B190" s="179">
        <v>3</v>
      </c>
      <c r="C190" s="2">
        <f>Storage_modulus_G!C190/1000000</f>
        <v>1.483E-6</v>
      </c>
      <c r="D190" s="2">
        <f>Storage_modulus_G!D190/1000000</f>
        <v>3.2969999999999999E-6</v>
      </c>
      <c r="E190" s="2">
        <f>Storage_modulus_G!E190/1000000</f>
        <v>6.4150000000000004E-6</v>
      </c>
      <c r="F190" s="2">
        <f>Storage_modulus_G!F190/1000000</f>
        <v>1.2907999999999999E-5</v>
      </c>
      <c r="G190" s="2">
        <f>Storage_modulus_G!G190/1000000</f>
        <v>2.1986999999999998E-5</v>
      </c>
      <c r="H190" s="2">
        <f>Storage_modulus_G!H190/1000000</f>
        <v>4.4237000000000004E-5</v>
      </c>
      <c r="I190" s="2">
        <f>Storage_modulus_G!I190/1000000</f>
        <v>7.7905000000000007E-5</v>
      </c>
      <c r="J190" s="2">
        <f>Storage_modulus_G!J190/1000000</f>
        <v>1.46644E-4</v>
      </c>
      <c r="K190" s="2">
        <f>Storage_modulus_G!K190/1000000</f>
        <v>2.18655E-4</v>
      </c>
      <c r="L190" s="2">
        <f>Storage_modulus_G!L190/1000000</f>
        <v>3.8507200000000003E-4</v>
      </c>
      <c r="M190" s="2">
        <f>Storage_modulus_G!M190/1000000</f>
        <v>6.3446800000000001E-4</v>
      </c>
      <c r="N190" s="2">
        <f>Storage_modulus_G!N190/1000000</f>
        <v>1.3197199999999999E-3</v>
      </c>
      <c r="O190" s="2">
        <f>Storage_modulus_G!O190/1000000</f>
        <v>2.1032530000000002E-3</v>
      </c>
      <c r="P190" s="2">
        <f>Storage_modulus_G!P190/1000000</f>
        <v>3.4654450000000002E-3</v>
      </c>
      <c r="Q190" s="2">
        <f>Storage_modulus_G!Q190/1000000</f>
        <v>6.7439709999999996E-3</v>
      </c>
      <c r="R190" s="2">
        <f>Storage_modulus_G!R190/1000000</f>
        <v>9.7263929999999998E-3</v>
      </c>
      <c r="S190" s="2">
        <f>Storage_modulus_G!S190/1000000</f>
        <v>1.5501061999999999E-2</v>
      </c>
      <c r="T190" s="2">
        <f>Storage_modulus_G!T190/1000000</f>
        <v>2.5540472000000002E-2</v>
      </c>
      <c r="U190" s="2">
        <f>Storage_modulus_G!U190/1000000</f>
        <v>3.4462708000000002E-2</v>
      </c>
      <c r="V190" s="2">
        <f>Storage_modulus_G!V190/1000000</f>
        <v>4.6501811999999997E-2</v>
      </c>
      <c r="W190" s="2">
        <f>Storage_modulus_G!W190/1000000</f>
        <v>0.11811067600000001</v>
      </c>
      <c r="X190" s="2">
        <f>Storage_modulus_G!X190/1000000</f>
        <v>0.13493371599999998</v>
      </c>
      <c r="Y190" s="2">
        <f>Storage_modulus_G!Y190/1000000</f>
        <v>0.17610964100000001</v>
      </c>
      <c r="Z190" s="2">
        <f>Storage_modulus_G!Z190/1000000</f>
        <v>0.19460617899999999</v>
      </c>
      <c r="AA190" s="208">
        <f>Storage_modulus_G!AA190/1000000</f>
        <v>0.23763128400000003</v>
      </c>
      <c r="AB190" s="2"/>
    </row>
    <row r="191" spans="1:28" ht="15.75" customHeight="1">
      <c r="A191" s="200">
        <v>33</v>
      </c>
      <c r="B191" s="179">
        <v>4</v>
      </c>
      <c r="C191" s="2">
        <f>Storage_modulus_G!C191/1000000</f>
        <v>1.234714E-3</v>
      </c>
      <c r="D191" s="2">
        <f>Storage_modulus_G!D191/1000000</f>
        <v>1.1173589999999998E-3</v>
      </c>
      <c r="E191" s="2">
        <f>Storage_modulus_G!E191/1000000</f>
        <v>1.3643940000000001E-3</v>
      </c>
      <c r="F191" s="2">
        <f>Storage_modulus_G!F191/1000000</f>
        <v>1.458329E-3</v>
      </c>
      <c r="G191" s="2">
        <f>Storage_modulus_G!G191/1000000</f>
        <v>1.6114949999999999E-3</v>
      </c>
      <c r="H191" s="2">
        <f>Storage_modulus_G!H191/1000000</f>
        <v>1.780748E-3</v>
      </c>
      <c r="I191" s="2">
        <f>Storage_modulus_G!I191/1000000</f>
        <v>1.967777E-3</v>
      </c>
      <c r="J191" s="2">
        <f>Storage_modulus_G!J191/1000000</f>
        <v>2.4841669999999998E-3</v>
      </c>
      <c r="K191" s="2">
        <f>Storage_modulus_G!K191/1000000</f>
        <v>3.0333859999999999E-3</v>
      </c>
      <c r="L191" s="2">
        <f>Storage_modulus_G!L191/1000000</f>
        <v>3.4654450000000002E-3</v>
      </c>
      <c r="M191" s="2">
        <f>Storage_modulus_G!M191/1000000</f>
        <v>4.5229489999999992E-3</v>
      </c>
      <c r="N191" s="2">
        <f>Storage_modulus_G!N191/1000000</f>
        <v>5.5229190000000003E-3</v>
      </c>
      <c r="O191" s="2">
        <f>Storage_modulus_G!O191/1000000</f>
        <v>8.2349820000000001E-3</v>
      </c>
      <c r="P191" s="2">
        <f>Storage_modulus_G!P191/1000000</f>
        <v>1.0396029000000001E-2</v>
      </c>
      <c r="Q191" s="2">
        <f>Storage_modulus_G!Q191/1000000</f>
        <v>1.3568446E-2</v>
      </c>
      <c r="R191" s="2">
        <f>Storage_modulus_G!R191/1000000</f>
        <v>2.1624186E-2</v>
      </c>
      <c r="S191" s="2">
        <f>Storage_modulus_G!S191/1000000</f>
        <v>2.822295E-2</v>
      </c>
      <c r="T191" s="2">
        <f>Storage_modulus_G!T191/1000000</f>
        <v>3.9371388E-2</v>
      </c>
      <c r="U191" s="2">
        <f>Storage_modulus_G!U191/1000000</f>
        <v>5.3125276999999999E-2</v>
      </c>
      <c r="V191" s="2">
        <f>Storage_modulus_G!V191/1000000</f>
        <v>6.4870642000000006E-2</v>
      </c>
      <c r="W191" s="30">
        <f>Storage_modulus_G!W191/1000000</f>
        <v>9.3558733999999991E-2</v>
      </c>
      <c r="X191" s="30">
        <f>Storage_modulus_G!X191/1000000</f>
        <v>0.10688473</v>
      </c>
      <c r="Y191" s="30">
        <f>Storage_modulus_G!Y191/1000000</f>
        <v>0.130515668</v>
      </c>
      <c r="Z191" s="30">
        <f>Storage_modulus_G!Z191/1000000</f>
        <v>0.14422353800000001</v>
      </c>
      <c r="AA191" s="209">
        <f>Storage_modulus_G!AA191/1000000</f>
        <v>0.14422353800000001</v>
      </c>
      <c r="AB191" s="2"/>
    </row>
    <row r="192" spans="1:28" ht="15.75" customHeight="1">
      <c r="A192" s="177">
        <v>34</v>
      </c>
      <c r="B192" s="178">
        <v>1</v>
      </c>
      <c r="C192" s="206">
        <f>Storage_modulus_G!C192/1000000</f>
        <v>1.2914999999999999E-5</v>
      </c>
      <c r="D192" s="206">
        <f>Storage_modulus_G!D192/1000000</f>
        <v>1.6237999999999999E-5</v>
      </c>
      <c r="E192" s="206">
        <f>Storage_modulus_G!E192/1000000</f>
        <v>2.3045E-5</v>
      </c>
      <c r="F192" s="206">
        <f>Storage_modulus_G!F192/1000000</f>
        <v>3.4514999999999997E-5</v>
      </c>
      <c r="G192" s="206">
        <f>Storage_modulus_G!G192/1000000</f>
        <v>5.0322000000000004E-5</v>
      </c>
      <c r="H192" s="206">
        <f>Storage_modulus_G!H192/1000000</f>
        <v>7.9540000000000001E-5</v>
      </c>
      <c r="I192" s="206">
        <f>Storage_modulus_G!I192/1000000</f>
        <v>1.30906E-4</v>
      </c>
      <c r="J192" s="206">
        <f>Storage_modulus_G!J192/1000000</f>
        <v>2.2432499999999999E-4</v>
      </c>
      <c r="K192" s="206">
        <f>Storage_modulus_G!K192/1000000</f>
        <v>3.9490400000000001E-4</v>
      </c>
      <c r="L192" s="206">
        <f>Storage_modulus_G!L192/1000000</f>
        <v>6.7672100000000003E-4</v>
      </c>
      <c r="M192" s="206">
        <f>Storage_modulus_G!M192/1000000</f>
        <v>1.191306E-3</v>
      </c>
      <c r="N192" s="206">
        <f>Storage_modulus_G!N192/1000000</f>
        <v>2.125619E-3</v>
      </c>
      <c r="O192" s="206">
        <f>Storage_modulus_G!O192/1000000</f>
        <v>3.5938139999999999E-3</v>
      </c>
      <c r="P192" s="206">
        <f>Storage_modulus_G!P192/1000000</f>
        <v>6.0761109999999995E-3</v>
      </c>
      <c r="Q192" s="206">
        <f>Storage_modulus_G!Q192/1000000</f>
        <v>1.0135565000000001E-2</v>
      </c>
      <c r="R192" s="206">
        <f>Storage_modulus_G!R192/1000000</f>
        <v>1.5386311E-2</v>
      </c>
      <c r="S192" s="206">
        <f>Storage_modulus_G!S192/1000000</f>
        <v>2.3994790000000002E-2</v>
      </c>
      <c r="T192" s="206">
        <f>Storage_modulus_G!T192/1000000</f>
        <v>3.4515302999999997E-2</v>
      </c>
      <c r="U192" s="206">
        <f>Storage_modulus_G!U192/1000000</f>
        <v>5.4555948E-2</v>
      </c>
      <c r="V192" s="207">
        <f>Storage_modulus_G!V192/1000000</f>
        <v>7.8475997000000006E-2</v>
      </c>
      <c r="W192" s="2"/>
      <c r="X192" s="2"/>
      <c r="Y192" s="2"/>
      <c r="Z192" s="2"/>
      <c r="AA192" s="2"/>
    </row>
    <row r="193" spans="1:35" ht="15.75" customHeight="1">
      <c r="A193" s="174">
        <v>34</v>
      </c>
      <c r="B193" s="179">
        <v>2</v>
      </c>
      <c r="C193" s="2">
        <f>Storage_modulus_G!C193/1000000</f>
        <v>3.5314000000000001E-5</v>
      </c>
      <c r="D193" s="2">
        <f>Storage_modulus_G!D193/1000000</f>
        <v>4.6612E-5</v>
      </c>
      <c r="E193" s="2">
        <f>Storage_modulus_G!E193/1000000</f>
        <v>6.0752000000000004E-5</v>
      </c>
      <c r="F193" s="2">
        <f>Storage_modulus_G!F193/1000000</f>
        <v>8.3281000000000004E-5</v>
      </c>
      <c r="G193" s="2">
        <f>Storage_modulus_G!G193/1000000</f>
        <v>1.20075E-4</v>
      </c>
      <c r="H193" s="2">
        <f>Storage_modulus_G!H193/1000000</f>
        <v>1.73124E-4</v>
      </c>
      <c r="I193" s="2">
        <f>Storage_modulus_G!I193/1000000</f>
        <v>2.7265699999999999E-4</v>
      </c>
      <c r="J193" s="2">
        <f>Storage_modulus_G!J193/1000000</f>
        <v>4.40388E-4</v>
      </c>
      <c r="K193" s="2">
        <f>Storage_modulus_G!K193/1000000</f>
        <v>7.0238500000000003E-4</v>
      </c>
      <c r="L193" s="2">
        <f>Storage_modulus_G!L193/1000000</f>
        <v>1.1344739999999999E-3</v>
      </c>
      <c r="M193" s="2">
        <f>Storage_modulus_G!M193/1000000</f>
        <v>1.7643119999999999E-3</v>
      </c>
      <c r="N193" s="2">
        <f>Storage_modulus_G!N193/1000000</f>
        <v>2.709422E-3</v>
      </c>
      <c r="O193" s="2">
        <f>Storage_modulus_G!O193/1000000</f>
        <v>3.4871109999999998E-3</v>
      </c>
      <c r="P193" s="2">
        <f>Storage_modulus_G!P193/1000000</f>
        <v>4.4880200000000006E-3</v>
      </c>
      <c r="Q193" s="2">
        <f>Storage_modulus_G!Q193/1000000</f>
        <v>5.423087E-3</v>
      </c>
      <c r="R193" s="2">
        <f>Storage_modulus_G!R193/1000000</f>
        <v>7.2489309999999993E-3</v>
      </c>
      <c r="S193" s="2">
        <f>Storage_modulus_G!S193/1000000</f>
        <v>9.4480559999999998E-3</v>
      </c>
      <c r="T193" s="2">
        <f>Storage_modulus_G!T193/1000000</f>
        <v>1.3116206E-2</v>
      </c>
      <c r="U193" s="2">
        <f>Storage_modulus_G!U193/1000000</f>
        <v>2.2564444999999999E-2</v>
      </c>
      <c r="V193" s="208">
        <f>Storage_modulus_G!V193/1000000</f>
        <v>4.4597968000000002E-2</v>
      </c>
      <c r="W193" s="2"/>
    </row>
    <row r="194" spans="1:35" ht="15.75" customHeight="1">
      <c r="A194" s="174">
        <v>34</v>
      </c>
      <c r="B194" s="179">
        <v>3</v>
      </c>
      <c r="C194" s="2">
        <f>Storage_modulus_G!C194/1000000</f>
        <v>9.0447999999999999E-5</v>
      </c>
      <c r="D194" s="2">
        <f>Storage_modulus_G!D194/1000000</f>
        <v>1.1273E-4</v>
      </c>
      <c r="E194" s="2">
        <f>Storage_modulus_G!E194/1000000</f>
        <v>1.5185700000000001E-4</v>
      </c>
      <c r="F194" s="2">
        <f>Storage_modulus_G!F194/1000000</f>
        <v>2.12671E-4</v>
      </c>
      <c r="G194" s="2">
        <f>Storage_modulus_G!G194/1000000</f>
        <v>2.9022100000000001E-4</v>
      </c>
      <c r="H194" s="2">
        <f>Storage_modulus_G!H194/1000000</f>
        <v>4.1711200000000003E-4</v>
      </c>
      <c r="I194" s="2">
        <f>Storage_modulus_G!I194/1000000</f>
        <v>5.9948400000000006E-4</v>
      </c>
      <c r="J194" s="2">
        <f>Storage_modulus_G!J194/1000000</f>
        <v>8.7282699999999996E-4</v>
      </c>
      <c r="K194" s="2">
        <f>Storage_modulus_G!K194/1000000</f>
        <v>1.321163E-3</v>
      </c>
      <c r="L194" s="2">
        <f>Storage_modulus_G!L194/1000000</f>
        <v>2.025865E-3</v>
      </c>
      <c r="M194" s="2">
        <f>Storage_modulus_G!M194/1000000</f>
        <v>3.027002E-3</v>
      </c>
      <c r="N194" s="2">
        <f>Storage_modulus_G!N194/1000000</f>
        <v>4.6415889999999998E-3</v>
      </c>
      <c r="O194" s="2">
        <f>Storage_modulus_G!O194/1000000</f>
        <v>6.9353590000000003E-3</v>
      </c>
      <c r="P194" s="2">
        <f>Storage_modulus_G!P194/1000000</f>
        <v>1.0634642999999999E-2</v>
      </c>
      <c r="Q194" s="2">
        <f>Storage_modulus_G!Q194/1000000</f>
        <v>1.528437E-2</v>
      </c>
      <c r="R194" s="2">
        <f>Storage_modulus_G!R194/1000000</f>
        <v>2.0857806999999999E-2</v>
      </c>
      <c r="S194" s="2">
        <f>Storage_modulus_G!S194/1000000</f>
        <v>2.8097252E-2</v>
      </c>
      <c r="T194" s="2">
        <f>Storage_modulus_G!T194/1000000</f>
        <v>3.6406710000000002E-2</v>
      </c>
      <c r="U194" s="2">
        <f>Storage_modulus_G!U194/1000000</f>
        <v>4.0908574000000003E-2</v>
      </c>
      <c r="V194" s="208"/>
      <c r="W194" s="2"/>
    </row>
    <row r="195" spans="1:35" ht="15.75" customHeight="1">
      <c r="A195" s="174">
        <v>34</v>
      </c>
      <c r="B195" s="179">
        <v>4</v>
      </c>
      <c r="C195" s="2">
        <f>Storage_modulus_G!C195/1000000</f>
        <v>3.445652E-3</v>
      </c>
      <c r="D195" s="2">
        <f>Storage_modulus_G!D195/1000000</f>
        <v>4.0251489999999996E-3</v>
      </c>
      <c r="E195" s="2">
        <f>Storage_modulus_G!E195/1000000</f>
        <v>4.8255219999999996E-3</v>
      </c>
      <c r="F195" s="2">
        <f>Storage_modulus_G!F195/1000000</f>
        <v>5.4222209999999996E-3</v>
      </c>
      <c r="G195" s="2">
        <f>Storage_modulus_G!G195/1000000</f>
        <v>6.2526180000000006E-3</v>
      </c>
      <c r="H195" s="2">
        <f>Storage_modulus_G!H195/1000000</f>
        <v>6.9353590000000003E-3</v>
      </c>
      <c r="I195" s="2">
        <f>Storage_modulus_G!I195/1000000</f>
        <v>7.8945559999999988E-3</v>
      </c>
      <c r="J195" s="2">
        <f>Storage_modulus_G!J195/1000000</f>
        <v>9.1035830000000002E-3</v>
      </c>
      <c r="K195" s="2">
        <f>Storage_modulus_G!K195/1000000</f>
        <v>1.0097629E-2</v>
      </c>
      <c r="L195" s="2">
        <f>Storage_modulus_G!L195/1000000</f>
        <v>1.1494184999999999E-2</v>
      </c>
      <c r="M195" s="2">
        <f>Storage_modulus_G!M195/1000000</f>
        <v>1.3254485E-2</v>
      </c>
      <c r="N195" s="2">
        <f>Storage_modulus_G!N195/1000000</f>
        <v>1.4893466000000001E-2</v>
      </c>
      <c r="O195" s="2">
        <f>Storage_modulus_G!O195/1000000</f>
        <v>1.7625124999999998E-2</v>
      </c>
      <c r="P195" s="2">
        <f>Storage_modulus_G!P195/1000000</f>
        <v>1.9804556000000001E-2</v>
      </c>
      <c r="Q195" s="2">
        <f>Storage_modulus_G!Q195/1000000</f>
        <v>2.2837564999999997E-2</v>
      </c>
      <c r="R195" s="2">
        <f>Storage_modulus_G!R195/1000000</f>
        <v>2.5661539000000001E-2</v>
      </c>
      <c r="S195" s="2">
        <f>Storage_modulus_G!S195/1000000</f>
        <v>2.9591526999999999E-2</v>
      </c>
      <c r="T195" s="2">
        <f>Storage_modulus_G!T195/1000000</f>
        <v>3.1165268999999999E-2</v>
      </c>
      <c r="U195" s="2">
        <f>Storage_modulus_G!U195/1000000</f>
        <v>3.1571612999999998E-2</v>
      </c>
      <c r="V195" s="208">
        <f>Storage_modulus_G!V195/1000000</f>
        <v>3.0368205000000002E-2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5" ht="15.75" customHeight="1">
      <c r="A196" s="201">
        <v>35</v>
      </c>
      <c r="B196" s="58">
        <v>1</v>
      </c>
      <c r="C196" s="127">
        <f>Storage_modulus_G!C196/1000000</f>
        <v>4.5000000000000003E-7</v>
      </c>
      <c r="D196" s="206">
        <f>Storage_modulus_G!D196/1000000</f>
        <v>4.2E-7</v>
      </c>
      <c r="E196" s="206">
        <f>Storage_modulus_G!E196/1000000</f>
        <v>4.0999999999999999E-7</v>
      </c>
      <c r="F196" s="206">
        <f>Storage_modulus_G!F196/1000000</f>
        <v>4.2E-7</v>
      </c>
      <c r="G196" s="206">
        <f>Storage_modulus_G!G196/1000000</f>
        <v>4.0999999999999999E-7</v>
      </c>
      <c r="H196" s="206">
        <f>Storage_modulus_G!H196/1000000</f>
        <v>4.6000000000000004E-7</v>
      </c>
      <c r="I196" s="206">
        <f>Storage_modulus_G!I196/1000000</f>
        <v>4.4000000000000002E-7</v>
      </c>
      <c r="J196" s="206">
        <f>Storage_modulus_G!J196/1000000</f>
        <v>4.6000000000000004E-7</v>
      </c>
      <c r="K196" s="206">
        <f>Storage_modulus_G!K196/1000000</f>
        <v>4.9999999999999998E-7</v>
      </c>
      <c r="L196" s="206">
        <f>Storage_modulus_G!L196/1000000</f>
        <v>4.5000000000000003E-7</v>
      </c>
      <c r="M196" s="206">
        <f>Storage_modulus_G!M196/1000000</f>
        <v>4.5000000000000003E-7</v>
      </c>
      <c r="N196" s="206">
        <f>Storage_modulus_G!N196/1000000</f>
        <v>5.5000000000000003E-7</v>
      </c>
      <c r="O196" s="206">
        <f>Storage_modulus_G!O196/1000000</f>
        <v>4.9999999999999998E-7</v>
      </c>
      <c r="P196" s="206">
        <f>Storage_modulus_G!P196/1000000</f>
        <v>4.5000000000000003E-7</v>
      </c>
      <c r="Q196" s="206">
        <f>Storage_modulus_G!Q196/1000000</f>
        <v>4.4000000000000002E-7</v>
      </c>
      <c r="R196" s="206">
        <f>Storage_modulus_G!R196/1000000</f>
        <v>4.4000000000000002E-7</v>
      </c>
      <c r="S196" s="206">
        <f>Storage_modulus_G!S196/1000000</f>
        <v>4.8999999999999997E-7</v>
      </c>
      <c r="T196" s="206">
        <f>Storage_modulus_G!T196/1000000</f>
        <v>4.8999999999999997E-7</v>
      </c>
      <c r="U196" s="206">
        <f>Storage_modulus_G!U196/1000000</f>
        <v>5.2E-7</v>
      </c>
      <c r="V196" s="206">
        <f>Storage_modulus_G!V196/1000000</f>
        <v>5.6999999999999994E-7</v>
      </c>
      <c r="W196" s="206">
        <f>Storage_modulus_G!W196/1000000</f>
        <v>6.3E-7</v>
      </c>
      <c r="X196" s="206">
        <f>Storage_modulus_G!X196/1000000</f>
        <v>6.8000000000000005E-7</v>
      </c>
      <c r="Y196" s="206">
        <f>Storage_modulus_G!Y196/1000000</f>
        <v>7.5000000000000002E-7</v>
      </c>
      <c r="Z196" s="206">
        <f>Storage_modulus_G!Z196/1000000</f>
        <v>8.2999999999999999E-7</v>
      </c>
      <c r="AA196" s="206">
        <f>Storage_modulus_G!AA196/1000000</f>
        <v>8.1999999999999998E-7</v>
      </c>
      <c r="AB196" s="206">
        <f>Storage_modulus_G!AB196/1000000</f>
        <v>9.499999999999999E-7</v>
      </c>
      <c r="AC196" s="206">
        <f>Storage_modulus_G!AC196/1000000</f>
        <v>9.7000000000000003E-7</v>
      </c>
      <c r="AD196" s="206">
        <f>Storage_modulus_G!AD196/1000000</f>
        <v>9.7999999999999993E-7</v>
      </c>
      <c r="AE196" s="206">
        <f>Storage_modulus_G!AE196/1000000</f>
        <v>9.7000000000000003E-7</v>
      </c>
      <c r="AF196" s="206">
        <f>Storage_modulus_G!AF196/1000000</f>
        <v>1.3600000000000001E-6</v>
      </c>
      <c r="AG196" s="206">
        <f>Storage_modulus_G!AG196/1000000</f>
        <v>1.33E-6</v>
      </c>
      <c r="AH196" s="207">
        <f>Storage_modulus_G!AH196/1000000</f>
        <v>2.4900000000000003E-6</v>
      </c>
      <c r="AI196" s="2"/>
    </row>
    <row r="197" spans="1:35" ht="15.75" customHeight="1">
      <c r="A197" s="200">
        <v>35</v>
      </c>
      <c r="B197" s="59">
        <v>2</v>
      </c>
      <c r="C197" s="48">
        <f>Storage_modulus_G!C197/1000000</f>
        <v>4.8999999999999997E-7</v>
      </c>
      <c r="D197" s="2">
        <f>Storage_modulus_G!D197/1000000</f>
        <v>4.7999999999999996E-7</v>
      </c>
      <c r="E197" s="2">
        <f>Storage_modulus_G!E197/1000000</f>
        <v>4.7999999999999996E-7</v>
      </c>
      <c r="F197" s="2">
        <f>Storage_modulus_G!F197/1000000</f>
        <v>4.6000000000000004E-7</v>
      </c>
      <c r="G197" s="2">
        <f>Storage_modulus_G!G197/1000000</f>
        <v>4.6000000000000004E-7</v>
      </c>
      <c r="H197" s="2">
        <f>Storage_modulus_G!H197/1000000</f>
        <v>4.3000000000000001E-7</v>
      </c>
      <c r="I197" s="2">
        <f>Storage_modulus_G!I197/1000000</f>
        <v>4.3000000000000001E-7</v>
      </c>
      <c r="J197" s="2">
        <f>Storage_modulus_G!J197/1000000</f>
        <v>4.3000000000000001E-7</v>
      </c>
      <c r="K197" s="2">
        <f>Storage_modulus_G!K197/1000000</f>
        <v>4.6999999999999995E-7</v>
      </c>
      <c r="L197" s="2">
        <f>Storage_modulus_G!L197/1000000</f>
        <v>4.4000000000000002E-7</v>
      </c>
      <c r="M197" s="2">
        <f>Storage_modulus_G!M197/1000000</f>
        <v>4.2E-7</v>
      </c>
      <c r="N197" s="2">
        <f>Storage_modulus_G!N197/1000000</f>
        <v>4.3000000000000001E-7</v>
      </c>
      <c r="O197" s="2">
        <f>Storage_modulus_G!O197/1000000</f>
        <v>4.3000000000000001E-7</v>
      </c>
      <c r="P197" s="2">
        <f>Storage_modulus_G!P197/1000000</f>
        <v>4.3000000000000001E-7</v>
      </c>
      <c r="Q197" s="2">
        <f>Storage_modulus_G!Q197/1000000</f>
        <v>4.2E-7</v>
      </c>
      <c r="R197" s="2">
        <f>Storage_modulus_G!R197/1000000</f>
        <v>4.7999999999999996E-7</v>
      </c>
      <c r="S197" s="2">
        <f>Storage_modulus_G!S197/1000000</f>
        <v>5.3000000000000001E-7</v>
      </c>
      <c r="T197" s="2">
        <f>Storage_modulus_G!T197/1000000</f>
        <v>6.1999999999999999E-7</v>
      </c>
      <c r="U197" s="2">
        <f>Storage_modulus_G!U197/1000000</f>
        <v>5.6000000000000004E-7</v>
      </c>
      <c r="V197" s="2">
        <f>Storage_modulus_G!V197/1000000</f>
        <v>5.2E-7</v>
      </c>
      <c r="W197" s="2">
        <f>Storage_modulus_G!W197/1000000</f>
        <v>4.8999999999999997E-7</v>
      </c>
      <c r="X197" s="2">
        <f>Storage_modulus_G!X197/1000000</f>
        <v>5.8999999999999996E-7</v>
      </c>
      <c r="Y197" s="2">
        <f>Storage_modulus_G!Y197/1000000</f>
        <v>5.7999999999999995E-7</v>
      </c>
      <c r="Z197" s="2">
        <f>Storage_modulus_G!Z197/1000000</f>
        <v>6.9999999999999997E-7</v>
      </c>
      <c r="AA197" s="2">
        <f>Storage_modulus_G!AA197/1000000</f>
        <v>7.6000000000000003E-7</v>
      </c>
      <c r="AB197" s="2">
        <f>Storage_modulus_G!AB197/1000000</f>
        <v>8.9000000000000006E-7</v>
      </c>
      <c r="AC197" s="2">
        <f>Storage_modulus_G!AC197/1000000</f>
        <v>9.300000000000001E-7</v>
      </c>
      <c r="AD197" s="2">
        <f>Storage_modulus_G!AD197/1000000</f>
        <v>9.7999999999999993E-7</v>
      </c>
      <c r="AE197" s="2">
        <f>Storage_modulus_G!AE197/1000000</f>
        <v>9.2000000000000009E-7</v>
      </c>
      <c r="AF197" s="2">
        <f>Storage_modulus_G!AF197/1000000</f>
        <v>1.3E-6</v>
      </c>
      <c r="AG197" s="2">
        <f>Storage_modulus_G!AG197/1000000</f>
        <v>1.44E-6</v>
      </c>
      <c r="AH197" s="208">
        <f>Storage_modulus_G!AH197/1000000</f>
        <v>2.5799999999999999E-6</v>
      </c>
      <c r="AI197" s="2"/>
    </row>
    <row r="198" spans="1:35" ht="15.75" customHeight="1">
      <c r="A198" s="200">
        <v>35</v>
      </c>
      <c r="B198" s="59">
        <v>3</v>
      </c>
      <c r="C198" s="48">
        <f>Storage_modulus_G!C198/1000000</f>
        <v>1.6E-7</v>
      </c>
      <c r="D198" s="2">
        <f>Storage_modulus_G!D198/1000000</f>
        <v>1.6E-7</v>
      </c>
      <c r="E198" s="2">
        <f>Storage_modulus_G!E198/1000000</f>
        <v>1.6E-7</v>
      </c>
      <c r="F198" s="2">
        <f>Storage_modulus_G!F198/1000000</f>
        <v>1.6E-7</v>
      </c>
      <c r="G198" s="2">
        <f>Storage_modulus_G!G198/1000000</f>
        <v>1.6E-7</v>
      </c>
      <c r="H198" s="2">
        <f>Storage_modulus_G!H198/1000000</f>
        <v>1.7000000000000001E-7</v>
      </c>
      <c r="I198" s="2">
        <f>Storage_modulus_G!I198/1000000</f>
        <v>1.7000000000000001E-7</v>
      </c>
      <c r="J198" s="2">
        <f>Storage_modulus_G!J198/1000000</f>
        <v>1.8E-7</v>
      </c>
      <c r="K198" s="2">
        <f>Storage_modulus_G!K198/1000000</f>
        <v>1.9000000000000001E-7</v>
      </c>
      <c r="L198" s="2">
        <f>Storage_modulus_G!L198/1000000</f>
        <v>2.0000000000000002E-7</v>
      </c>
      <c r="M198" s="2">
        <f>Storage_modulus_G!M198/1000000</f>
        <v>2.1E-7</v>
      </c>
      <c r="N198" s="2">
        <f>Storage_modulus_G!N198/1000000</f>
        <v>2.1E-7</v>
      </c>
      <c r="O198" s="2">
        <f>Storage_modulus_G!O198/1000000</f>
        <v>2.2000000000000001E-7</v>
      </c>
      <c r="P198" s="2">
        <f>Storage_modulus_G!P198/1000000</f>
        <v>2.3000000000000002E-7</v>
      </c>
      <c r="Q198" s="2">
        <f>Storage_modulus_G!Q198/1000000</f>
        <v>2.4999999999999999E-7</v>
      </c>
      <c r="R198" s="2">
        <f>Storage_modulus_G!R198/1000000</f>
        <v>2.4999999999999999E-7</v>
      </c>
      <c r="S198" s="2">
        <f>Storage_modulus_G!S198/1000000</f>
        <v>2.3999999999999998E-7</v>
      </c>
      <c r="T198" s="2">
        <f>Storage_modulus_G!T198/1000000</f>
        <v>2.3999999999999998E-7</v>
      </c>
      <c r="U198" s="2">
        <f>Storage_modulus_G!U198/1000000</f>
        <v>2.8000000000000002E-7</v>
      </c>
      <c r="V198" s="2">
        <f>Storage_modulus_G!V198/1000000</f>
        <v>2.8000000000000002E-7</v>
      </c>
      <c r="W198" s="2">
        <f>Storage_modulus_G!W198/1000000</f>
        <v>3.1E-7</v>
      </c>
      <c r="X198" s="2">
        <f>Storage_modulus_G!X198/1000000</f>
        <v>3.1E-7</v>
      </c>
      <c r="Y198" s="2">
        <f>Storage_modulus_G!Y198/1000000</f>
        <v>3.2000000000000001E-7</v>
      </c>
      <c r="Z198" s="2">
        <f>Storage_modulus_G!Z198/1000000</f>
        <v>3.4999999999999998E-7</v>
      </c>
      <c r="AA198" s="2">
        <f>Storage_modulus_G!AA198/1000000</f>
        <v>3.4000000000000003E-7</v>
      </c>
      <c r="AB198" s="2">
        <f>Storage_modulus_G!AB198/1000000</f>
        <v>3.8000000000000001E-7</v>
      </c>
      <c r="AC198" s="2">
        <f>Storage_modulus_G!AC198/1000000</f>
        <v>3.9000000000000002E-7</v>
      </c>
      <c r="AD198" s="2">
        <f>Storage_modulus_G!AD198/1000000</f>
        <v>4.3000000000000001E-7</v>
      </c>
      <c r="AE198" s="2">
        <f>Storage_modulus_G!AE198/1000000</f>
        <v>4.6999999999999995E-7</v>
      </c>
      <c r="AF198" s="2">
        <f>Storage_modulus_G!AF198/1000000</f>
        <v>5.3000000000000001E-7</v>
      </c>
      <c r="AG198" s="2">
        <f>Storage_modulus_G!AG198/1000000</f>
        <v>5.6999999999999994E-7</v>
      </c>
      <c r="AH198" s="208">
        <f>Storage_modulus_G!AH198/1000000</f>
        <v>8.0000000000000007E-7</v>
      </c>
      <c r="AI198" s="2"/>
    </row>
    <row r="199" spans="1:35" ht="15.75" customHeight="1">
      <c r="A199" s="200">
        <v>35</v>
      </c>
      <c r="B199" s="59">
        <v>4</v>
      </c>
      <c r="C199" s="128">
        <f>Storage_modulus_G!C199/1000000</f>
        <v>1.04E-6</v>
      </c>
      <c r="D199" s="30">
        <f>Storage_modulus_G!D199/1000000</f>
        <v>1.06E-6</v>
      </c>
      <c r="E199" s="30">
        <f>Storage_modulus_G!E199/1000000</f>
        <v>9.7999999999999993E-7</v>
      </c>
      <c r="F199" s="30">
        <f>Storage_modulus_G!F199/1000000</f>
        <v>9.7999999999999993E-7</v>
      </c>
      <c r="G199" s="30">
        <f>Storage_modulus_G!G199/1000000</f>
        <v>1.19E-6</v>
      </c>
      <c r="H199" s="30">
        <f>Storage_modulus_G!H199/1000000</f>
        <v>1.2500000000000001E-6</v>
      </c>
      <c r="I199" s="30">
        <f>Storage_modulus_G!I199/1000000</f>
        <v>1.13E-6</v>
      </c>
      <c r="J199" s="30">
        <f>Storage_modulus_G!J199/1000000</f>
        <v>1.22E-6</v>
      </c>
      <c r="K199" s="30">
        <f>Storage_modulus_G!K199/1000000</f>
        <v>1.3799999999999999E-6</v>
      </c>
      <c r="L199" s="30">
        <f>Storage_modulus_G!L199/1000000</f>
        <v>1.3600000000000001E-6</v>
      </c>
      <c r="M199" s="30">
        <f>Storage_modulus_G!M199/1000000</f>
        <v>1.3799999999999999E-6</v>
      </c>
      <c r="N199" s="30">
        <f>Storage_modulus_G!N199/1000000</f>
        <v>1.53E-6</v>
      </c>
      <c r="O199" s="30">
        <f>Storage_modulus_G!O199/1000000</f>
        <v>1.44E-6</v>
      </c>
      <c r="P199" s="30">
        <f>Storage_modulus_G!P199/1000000</f>
        <v>1.53E-6</v>
      </c>
      <c r="Q199" s="30">
        <f>Storage_modulus_G!Q199/1000000</f>
        <v>1.6699999999999999E-6</v>
      </c>
      <c r="R199" s="30">
        <f>Storage_modulus_G!R199/1000000</f>
        <v>1.66E-6</v>
      </c>
      <c r="S199" s="30">
        <f>Storage_modulus_G!S199/1000000</f>
        <v>1.7E-6</v>
      </c>
      <c r="T199" s="30">
        <f>Storage_modulus_G!T199/1000000</f>
        <v>1.66E-6</v>
      </c>
      <c r="U199" s="30">
        <f>Storage_modulus_G!U199/1000000</f>
        <v>1.81E-6</v>
      </c>
      <c r="V199" s="30">
        <f>Storage_modulus_G!V199/1000000</f>
        <v>1.61E-6</v>
      </c>
      <c r="W199" s="30">
        <f>Storage_modulus_G!W199/1000000</f>
        <v>1.7E-6</v>
      </c>
      <c r="X199" s="30">
        <f>Storage_modulus_G!X199/1000000</f>
        <v>1.8300000000000001E-6</v>
      </c>
      <c r="Y199" s="30">
        <f>Storage_modulus_G!Y199/1000000</f>
        <v>1.72E-6</v>
      </c>
      <c r="Z199" s="30">
        <f>Storage_modulus_G!Z199/1000000</f>
        <v>1.6699999999999999E-6</v>
      </c>
      <c r="AA199" s="30">
        <f>Storage_modulus_G!AA199/1000000</f>
        <v>1.8799999999999998E-6</v>
      </c>
      <c r="AB199" s="30">
        <f>Storage_modulus_G!AB199/1000000</f>
        <v>2.0099999999999998E-6</v>
      </c>
      <c r="AC199" s="30">
        <f>Storage_modulus_G!AC199/1000000</f>
        <v>2.26E-6</v>
      </c>
      <c r="AD199" s="30">
        <f>Storage_modulus_G!AD199/1000000</f>
        <v>2.74E-6</v>
      </c>
      <c r="AE199" s="30">
        <f>Storage_modulus_G!AE199/1000000</f>
        <v>2.8399999999999999E-6</v>
      </c>
      <c r="AF199" s="30">
        <f>Storage_modulus_G!AF199/1000000</f>
        <v>3.2499999999999998E-6</v>
      </c>
      <c r="AG199" s="30">
        <f>Storage_modulus_G!AG199/1000000</f>
        <v>4.2000000000000004E-6</v>
      </c>
      <c r="AH199" s="209">
        <f>Storage_modulus_G!AH199/1000000</f>
        <v>5.3800000000000002E-6</v>
      </c>
      <c r="AI199" s="2"/>
    </row>
    <row r="200" spans="1:35" ht="15.75" customHeight="1">
      <c r="A200" s="201">
        <v>36</v>
      </c>
      <c r="B200" s="58">
        <v>1</v>
      </c>
      <c r="C200" s="2">
        <f>1000*Storage_modulus_G!C200</f>
        <v>4017.0000000000005</v>
      </c>
      <c r="D200" s="2">
        <f>1000*Storage_modulus_G!D200</f>
        <v>3438</v>
      </c>
      <c r="E200" s="2">
        <f>1000*Storage_modulus_G!E200</f>
        <v>2588</v>
      </c>
      <c r="F200" s="2">
        <f>1000*Storage_modulus_G!F200</f>
        <v>1983</v>
      </c>
      <c r="G200" s="2">
        <f>1000*Storage_modulus_G!G200</f>
        <v>1545</v>
      </c>
      <c r="H200" s="2">
        <f>1000*Storage_modulus_G!H200</f>
        <v>1326</v>
      </c>
      <c r="I200" s="2">
        <f>1000*Storage_modulus_G!I200</f>
        <v>966</v>
      </c>
      <c r="J200" s="2">
        <f>1000*Storage_modulus_G!J200</f>
        <v>605</v>
      </c>
      <c r="K200" s="2">
        <f>1000*Storage_modulus_G!K200</f>
        <v>386</v>
      </c>
      <c r="L200" s="2">
        <f>1000*Storage_modulus_G!L200</f>
        <v>309</v>
      </c>
      <c r="M200" s="2">
        <f>1000*Storage_modulus_G!M200</f>
        <v>219</v>
      </c>
      <c r="N200" s="208">
        <f>1000*Storage_modulus_G!N200</f>
        <v>142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5" ht="15.75" customHeight="1">
      <c r="A201" s="200">
        <v>36</v>
      </c>
      <c r="B201" s="59">
        <v>2</v>
      </c>
      <c r="C201" s="2">
        <f>1000*Storage_modulus_G!C201</f>
        <v>8343</v>
      </c>
      <c r="D201" s="2">
        <f>1000*Storage_modulus_G!D201</f>
        <v>8073</v>
      </c>
      <c r="E201" s="2">
        <f>1000*Storage_modulus_G!E201</f>
        <v>7532</v>
      </c>
      <c r="F201" s="2">
        <f>1000*Storage_modulus_G!F201</f>
        <v>6116</v>
      </c>
      <c r="G201" s="2">
        <f>1000*Storage_modulus_G!G201</f>
        <v>4918</v>
      </c>
      <c r="H201" s="2">
        <f>1000*Storage_modulus_G!H201</f>
        <v>4197</v>
      </c>
      <c r="I201" s="2">
        <f>1000*Storage_modulus_G!I201</f>
        <v>3270</v>
      </c>
      <c r="J201" s="2">
        <f>1000*Storage_modulus_G!J201</f>
        <v>2292</v>
      </c>
      <c r="K201" s="2">
        <f>1000*Storage_modulus_G!K201</f>
        <v>1777</v>
      </c>
      <c r="L201" s="2">
        <f>1000*Storage_modulus_G!L201</f>
        <v>1378</v>
      </c>
      <c r="M201" s="2">
        <f>1000*Storage_modulus_G!M201</f>
        <v>1016.9999999999999</v>
      </c>
      <c r="N201" s="208">
        <f>1000*Storage_modulus_G!N201</f>
        <v>502</v>
      </c>
      <c r="O201" s="2"/>
    </row>
    <row r="202" spans="1:35" ht="15.75" customHeight="1">
      <c r="A202" s="200">
        <v>36</v>
      </c>
      <c r="B202" s="59">
        <v>3</v>
      </c>
      <c r="C202" s="2">
        <f>1000*Storage_modulus_G!C202</f>
        <v>5382</v>
      </c>
      <c r="D202" s="2">
        <f>1000*Storage_modulus_G!D202</f>
        <v>4803</v>
      </c>
      <c r="E202" s="2">
        <f>1000*Storage_modulus_G!E202</f>
        <v>3850</v>
      </c>
      <c r="F202" s="2">
        <f>1000*Storage_modulus_G!F202</f>
        <v>3258</v>
      </c>
      <c r="G202" s="2">
        <f>1000*Storage_modulus_G!G202</f>
        <v>2742</v>
      </c>
      <c r="H202" s="2">
        <f>1000*Storage_modulus_G!H202</f>
        <v>2227</v>
      </c>
      <c r="I202" s="2">
        <f>1000*Storage_modulus_G!I202</f>
        <v>1609</v>
      </c>
      <c r="J202" s="2">
        <f>1000*Storage_modulus_G!J202</f>
        <v>1197</v>
      </c>
      <c r="K202" s="2">
        <f>1000*Storage_modulus_G!K202</f>
        <v>940</v>
      </c>
      <c r="L202" s="2">
        <f>1000*Storage_modulus_G!L202</f>
        <v>721</v>
      </c>
      <c r="M202" s="2">
        <f>1000*Storage_modulus_G!M202</f>
        <v>515</v>
      </c>
      <c r="N202" s="208">
        <f>1000*Storage_modulus_G!N202</f>
        <v>335</v>
      </c>
      <c r="O202" s="2"/>
    </row>
    <row r="203" spans="1:35" ht="15.75" customHeight="1">
      <c r="A203" s="202">
        <v>36</v>
      </c>
      <c r="B203" s="203">
        <v>4</v>
      </c>
      <c r="C203" s="30">
        <f>1000*Storage_modulus_G!C203</f>
        <v>7403</v>
      </c>
      <c r="D203" s="30">
        <f>1000*Storage_modulus_G!D203</f>
        <v>7197</v>
      </c>
      <c r="E203" s="30">
        <f>1000*Storage_modulus_G!E203</f>
        <v>6695</v>
      </c>
      <c r="F203" s="30">
        <f>1000*Storage_modulus_G!F203</f>
        <v>5524</v>
      </c>
      <c r="G203" s="30">
        <f>1000*Storage_modulus_G!G203</f>
        <v>4416</v>
      </c>
      <c r="H203" s="30">
        <f>1000*Storage_modulus_G!H203</f>
        <v>3773</v>
      </c>
      <c r="I203" s="30">
        <f>1000*Storage_modulus_G!I203</f>
        <v>2820</v>
      </c>
      <c r="J203" s="30">
        <f>1000*Storage_modulus_G!J203</f>
        <v>2112000</v>
      </c>
      <c r="K203" s="30">
        <f>1000*Storage_modulus_G!K203</f>
        <v>1648</v>
      </c>
      <c r="L203" s="30">
        <f>1000*Storage_modulus_G!L203</f>
        <v>1236</v>
      </c>
      <c r="M203" s="30">
        <f>1000*Storage_modulus_G!M203</f>
        <v>888</v>
      </c>
      <c r="N203" s="209">
        <f>1000*Storage_modulus_G!N203</f>
        <v>451</v>
      </c>
      <c r="O203" s="2"/>
    </row>
    <row r="204" spans="1:35" ht="15.75" customHeight="1">
      <c r="A204" s="200">
        <v>37</v>
      </c>
      <c r="B204" s="179">
        <v>1</v>
      </c>
      <c r="C204" s="2">
        <v>3774.82</v>
      </c>
      <c r="D204" s="2">
        <v>3498.5610000000001</v>
      </c>
      <c r="E204" s="2">
        <v>3135.971</v>
      </c>
      <c r="F204" s="2">
        <v>2796.4029999999998</v>
      </c>
      <c r="G204" s="2">
        <v>2537.41</v>
      </c>
      <c r="H204" s="2">
        <v>2261.1509999999998</v>
      </c>
      <c r="I204" s="2">
        <v>1921.5830000000001</v>
      </c>
      <c r="J204" s="2">
        <v>1570.5039999999999</v>
      </c>
      <c r="K204" s="2">
        <v>1288.489</v>
      </c>
      <c r="L204" s="2">
        <v>1023.741</v>
      </c>
      <c r="M204" s="2">
        <v>799.28099999999995</v>
      </c>
      <c r="N204" s="2">
        <v>551.79899999999998</v>
      </c>
      <c r="O204" s="207">
        <v>402.15800000000002</v>
      </c>
      <c r="P204" s="2"/>
    </row>
    <row r="205" spans="1:35" ht="15.75" customHeight="1">
      <c r="A205" s="200">
        <v>37</v>
      </c>
      <c r="B205" s="179">
        <v>2</v>
      </c>
      <c r="C205" s="2">
        <v>3820.8629999999998</v>
      </c>
      <c r="D205" s="2">
        <v>3579.1370000000002</v>
      </c>
      <c r="E205" s="2">
        <v>3245.3240000000001</v>
      </c>
      <c r="F205" s="2">
        <v>2934.5320000000002</v>
      </c>
      <c r="G205" s="2">
        <v>2664.029</v>
      </c>
      <c r="H205" s="2">
        <v>2416.547</v>
      </c>
      <c r="I205" s="2">
        <v>2094.2449999999999</v>
      </c>
      <c r="J205" s="2">
        <v>1714.3879999999999</v>
      </c>
      <c r="K205" s="2">
        <v>1403.597</v>
      </c>
      <c r="L205" s="2">
        <v>1138.8489999999999</v>
      </c>
      <c r="M205" s="2">
        <v>885.61199999999997</v>
      </c>
      <c r="N205" s="2">
        <v>592.08600000000001</v>
      </c>
      <c r="O205" s="208"/>
      <c r="P205" s="2"/>
    </row>
    <row r="206" spans="1:35" ht="15.75" customHeight="1">
      <c r="A206" s="200">
        <v>37</v>
      </c>
      <c r="B206" s="179">
        <v>3</v>
      </c>
      <c r="C206" s="2">
        <v>3475.54</v>
      </c>
      <c r="D206" s="2">
        <v>3302.8780000000002</v>
      </c>
      <c r="E206" s="2">
        <v>2974.82</v>
      </c>
      <c r="F206" s="2">
        <v>2652.518</v>
      </c>
      <c r="G206" s="2">
        <v>2376.259</v>
      </c>
      <c r="H206" s="2">
        <v>2140.288</v>
      </c>
      <c r="I206" s="2">
        <v>1829.4960000000001</v>
      </c>
      <c r="J206" s="2">
        <v>1478.4169999999999</v>
      </c>
      <c r="K206" s="2">
        <v>1173.3810000000001</v>
      </c>
      <c r="L206" s="2">
        <v>879.85599999999999</v>
      </c>
      <c r="M206" s="2">
        <v>563.30899999999997</v>
      </c>
      <c r="N206" s="2">
        <v>356.11500000000001</v>
      </c>
      <c r="O206" s="208"/>
      <c r="P206" s="2"/>
    </row>
    <row r="207" spans="1:35" ht="15.75" customHeight="1">
      <c r="A207" s="200">
        <v>37</v>
      </c>
      <c r="B207" s="179">
        <v>4</v>
      </c>
      <c r="C207" s="2">
        <v>3999.2809999999999</v>
      </c>
      <c r="D207" s="2">
        <v>3820.8629999999998</v>
      </c>
      <c r="E207" s="2">
        <v>3481.2950000000001</v>
      </c>
      <c r="F207" s="2">
        <v>3124.46</v>
      </c>
      <c r="G207" s="2">
        <v>2836.6909999999998</v>
      </c>
      <c r="H207" s="2">
        <v>2589.2089999999998</v>
      </c>
      <c r="I207" s="2">
        <v>2232.3739999999998</v>
      </c>
      <c r="J207" s="2">
        <v>1846.7629999999999</v>
      </c>
      <c r="K207" s="2">
        <v>1564.748</v>
      </c>
      <c r="L207" s="2">
        <v>1265.4680000000001</v>
      </c>
      <c r="M207" s="2">
        <v>1052.518</v>
      </c>
      <c r="N207" s="2">
        <v>822.30200000000002</v>
      </c>
      <c r="O207" s="208">
        <v>523.02200000000005</v>
      </c>
      <c r="P207" s="2"/>
    </row>
    <row r="208" spans="1:35" ht="15.75" customHeight="1">
      <c r="A208" s="200">
        <v>37</v>
      </c>
      <c r="B208" s="179">
        <v>5</v>
      </c>
      <c r="C208" s="2">
        <v>3653.9569999999999</v>
      </c>
      <c r="D208" s="2">
        <v>3510.0720000000001</v>
      </c>
      <c r="E208" s="2">
        <v>3205.0360000000001</v>
      </c>
      <c r="F208" s="2">
        <v>2894.2449999999999</v>
      </c>
      <c r="G208" s="2">
        <v>2612.23</v>
      </c>
      <c r="H208" s="2">
        <v>2393.5250000000001</v>
      </c>
      <c r="I208" s="2">
        <v>2082.7339999999999</v>
      </c>
      <c r="J208" s="2">
        <v>1708.633</v>
      </c>
      <c r="K208" s="2">
        <v>1426.6189999999999</v>
      </c>
      <c r="L208" s="2">
        <v>1069.7840000000001</v>
      </c>
      <c r="M208" s="2">
        <v>701.43899999999996</v>
      </c>
      <c r="N208" s="2">
        <v>448.20100000000002</v>
      </c>
      <c r="O208" s="208">
        <v>287.05</v>
      </c>
      <c r="P208" s="2"/>
    </row>
    <row r="209" spans="1:16" ht="15.75" customHeight="1">
      <c r="A209" s="200">
        <v>37</v>
      </c>
      <c r="B209" s="179">
        <v>6</v>
      </c>
      <c r="C209" s="2">
        <v>4315.8270000000002</v>
      </c>
      <c r="D209" s="2">
        <v>4171.942</v>
      </c>
      <c r="E209" s="2">
        <v>3838.1289999999999</v>
      </c>
      <c r="F209" s="2">
        <v>3475.54</v>
      </c>
      <c r="G209" s="2">
        <v>3130.2159999999999</v>
      </c>
      <c r="H209" s="2">
        <v>2848.201</v>
      </c>
      <c r="I209" s="2">
        <v>2479.8560000000002</v>
      </c>
      <c r="J209" s="2">
        <v>2036.691</v>
      </c>
      <c r="K209" s="2">
        <v>1593.5250000000001</v>
      </c>
      <c r="L209" s="2">
        <v>1017.986</v>
      </c>
      <c r="M209" s="2">
        <v>626.61900000000003</v>
      </c>
      <c r="N209" s="2">
        <v>384.892</v>
      </c>
      <c r="O209" s="208"/>
      <c r="P209" s="2"/>
    </row>
    <row r="210" spans="1:16" ht="15.75" customHeight="1">
      <c r="A210" s="202">
        <v>37</v>
      </c>
      <c r="B210" s="180">
        <v>7</v>
      </c>
      <c r="C210" s="30">
        <v>3918.7049999999999</v>
      </c>
      <c r="D210" s="30">
        <v>3746.0430000000001</v>
      </c>
      <c r="E210" s="30">
        <v>3458.2730000000001</v>
      </c>
      <c r="F210" s="30">
        <v>3158.9929999999999</v>
      </c>
      <c r="G210" s="30">
        <v>2923.0219999999999</v>
      </c>
      <c r="H210" s="30">
        <v>2692.806</v>
      </c>
      <c r="I210" s="30">
        <v>2428.058</v>
      </c>
      <c r="J210" s="30">
        <v>2030.9349999999999</v>
      </c>
      <c r="K210" s="30">
        <v>1668.345</v>
      </c>
      <c r="L210" s="30">
        <v>1305.7550000000001</v>
      </c>
      <c r="M210" s="30">
        <v>1029.4960000000001</v>
      </c>
      <c r="N210" s="30">
        <v>810.79100000000005</v>
      </c>
      <c r="O210" s="209">
        <v>643.88499999999999</v>
      </c>
      <c r="P210" s="2"/>
    </row>
    <row r="211" spans="1:16" ht="15.75" customHeight="1">
      <c r="A211" s="201">
        <v>38</v>
      </c>
      <c r="B211" s="58">
        <v>1</v>
      </c>
      <c r="C211" s="2"/>
      <c r="D211" s="2"/>
      <c r="E211" s="94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6" ht="15.75" customHeight="1">
      <c r="A212" s="200">
        <v>38</v>
      </c>
      <c r="B212" s="59">
        <v>2</v>
      </c>
      <c r="E212" s="94"/>
    </row>
    <row r="213" spans="1:16" ht="15.75" customHeight="1">
      <c r="A213" s="200">
        <v>38</v>
      </c>
      <c r="B213" s="59">
        <v>3</v>
      </c>
      <c r="E213" s="94"/>
    </row>
    <row r="214" spans="1:16" ht="15.75" customHeight="1">
      <c r="A214" s="200">
        <v>38</v>
      </c>
      <c r="B214" s="59">
        <v>4</v>
      </c>
    </row>
    <row r="215" spans="1:16" ht="15.75" customHeight="1">
      <c r="A215" s="200">
        <v>38</v>
      </c>
      <c r="B215" s="59">
        <v>5</v>
      </c>
    </row>
    <row r="216" spans="1:16" ht="15.75" customHeight="1">
      <c r="A216" s="200">
        <v>38</v>
      </c>
      <c r="B216" s="59">
        <v>6</v>
      </c>
    </row>
    <row r="217" spans="1:16" ht="15.75" customHeight="1">
      <c r="A217" s="201">
        <v>39</v>
      </c>
      <c r="B217" s="58">
        <v>1</v>
      </c>
    </row>
    <row r="218" spans="1:16" ht="15.75" customHeight="1">
      <c r="A218" s="200">
        <v>39</v>
      </c>
      <c r="B218" s="59">
        <v>2</v>
      </c>
    </row>
    <row r="219" spans="1:16" ht="15.75" customHeight="1">
      <c r="A219" s="200">
        <v>39</v>
      </c>
      <c r="B219" s="59">
        <v>3</v>
      </c>
    </row>
    <row r="220" spans="1:16" ht="15.75" customHeight="1">
      <c r="A220" s="200">
        <v>39</v>
      </c>
      <c r="B220" s="59">
        <v>4</v>
      </c>
    </row>
    <row r="221" spans="1:16" ht="15.75" customHeight="1">
      <c r="A221" s="200">
        <v>39</v>
      </c>
      <c r="B221" s="59">
        <v>5</v>
      </c>
      <c r="E221" s="94"/>
    </row>
    <row r="222" spans="1:16" ht="15.75" customHeight="1">
      <c r="A222" s="200">
        <v>39</v>
      </c>
      <c r="B222" s="59">
        <v>6</v>
      </c>
      <c r="E222" s="94"/>
    </row>
    <row r="223" spans="1:16" ht="15.75" customHeight="1">
      <c r="A223" s="200">
        <v>39</v>
      </c>
      <c r="B223" s="59">
        <v>7</v>
      </c>
      <c r="E223" s="94"/>
    </row>
    <row r="224" spans="1:16" ht="15.75" customHeight="1">
      <c r="A224" s="200">
        <v>39</v>
      </c>
      <c r="B224" s="59">
        <v>8</v>
      </c>
      <c r="C224" s="2"/>
      <c r="D224" s="2"/>
      <c r="E224" s="94"/>
      <c r="F224" s="2"/>
      <c r="G224" s="2"/>
      <c r="H224" s="2"/>
    </row>
    <row r="225" spans="1:27" ht="15.75" customHeight="1">
      <c r="A225" s="174">
        <v>41</v>
      </c>
      <c r="B225" s="179">
        <v>1</v>
      </c>
      <c r="C225" s="2">
        <v>0.43099999999999999</v>
      </c>
      <c r="D225" s="2">
        <v>0.82899999999999996</v>
      </c>
      <c r="E225" s="2">
        <v>1.4950000000000001</v>
      </c>
      <c r="F225" s="2">
        <v>2.8140000000000001</v>
      </c>
      <c r="G225" s="2">
        <v>4.8540000000000001</v>
      </c>
      <c r="H225" s="2">
        <v>9.1359999999999992</v>
      </c>
      <c r="I225" s="206">
        <v>15.087999999999999</v>
      </c>
      <c r="J225" s="206">
        <v>27.187999999999999</v>
      </c>
      <c r="K225" s="206">
        <v>45.889000000000003</v>
      </c>
      <c r="L225" s="206">
        <v>79.161000000000001</v>
      </c>
      <c r="M225" s="206">
        <v>152.29300000000001</v>
      </c>
      <c r="N225" s="206">
        <v>257.048</v>
      </c>
      <c r="O225" s="206">
        <v>463.19600000000003</v>
      </c>
      <c r="P225" s="206">
        <v>764.93899999999996</v>
      </c>
      <c r="Q225" s="206">
        <v>1263.248</v>
      </c>
      <c r="R225" s="206">
        <v>1997.1279999999999</v>
      </c>
      <c r="S225" s="206">
        <v>3022.5880000000002</v>
      </c>
      <c r="T225" s="206">
        <v>4475.8919999999998</v>
      </c>
      <c r="U225" s="206">
        <v>7076.15</v>
      </c>
      <c r="V225" s="206">
        <v>10031.207</v>
      </c>
      <c r="W225" s="206">
        <v>14533.880999999999</v>
      </c>
      <c r="X225" s="206">
        <v>21521.982</v>
      </c>
      <c r="Y225" s="206">
        <v>29207.468000000001</v>
      </c>
      <c r="Z225" s="207">
        <v>36325.911</v>
      </c>
      <c r="AA225" s="2"/>
    </row>
    <row r="226" spans="1:27" ht="15.75" customHeight="1">
      <c r="A226" s="174">
        <v>41</v>
      </c>
      <c r="B226" s="179">
        <v>2</v>
      </c>
      <c r="C226" s="2">
        <v>98.453999999999994</v>
      </c>
      <c r="D226" s="2">
        <v>112.21899999999999</v>
      </c>
      <c r="E226" s="2">
        <v>145.792</v>
      </c>
      <c r="F226" s="2">
        <v>189.41</v>
      </c>
      <c r="G226" s="2">
        <v>230.49</v>
      </c>
      <c r="H226" s="2">
        <v>312.798</v>
      </c>
      <c r="I226" s="2">
        <v>406.37900000000002</v>
      </c>
      <c r="J226" s="2">
        <v>527.95600000000002</v>
      </c>
      <c r="K226" s="2">
        <v>685.90700000000004</v>
      </c>
      <c r="L226" s="2">
        <v>853.07600000000002</v>
      </c>
      <c r="M226" s="2">
        <v>1060.9880000000001</v>
      </c>
      <c r="N226" s="2">
        <v>1471.615</v>
      </c>
      <c r="O226" s="2">
        <v>1830.277</v>
      </c>
      <c r="P226" s="2">
        <v>2326.547</v>
      </c>
      <c r="Q226" s="2">
        <v>3298.1309999999999</v>
      </c>
      <c r="R226" s="2">
        <v>4675.4570000000003</v>
      </c>
      <c r="S226" s="2">
        <v>6208.1679999999997</v>
      </c>
      <c r="T226" s="2">
        <v>7891.4769999999999</v>
      </c>
      <c r="U226" s="2">
        <v>11187.022000000001</v>
      </c>
      <c r="V226" s="2">
        <v>15181.9</v>
      </c>
      <c r="W226" s="2">
        <v>21057.654999999999</v>
      </c>
      <c r="X226" s="2">
        <v>29207.468000000001</v>
      </c>
      <c r="Y226" s="2">
        <v>39637.434999999998</v>
      </c>
      <c r="Z226" s="208">
        <v>47193.656000000003</v>
      </c>
      <c r="AA226" s="2"/>
    </row>
    <row r="227" spans="1:27" ht="15.75" customHeight="1">
      <c r="A227" s="174">
        <v>41</v>
      </c>
      <c r="B227" s="179">
        <v>3</v>
      </c>
      <c r="C227" s="2">
        <v>1408.8009999999999</v>
      </c>
      <c r="D227" s="2">
        <v>1471.615</v>
      </c>
      <c r="E227" s="2">
        <v>1537.23</v>
      </c>
      <c r="F227" s="2">
        <v>1677.366</v>
      </c>
      <c r="G227" s="2">
        <v>1870.636</v>
      </c>
      <c r="H227" s="2">
        <v>2377.848</v>
      </c>
      <c r="I227" s="2">
        <v>2770.0639999999999</v>
      </c>
      <c r="J227" s="2">
        <v>3521.1509999999998</v>
      </c>
      <c r="K227" s="2">
        <v>4574.5860000000002</v>
      </c>
      <c r="L227" s="2">
        <v>5566.7560000000003</v>
      </c>
      <c r="M227" s="2">
        <v>6774.1139999999996</v>
      </c>
      <c r="N227" s="2">
        <v>8610.8770000000004</v>
      </c>
      <c r="O227" s="2">
        <v>10478.466</v>
      </c>
      <c r="P227" s="2">
        <v>13319.642</v>
      </c>
      <c r="Q227" s="2">
        <v>16931.187000000002</v>
      </c>
      <c r="R227" s="2">
        <v>22481.578000000001</v>
      </c>
      <c r="S227" s="2">
        <v>29207.468000000001</v>
      </c>
      <c r="T227" s="2">
        <v>37126.906999999999</v>
      </c>
      <c r="U227" s="2">
        <v>51495.902000000002</v>
      </c>
      <c r="V227" s="2">
        <v>71426.038</v>
      </c>
      <c r="W227" s="2">
        <v>92794.808999999994</v>
      </c>
      <c r="X227" s="2">
        <v>128708.603</v>
      </c>
      <c r="Y227" s="2">
        <v>163607.209</v>
      </c>
      <c r="Z227" s="208">
        <v>217241.01</v>
      </c>
      <c r="AA227" s="2"/>
    </row>
    <row r="228" spans="1:27" ht="15.75" customHeight="1">
      <c r="A228" s="174">
        <v>41</v>
      </c>
      <c r="B228" s="179">
        <v>4</v>
      </c>
      <c r="C228" s="2">
        <v>15181.9</v>
      </c>
      <c r="D228" s="2">
        <v>14220.319</v>
      </c>
      <c r="E228" s="2">
        <v>13032.277</v>
      </c>
      <c r="F228" s="2">
        <v>11685.815000000001</v>
      </c>
      <c r="G228" s="2">
        <v>11187.022000000001</v>
      </c>
      <c r="H228" s="2">
        <v>11187.022000000001</v>
      </c>
      <c r="I228" s="2">
        <v>10945.666999999999</v>
      </c>
      <c r="J228" s="2">
        <v>11433.699000000001</v>
      </c>
      <c r="K228" s="2">
        <v>11433.699000000001</v>
      </c>
      <c r="L228" s="2">
        <v>12476.012000000001</v>
      </c>
      <c r="M228" s="2">
        <v>13913.522000000001</v>
      </c>
      <c r="N228" s="2">
        <v>15181.9</v>
      </c>
      <c r="O228" s="2">
        <v>16931.187000000002</v>
      </c>
      <c r="P228" s="2">
        <v>18882.030999999999</v>
      </c>
      <c r="Q228" s="2">
        <v>21521.982</v>
      </c>
      <c r="R228" s="2">
        <v>24001.787</v>
      </c>
      <c r="S228" s="2">
        <v>26189.826000000001</v>
      </c>
      <c r="T228" s="2">
        <v>32572.809000000001</v>
      </c>
      <c r="U228" s="2">
        <v>37126.906999999999</v>
      </c>
      <c r="V228" s="2">
        <v>42317.726999999999</v>
      </c>
      <c r="W228" s="2">
        <v>52631.4</v>
      </c>
      <c r="X228" s="2">
        <v>65458.722000000002</v>
      </c>
      <c r="Y228" s="2">
        <v>101254.124</v>
      </c>
      <c r="Z228" s="208">
        <v>194796.215</v>
      </c>
      <c r="AA228" s="2"/>
    </row>
    <row r="229" spans="1:27" ht="15.75" customHeight="1">
      <c r="A229" s="174">
        <v>41</v>
      </c>
      <c r="B229" s="179">
        <v>5</v>
      </c>
      <c r="C229" s="2">
        <v>48234.29</v>
      </c>
      <c r="D229" s="2">
        <v>45179.258999999998</v>
      </c>
      <c r="E229" s="2">
        <v>45179.258999999998</v>
      </c>
      <c r="F229" s="2">
        <v>43250.843999999997</v>
      </c>
      <c r="G229" s="2">
        <v>41404.741000000002</v>
      </c>
      <c r="H229" s="2">
        <v>40511.451999999997</v>
      </c>
      <c r="I229" s="2">
        <v>37945.565000000002</v>
      </c>
      <c r="J229" s="2">
        <v>37945.565000000002</v>
      </c>
      <c r="K229" s="2">
        <v>38782.275999999998</v>
      </c>
      <c r="L229" s="2">
        <v>39637.434999999998</v>
      </c>
      <c r="M229" s="2">
        <v>38782.275999999998</v>
      </c>
      <c r="N229" s="2">
        <v>40511.451999999997</v>
      </c>
      <c r="O229" s="2">
        <v>40511.451999999997</v>
      </c>
      <c r="P229" s="2">
        <v>43250.843999999997</v>
      </c>
      <c r="Q229" s="2">
        <v>46175.474000000002</v>
      </c>
      <c r="R229" s="2">
        <v>45179.258999999998</v>
      </c>
      <c r="S229" s="2">
        <v>49297.868999999999</v>
      </c>
      <c r="T229" s="2">
        <v>52631.4</v>
      </c>
      <c r="U229" s="2">
        <v>54978.063999999998</v>
      </c>
      <c r="V229" s="2">
        <v>65458.722000000002</v>
      </c>
      <c r="W229" s="2">
        <v>76255.880999999994</v>
      </c>
      <c r="X229" s="2">
        <v>83207.482000000004</v>
      </c>
      <c r="Y229" s="2">
        <v>203481.54800000001</v>
      </c>
      <c r="Z229" s="208">
        <v>307962.59499999997</v>
      </c>
      <c r="AA229" s="2"/>
    </row>
    <row r="230" spans="1:27" ht="15.75" customHeight="1">
      <c r="A230" s="174">
        <v>41</v>
      </c>
      <c r="B230" s="179">
        <v>6</v>
      </c>
      <c r="C230" s="2">
        <v>222031.234</v>
      </c>
      <c r="D230" s="2">
        <v>222031.234</v>
      </c>
      <c r="E230" s="2">
        <v>203481.54800000001</v>
      </c>
      <c r="F230" s="2">
        <v>194796.215</v>
      </c>
      <c r="G230" s="2">
        <v>182458.34599999999</v>
      </c>
      <c r="H230" s="2">
        <v>170901.92499999999</v>
      </c>
      <c r="I230" s="2">
        <v>163607.209</v>
      </c>
      <c r="J230" s="2">
        <v>156623.85800000001</v>
      </c>
      <c r="K230" s="2">
        <v>149938.58100000001</v>
      </c>
      <c r="L230" s="2">
        <v>146703.723</v>
      </c>
      <c r="M230" s="2">
        <v>137411.90400000001</v>
      </c>
      <c r="N230" s="2">
        <v>134447.304</v>
      </c>
      <c r="O230" s="2">
        <v>134447.304</v>
      </c>
      <c r="P230" s="2">
        <v>125931.773</v>
      </c>
      <c r="Q230" s="2">
        <v>120556.546</v>
      </c>
      <c r="R230" s="2">
        <v>117955.59299999999</v>
      </c>
      <c r="S230" s="2">
        <v>112920.819</v>
      </c>
      <c r="T230" s="2">
        <v>110484.603</v>
      </c>
      <c r="U230" s="2">
        <v>103486.80499999999</v>
      </c>
      <c r="V230" s="2">
        <v>105768.71799999999</v>
      </c>
      <c r="W230" s="2">
        <v>103486.80499999999</v>
      </c>
      <c r="X230" s="30">
        <v>108100.947</v>
      </c>
      <c r="Y230" s="30">
        <v>237045.02900000001</v>
      </c>
      <c r="Z230" s="209">
        <v>417935.83199999999</v>
      </c>
      <c r="AA230" s="2"/>
    </row>
    <row r="231" spans="1:27" ht="15.75" customHeight="1">
      <c r="A231" s="177">
        <v>42</v>
      </c>
      <c r="B231" s="178" t="s">
        <v>220</v>
      </c>
      <c r="C231" s="127">
        <f>Storage_modulus_G!C231/1000000</f>
        <v>3.6699999999999999E-7</v>
      </c>
      <c r="D231" s="206">
        <f>Storage_modulus_G!D231/1000000</f>
        <v>5.3600000000000004E-7</v>
      </c>
      <c r="E231" s="206">
        <f>Storage_modulus_G!E231/1000000</f>
        <v>1.1759999999999998E-6</v>
      </c>
      <c r="F231" s="206">
        <f>Storage_modulus_G!F231/1000000</f>
        <v>2.3159999999999999E-6</v>
      </c>
      <c r="G231" s="206">
        <f>Storage_modulus_G!G231/1000000</f>
        <v>3.67E-6</v>
      </c>
      <c r="H231" s="206">
        <f>Storage_modulus_G!H231/1000000</f>
        <v>5.0800000000000005E-6</v>
      </c>
      <c r="I231" s="206">
        <f>Storage_modulus_G!I231/1000000</f>
        <v>1.0557000000000001E-5</v>
      </c>
      <c r="J231" s="206">
        <f>Storage_modulus_G!J231/1000000</f>
        <v>2.1350999999999999E-5</v>
      </c>
      <c r="K231" s="206">
        <f>Storage_modulus_G!K231/1000000</f>
        <v>4.5584999999999998E-5</v>
      </c>
      <c r="L231" s="206">
        <f>Storage_modulus_G!L231/1000000</f>
        <v>1.0846599999999999E-4</v>
      </c>
      <c r="M231" s="206">
        <f>Storage_modulus_G!M231/1000000</f>
        <v>2.5118899999999997E-4</v>
      </c>
      <c r="N231" s="206">
        <f>Storage_modulus_G!N231/1000000</f>
        <v>5.21972E-4</v>
      </c>
      <c r="O231" s="206">
        <f>Storage_modulus_G!O231/1000000</f>
        <v>1.208796E-3</v>
      </c>
      <c r="P231" s="206">
        <f>Storage_modulus_G!P231/1000000</f>
        <v>2.315826E-3</v>
      </c>
      <c r="Q231" s="206">
        <f>Storage_modulus_G!Q231/1000000</f>
        <v>4.6836909999999994E-3</v>
      </c>
      <c r="R231" s="206">
        <f>Storage_modulus_G!R231/1000000</f>
        <v>8.9730720000000003E-3</v>
      </c>
      <c r="S231" s="206">
        <f>Storage_modulus_G!S231/1000000</f>
        <v>1.5848932E-2</v>
      </c>
      <c r="T231" s="206">
        <f>Storage_modulus_G!T231/1000000</f>
        <v>2.8762294999999997E-2</v>
      </c>
      <c r="U231" s="206">
        <f>Storage_modulus_G!U231/1000000</f>
        <v>4.6836910000000002E-2</v>
      </c>
      <c r="V231" s="206">
        <f>Storage_modulus_G!V231/1000000</f>
        <v>0.1</v>
      </c>
      <c r="W231" s="207">
        <f>Storage_modulus_G!W231/1000000</f>
        <v>0.10274594899999999</v>
      </c>
      <c r="X231" s="2"/>
      <c r="Y231" s="2"/>
      <c r="Z231" s="2"/>
    </row>
    <row r="232" spans="1:27" ht="15.75" customHeight="1">
      <c r="A232" s="174">
        <v>42</v>
      </c>
      <c r="B232" s="179" t="s">
        <v>221</v>
      </c>
      <c r="C232" s="48">
        <f>Storage_modulus_G!C232/1000000</f>
        <v>1.4610000000000001E-6</v>
      </c>
      <c r="D232" s="2">
        <f>Storage_modulus_G!D232/1000000</f>
        <v>3.67E-6</v>
      </c>
      <c r="E232" s="2">
        <f>Storage_modulus_G!E232/1000000</f>
        <v>6.844E-6</v>
      </c>
      <c r="F232" s="2">
        <f>Storage_modulus_G!F232/1000000</f>
        <v>1.6283999999999999E-5</v>
      </c>
      <c r="G232" s="2">
        <f>Storage_modulus_G!G232/1000000</f>
        <v>3.4768000000000003E-5</v>
      </c>
      <c r="H232" s="2">
        <f>Storage_modulus_G!H232/1000000</f>
        <v>5.9768000000000001E-5</v>
      </c>
      <c r="I232" s="2">
        <f>Storage_modulus_G!I232/1000000</f>
        <v>1.17649E-4</v>
      </c>
      <c r="J232" s="2">
        <f>Storage_modulus_G!J232/1000000</f>
        <v>1.9158099999999999E-4</v>
      </c>
      <c r="K232" s="2">
        <f>Storage_modulus_G!K232/1000000</f>
        <v>3.0363600000000003E-4</v>
      </c>
      <c r="L232" s="2">
        <f>Storage_modulus_G!L232/1000000</f>
        <v>4.3181099999999999E-4</v>
      </c>
      <c r="M232" s="2">
        <f>Storage_modulus_G!M232/1000000</f>
        <v>7.03168E-4</v>
      </c>
      <c r="N232" s="2">
        <f>Storage_modulus_G!N232/1000000</f>
        <v>1.1144449999999999E-3</v>
      </c>
      <c r="O232" s="2">
        <f>Storage_modulus_G!O232/1000000</f>
        <v>1.9158119999999998E-3</v>
      </c>
      <c r="P232" s="2">
        <f>Storage_modulus_G!P232/1000000</f>
        <v>3.5722449999999999E-3</v>
      </c>
      <c r="Q232" s="2">
        <f>Storage_modulus_G!Q232/1000000</f>
        <v>6.4828310000000005E-3</v>
      </c>
      <c r="R232" s="2">
        <f>Storage_modulus_G!R232/1000000</f>
        <v>1.17649E-2</v>
      </c>
      <c r="S232" s="2">
        <f>Storage_modulus_G!S232/1000000</f>
        <v>2.0780073E-2</v>
      </c>
      <c r="T232" s="2">
        <f>Storage_modulus_G!T232/1000000</f>
        <v>3.6703364999999995E-2</v>
      </c>
      <c r="U232" s="2">
        <f>Storage_modulus_G!U232/1000000</f>
        <v>5.6616260000000002E-2</v>
      </c>
      <c r="V232" s="2">
        <f>Storage_modulus_G!V232/1000000</f>
        <v>0.10274594899999999</v>
      </c>
      <c r="W232" s="208">
        <f>Storage_modulus_G!W232/1000000</f>
        <v>0.114504757</v>
      </c>
      <c r="X232" s="2"/>
    </row>
    <row r="233" spans="1:27" ht="15.75" customHeight="1">
      <c r="A233" s="174">
        <v>42</v>
      </c>
      <c r="B233" s="179" t="s">
        <v>222</v>
      </c>
      <c r="C233" s="48">
        <f>Storage_modulus_G!C233/1000000</f>
        <v>1.241989E-3</v>
      </c>
      <c r="D233" s="2">
        <f>Storage_modulus_G!D233/1000000</f>
        <v>8.4998599999999995E-4</v>
      </c>
      <c r="E233" s="2">
        <f>Storage_modulus_G!E233/1000000</f>
        <v>5.3630499999999994E-4</v>
      </c>
      <c r="F233" s="2">
        <f>Storage_modulus_G!F233/1000000</f>
        <v>4.20271E-4</v>
      </c>
      <c r="G233" s="2">
        <f>Storage_modulus_G!G233/1000000</f>
        <v>4.3181099999999999E-4</v>
      </c>
      <c r="H233" s="2">
        <f>Storage_modulus_G!H233/1000000</f>
        <v>5.6616300000000006E-4</v>
      </c>
      <c r="I233" s="2">
        <f>Storage_modulus_G!I233/1000000</f>
        <v>6.1409500000000005E-4</v>
      </c>
      <c r="J233" s="2">
        <f>Storage_modulus_G!J233/1000000</f>
        <v>9.4726300000000005E-4</v>
      </c>
      <c r="K233" s="2">
        <f>Storage_modulus_G!K233/1000000</f>
        <v>1.208796E-3</v>
      </c>
      <c r="L233" s="2">
        <f>Storage_modulus_G!L233/1000000</f>
        <v>1.7190719999999999E-3</v>
      </c>
      <c r="M233" s="2">
        <f>Storage_modulus_G!M233/1000000</f>
        <v>2.6517310000000001E-3</v>
      </c>
      <c r="N233" s="2">
        <f>Storage_modulus_G!N233/1000000</f>
        <v>3.9810720000000004E-3</v>
      </c>
      <c r="O233" s="2">
        <f>Storage_modulus_G!O233/1000000</f>
        <v>6.84375E-3</v>
      </c>
      <c r="P233" s="2">
        <f>Storage_modulus_G!P233/1000000</f>
        <v>1.1144454999999999E-2</v>
      </c>
      <c r="Q233" s="2">
        <f>Storage_modulus_G!Q233/1000000</f>
        <v>1.864611E-2</v>
      </c>
      <c r="R233" s="2">
        <f>Storage_modulus_G!R233/1000000</f>
        <v>2.7245458E-2</v>
      </c>
      <c r="S233" s="2">
        <f>Storage_modulus_G!S233/1000000</f>
        <v>4.6836910000000002E-2</v>
      </c>
      <c r="T233" s="2">
        <f>Storage_modulus_G!T233/1000000</f>
        <v>6.1409461999999998E-2</v>
      </c>
      <c r="U233" s="2">
        <f>Storage_modulus_G!U233/1000000</f>
        <v>4.2027099000000005E-2</v>
      </c>
      <c r="V233" s="2">
        <f>Storage_modulus_G!V233/1000000</f>
        <v>0.105567299</v>
      </c>
      <c r="W233" s="208">
        <f>Storage_modulus_G!W233/1000000</f>
        <v>0.114504757</v>
      </c>
      <c r="X233" s="2"/>
    </row>
    <row r="234" spans="1:27" ht="15.75" customHeight="1">
      <c r="A234" s="174">
        <v>42</v>
      </c>
      <c r="B234" s="179" t="s">
        <v>224</v>
      </c>
      <c r="C234" s="48">
        <f>Storage_modulus_G!C234/1000000</f>
        <v>0.17256529400000001</v>
      </c>
      <c r="D234" s="2">
        <f>Storage_modulus_G!D234/1000000</f>
        <v>0.1771075</v>
      </c>
      <c r="E234" s="2">
        <f>Storage_modulus_G!E234/1000000</f>
        <v>0.19271180600000001</v>
      </c>
      <c r="F234" s="2">
        <f>Storage_modulus_G!F234/1000000</f>
        <v>0.241901704</v>
      </c>
      <c r="G234" s="2">
        <f>Storage_modulus_G!G234/1000000</f>
        <v>0.33255369499999998</v>
      </c>
      <c r="H234" s="2">
        <f>Storage_modulus_G!H234/1000000</f>
        <v>0.30962224699999996</v>
      </c>
      <c r="I234" s="2">
        <f>Storage_modulus_G!I234/1000000</f>
        <v>0.249886791</v>
      </c>
      <c r="J234" s="2">
        <f>Storage_modulus_G!J234/1000000</f>
        <v>0.23723365799999999</v>
      </c>
      <c r="K234" s="2">
        <f>Storage_modulus_G!K234/1000000</f>
        <v>0.25646422800000002</v>
      </c>
      <c r="L234" s="2">
        <f>Storage_modulus_G!L234/1000000</f>
        <v>0.31367066700000001</v>
      </c>
      <c r="M234" s="2">
        <f>Storage_modulus_G!M234/1000000</f>
        <v>0.436856201</v>
      </c>
      <c r="N234" s="2">
        <f>Storage_modulus_G!N234/1000000</f>
        <v>0.68833478599999998</v>
      </c>
      <c r="O234" s="2">
        <f>Storage_modulus_G!O234/1000000</f>
        <v>1.0636489299999998</v>
      </c>
      <c r="P234" s="2">
        <f>Storage_modulus_G!P234/1000000</f>
        <v>1.8117989939999999</v>
      </c>
      <c r="Q234" s="2">
        <f>Storage_modulus_G!Q234/1000000</f>
        <v>3.2297420809999999</v>
      </c>
      <c r="R234" s="2"/>
      <c r="S234" s="2"/>
      <c r="T234" s="2"/>
      <c r="U234" s="2"/>
      <c r="V234" s="2"/>
      <c r="W234" s="208"/>
      <c r="X234" s="2"/>
    </row>
    <row r="235" spans="1:27" ht="15.75" customHeight="1">
      <c r="A235" s="174">
        <v>42</v>
      </c>
      <c r="B235" s="179" t="s">
        <v>225</v>
      </c>
      <c r="C235" s="48">
        <f>Storage_modulus_G!C235/1000000</f>
        <v>0.32402482100000002</v>
      </c>
      <c r="D235" s="2">
        <f>Storage_modulus_G!D235/1000000</f>
        <v>0.35257348399999999</v>
      </c>
      <c r="E235" s="2">
        <f>Storage_modulus_G!E235/1000000</f>
        <v>0.33690195099999998</v>
      </c>
      <c r="F235" s="2">
        <f>Storage_modulus_G!F235/1000000</f>
        <v>0.40148297799999999</v>
      </c>
      <c r="G235" s="2">
        <f>Storage_modulus_G!G235/1000000</f>
        <v>0.46315502000000003</v>
      </c>
      <c r="H235" s="2">
        <f>Storage_modulus_G!H235/1000000</f>
        <v>0.40938295899999999</v>
      </c>
      <c r="I235" s="2">
        <f>Storage_modulus_G!I235/1000000</f>
        <v>0.31367066700000001</v>
      </c>
      <c r="J235" s="2">
        <f>Storage_modulus_G!J235/1000000</f>
        <v>0.28270918300000003</v>
      </c>
      <c r="K235" s="2">
        <f>Storage_modulus_G!K235/1000000</f>
        <v>0.30168148700000003</v>
      </c>
      <c r="L235" s="2">
        <f>Storage_modulus_G!L235/1000000</f>
        <v>0.39630120000000002</v>
      </c>
      <c r="M235" s="2">
        <f>Storage_modulus_G!M235/1000000</f>
        <v>0.57387226100000011</v>
      </c>
      <c r="N235" s="2">
        <f>Storage_modulus_G!N235/1000000</f>
        <v>0.94015983299999994</v>
      </c>
      <c r="O235" s="2">
        <f>Storage_modulus_G!O235/1000000</f>
        <v>1.6978576249999999</v>
      </c>
      <c r="P235" s="2">
        <f>Storage_modulus_G!P235/1000000</f>
        <v>2.873373629</v>
      </c>
      <c r="Q235" s="2">
        <f>Storage_modulus_G!Q235/1000000</f>
        <v>5.1890956780000002</v>
      </c>
      <c r="R235" s="2"/>
      <c r="S235" s="2"/>
      <c r="T235" s="2"/>
      <c r="U235" s="2"/>
      <c r="V235" s="2"/>
      <c r="W235" s="208"/>
      <c r="X235" s="2"/>
    </row>
    <row r="236" spans="1:27" ht="15.75" customHeight="1">
      <c r="A236" s="174">
        <v>42</v>
      </c>
      <c r="B236" s="179" t="s">
        <v>226</v>
      </c>
      <c r="C236" s="128">
        <f>Storage_modulus_G!C236/1000000</f>
        <v>0.32402482100000002</v>
      </c>
      <c r="D236" s="30">
        <f>Storage_modulus_G!D236/1000000</f>
        <v>0.35257348399999999</v>
      </c>
      <c r="E236" s="30">
        <f>Storage_modulus_G!E236/1000000</f>
        <v>0.33690195099999998</v>
      </c>
      <c r="F236" s="30">
        <f>Storage_modulus_G!F236/1000000</f>
        <v>0.40148297799999999</v>
      </c>
      <c r="G236" s="30">
        <f>Storage_modulus_G!G236/1000000</f>
        <v>0.5483642219999999</v>
      </c>
      <c r="H236" s="30">
        <f>Storage_modulus_G!H236/1000000</f>
        <v>0.472268521</v>
      </c>
      <c r="I236" s="30">
        <f>Storage_modulus_G!I236/1000000</f>
        <v>0.31367066700000001</v>
      </c>
      <c r="J236" s="30">
        <f>Storage_modulus_G!J236/1000000</f>
        <v>0.28270918300000003</v>
      </c>
      <c r="K236" s="30">
        <f>Storage_modulus_G!K236/1000000</f>
        <v>0.30168148700000003</v>
      </c>
      <c r="L236" s="30">
        <f>Storage_modulus_G!L236/1000000</f>
        <v>0.39630120000000002</v>
      </c>
      <c r="M236" s="30">
        <f>Storage_modulus_G!M236/1000000</f>
        <v>0.57387226100000011</v>
      </c>
      <c r="N236" s="30">
        <f>Storage_modulus_G!N236/1000000</f>
        <v>0.94015983299999994</v>
      </c>
      <c r="O236" s="30">
        <f>Storage_modulus_G!O236/1000000</f>
        <v>1.6978576249999999</v>
      </c>
      <c r="P236" s="30">
        <f>Storage_modulus_G!P236/1000000</f>
        <v>2.873373629</v>
      </c>
      <c r="Q236" s="30">
        <f>Storage_modulus_G!Q236/1000000</f>
        <v>10.065164437</v>
      </c>
      <c r="R236" s="30"/>
      <c r="S236" s="30"/>
      <c r="T236" s="30"/>
      <c r="U236" s="30"/>
      <c r="V236" s="30"/>
      <c r="W236" s="209"/>
      <c r="X236" s="2"/>
    </row>
    <row r="237" spans="1:27" ht="15.75" customHeight="1">
      <c r="A237" s="201">
        <v>43</v>
      </c>
      <c r="B237" s="58">
        <v>1</v>
      </c>
      <c r="C237" s="2">
        <f>Storage_modulus_G!C237/1000000</f>
        <v>3.5999999999999999E-7</v>
      </c>
      <c r="D237" s="2">
        <f>Storage_modulus_G!D237/1000000</f>
        <v>6.5000000000000002E-7</v>
      </c>
      <c r="E237" s="2">
        <f>Storage_modulus_G!E237/1000000</f>
        <v>1.085E-6</v>
      </c>
      <c r="F237" s="2">
        <f>Storage_modulus_G!F237/1000000</f>
        <v>1.858E-6</v>
      </c>
      <c r="G237" s="2">
        <f>Storage_modulus_G!G237/1000000</f>
        <v>3.2650000000000001E-6</v>
      </c>
      <c r="H237" s="2">
        <f>Storage_modulus_G!H237/1000000</f>
        <v>6.1970000000000001E-6</v>
      </c>
      <c r="I237" s="2">
        <f>Storage_modulus_G!I237/1000000</f>
        <v>1.1763000000000001E-5</v>
      </c>
      <c r="J237" s="2">
        <f>Storage_modulus_G!J237/1000000</f>
        <v>2.4109999999999998E-5</v>
      </c>
      <c r="K237" s="2">
        <f>Storage_modulus_G!K237/1000000</f>
        <v>4.2372999999999996E-5</v>
      </c>
      <c r="L237" s="2">
        <f>Storage_modulus_G!L237/1000000</f>
        <v>9.8727000000000005E-5</v>
      </c>
      <c r="M237" s="2">
        <f>Storage_modulus_G!M237/1000000</f>
        <v>2.0235900000000002E-4</v>
      </c>
      <c r="N237" s="2">
        <f>Storage_modulus_G!N237/1000000</f>
        <v>3.94046E-4</v>
      </c>
      <c r="O237" s="2">
        <f>Storage_modulus_G!O237/1000000</f>
        <v>8.5015700000000004E-4</v>
      </c>
      <c r="P237" s="2">
        <f>Storage_modulus_G!P237/1000000</f>
        <v>1.7425589999999999E-3</v>
      </c>
      <c r="Q237" s="2">
        <f>Storage_modulus_G!Q237/1000000</f>
        <v>2.8358950000000002E-3</v>
      </c>
      <c r="R237" s="208">
        <f>Storage_modulus_G!R237/1000000</f>
        <v>4.7350510000000005E-3</v>
      </c>
      <c r="S237" s="2"/>
      <c r="T237" s="2"/>
      <c r="U237" s="2"/>
      <c r="V237" s="2"/>
      <c r="W237" s="2"/>
    </row>
    <row r="238" spans="1:27" ht="15.75" customHeight="1">
      <c r="A238" s="200">
        <v>43</v>
      </c>
      <c r="B238" s="59">
        <v>2</v>
      </c>
      <c r="C238" s="2">
        <f>Storage_modulus_G!C238/1000000</f>
        <v>1.5900000000000001E-7</v>
      </c>
      <c r="D238" s="2">
        <f>Storage_modulus_G!D238/1000000</f>
        <v>3.1699999999999999E-7</v>
      </c>
      <c r="E238" s="2">
        <f>Storage_modulus_G!E238/1000000</f>
        <v>5.7099999999999991E-7</v>
      </c>
      <c r="F238" s="2">
        <f>Storage_modulus_G!F238/1000000</f>
        <v>9.300000000000001E-7</v>
      </c>
      <c r="G238" s="2">
        <f>Storage_modulus_G!G238/1000000</f>
        <v>1.593E-6</v>
      </c>
      <c r="H238" s="2">
        <f>Storage_modulus_G!H238/1000000</f>
        <v>2.6599999999999999E-6</v>
      </c>
      <c r="I238" s="2">
        <f>Storage_modulus_G!I238/1000000</f>
        <v>4.4409999999999995E-6</v>
      </c>
      <c r="J238" s="2">
        <f>Storage_modulus_G!J238/1000000</f>
        <v>8.0079999999999985E-6</v>
      </c>
      <c r="K238" s="2">
        <f>Storage_modulus_G!K238/1000000</f>
        <v>1.2381000000000001E-5</v>
      </c>
      <c r="L238" s="2">
        <f>Storage_modulus_G!L238/1000000</f>
        <v>2.4736000000000002E-5</v>
      </c>
      <c r="M238" s="2">
        <f>Storage_modulus_G!M238/1000000</f>
        <v>4.2372999999999996E-5</v>
      </c>
      <c r="N238" s="2">
        <f>Storage_modulus_G!N238/1000000</f>
        <v>8.6850999999999999E-5</v>
      </c>
      <c r="O238" s="2">
        <f>Storage_modulus_G!O238/1000000</f>
        <v>1.5660499999999998E-4</v>
      </c>
      <c r="P238" s="2">
        <f>Storage_modulus_G!P238/1000000</f>
        <v>3.3787599999999997E-4</v>
      </c>
      <c r="Q238" s="2">
        <f>Storage_modulus_G!Q238/1000000</f>
        <v>7.1052099999999998E-4</v>
      </c>
      <c r="R238" s="208">
        <f>Storage_modulus_G!R238/1000000</f>
        <v>1.2811700000000001E-3</v>
      </c>
      <c r="S238" s="2"/>
    </row>
    <row r="239" spans="1:27" ht="15.75" customHeight="1">
      <c r="A239" s="202">
        <v>43</v>
      </c>
      <c r="B239" s="203">
        <v>3</v>
      </c>
      <c r="C239" s="30">
        <f>Storage_modulus_G!C239/1000000</f>
        <v>4.1477300000000001E-4</v>
      </c>
      <c r="D239" s="30">
        <f>Storage_modulus_G!D239/1000000</f>
        <v>4.4792599999999997E-4</v>
      </c>
      <c r="E239" s="30">
        <f>Storage_modulus_G!E239/1000000</f>
        <v>5.4987000000000005E-4</v>
      </c>
      <c r="F239" s="30">
        <f>Storage_modulus_G!F239/1000000</f>
        <v>6.4128399999999999E-4</v>
      </c>
      <c r="G239" s="30">
        <f>Storage_modulus_G!G239/1000000</f>
        <v>6.7501499999999995E-4</v>
      </c>
      <c r="H239" s="30">
        <f>Storage_modulus_G!H239/1000000</f>
        <v>7.8723400000000005E-4</v>
      </c>
      <c r="I239" s="30">
        <f>Storage_modulus_G!I239/1000000</f>
        <v>9.4194600000000004E-4</v>
      </c>
      <c r="J239" s="30">
        <f>Storage_modulus_G!J239/1000000</f>
        <v>1.0707410000000001E-3</v>
      </c>
      <c r="K239" s="30">
        <f>Storage_modulus_G!K239/1000000</f>
        <v>1.1270630000000002E-3</v>
      </c>
      <c r="L239" s="30">
        <f>Storage_modulus_G!L239/1000000</f>
        <v>1.3485599999999999E-3</v>
      </c>
      <c r="M239" s="30">
        <f>Storage_modulus_G!M239/1000000</f>
        <v>1.5329529999999999E-3</v>
      </c>
      <c r="N239" s="30">
        <f>Storage_modulus_G!N239/1000000</f>
        <v>2.0322529999999999E-3</v>
      </c>
      <c r="O239" s="30">
        <f>Storage_modulus_G!O239/1000000</f>
        <v>2.3701080000000001E-3</v>
      </c>
      <c r="P239" s="30">
        <f>Storage_modulus_G!P239/1000000</f>
        <v>2.9850639999999999E-3</v>
      </c>
      <c r="Q239" s="30">
        <f>Storage_modulus_G!Q239/1000000</f>
        <v>3.857189E-3</v>
      </c>
      <c r="R239" s="209">
        <f>Storage_modulus_G!R239/1000000</f>
        <v>4.9841160000000002E-3</v>
      </c>
      <c r="S239" s="2"/>
    </row>
    <row r="240" spans="1:27" ht="15.75" customHeight="1">
      <c r="A240" s="200">
        <v>44</v>
      </c>
      <c r="B240" s="59" t="s">
        <v>220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3" ht="15.75" customHeight="1">
      <c r="A241" s="200">
        <v>44</v>
      </c>
      <c r="B241" s="59" t="s">
        <v>221</v>
      </c>
    </row>
    <row r="242" spans="1:13" ht="15.75" customHeight="1">
      <c r="A242" s="200">
        <v>44</v>
      </c>
      <c r="B242" s="59" t="s">
        <v>222</v>
      </c>
    </row>
    <row r="243" spans="1:13" ht="15.75" customHeight="1">
      <c r="A243" s="200">
        <v>44</v>
      </c>
      <c r="B243" s="59" t="s">
        <v>223</v>
      </c>
    </row>
    <row r="244" spans="1:13" ht="15.75" customHeight="1">
      <c r="A244" s="200">
        <v>44</v>
      </c>
      <c r="B244" s="59" t="s">
        <v>228</v>
      </c>
    </row>
    <row r="245" spans="1:13" ht="15.75" customHeight="1">
      <c r="A245" s="200">
        <v>44</v>
      </c>
      <c r="B245" s="59" t="s">
        <v>224</v>
      </c>
    </row>
    <row r="246" spans="1:13" ht="15.75" customHeight="1">
      <c r="A246" s="200">
        <v>44</v>
      </c>
      <c r="B246" s="59" t="s">
        <v>225</v>
      </c>
    </row>
    <row r="247" spans="1:13" ht="15.75" customHeight="1">
      <c r="A247" s="200">
        <v>44</v>
      </c>
      <c r="B247" s="59" t="s">
        <v>226</v>
      </c>
    </row>
    <row r="248" spans="1:13" ht="15.75" customHeight="1">
      <c r="A248" s="200">
        <v>44</v>
      </c>
      <c r="B248" s="59" t="s">
        <v>227</v>
      </c>
    </row>
    <row r="249" spans="1:13" ht="15.75" customHeight="1">
      <c r="A249" s="200">
        <v>44</v>
      </c>
      <c r="B249" s="59" t="s">
        <v>229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3" ht="15.75" customHeight="1">
      <c r="A250" s="177">
        <v>45</v>
      </c>
      <c r="B250" s="178" t="s">
        <v>220</v>
      </c>
      <c r="C250" s="206">
        <f>Storage_modulus_G!C250/1000000</f>
        <v>1.1370000000000001E-6</v>
      </c>
      <c r="D250" s="206">
        <f>Storage_modulus_G!D250/1000000</f>
        <v>2.3740000000000001E-6</v>
      </c>
      <c r="E250" s="206">
        <f>Storage_modulus_G!E250/1000000</f>
        <v>4.8799999999999999E-6</v>
      </c>
      <c r="F250" s="206">
        <f>Storage_modulus_G!F250/1000000</f>
        <v>1.0526000000000001E-5</v>
      </c>
      <c r="G250" s="206">
        <f>Storage_modulus_G!G250/1000000</f>
        <v>2.1985999999999999E-5</v>
      </c>
      <c r="H250" s="206">
        <f>Storage_modulus_G!H250/1000000</f>
        <v>4.6663999999999999E-5</v>
      </c>
      <c r="I250" s="206">
        <f>Storage_modulus_G!I250/1000000</f>
        <v>1.09032E-4</v>
      </c>
      <c r="J250" s="206">
        <f>Storage_modulus_G!J250/1000000</f>
        <v>2.6304399999999998E-4</v>
      </c>
      <c r="K250" s="206">
        <f>Storage_modulus_G!K250/1000000</f>
        <v>9.6229900000000001E-4</v>
      </c>
      <c r="L250" s="207">
        <f>Storage_modulus_G!L250/1000000</f>
        <v>1.5557260000000001E-3</v>
      </c>
      <c r="M250" s="2"/>
    </row>
    <row r="251" spans="1:13" ht="15.75" customHeight="1">
      <c r="A251" s="174">
        <v>45</v>
      </c>
      <c r="B251" s="179" t="s">
        <v>221</v>
      </c>
      <c r="C251" s="2">
        <f>Storage_modulus_G!C251/1000000</f>
        <v>4.092E-6</v>
      </c>
      <c r="D251" s="2">
        <f>Storage_modulus_G!D251/1000000</f>
        <v>8.5480000000000002E-6</v>
      </c>
      <c r="E251" s="2">
        <f>Storage_modulus_G!E251/1000000</f>
        <v>1.9035E-5</v>
      </c>
      <c r="F251" s="2">
        <f>Storage_modulus_G!F251/1000000</f>
        <v>3.9128000000000002E-5</v>
      </c>
      <c r="G251" s="2">
        <f>Storage_modulus_G!G251/1000000</f>
        <v>8.997100000000001E-5</v>
      </c>
      <c r="H251" s="2">
        <f>Storage_modulus_G!H251/1000000</f>
        <v>2.0359299999999999E-4</v>
      </c>
      <c r="I251" s="2">
        <f>Storage_modulus_G!I251/1000000</f>
        <v>4.6070299999999997E-4</v>
      </c>
      <c r="J251" s="2">
        <f>Storage_modulus_G!J251/1000000</f>
        <v>1.2837599999999999E-3</v>
      </c>
      <c r="K251" s="2">
        <f>Storage_modulus_G!K251/1000000</f>
        <v>2.5557029999999999E-3</v>
      </c>
      <c r="L251" s="208">
        <f>Storage_modulus_G!L251/1000000</f>
        <v>4.4050410000000002E-3</v>
      </c>
      <c r="M251" s="2"/>
    </row>
    <row r="252" spans="1:13" ht="15.75" customHeight="1">
      <c r="A252" s="174">
        <v>45</v>
      </c>
      <c r="B252" s="179" t="s">
        <v>222</v>
      </c>
      <c r="C252" s="2">
        <f>Storage_modulus_G!C252/1000000</f>
        <v>1.0359E-5</v>
      </c>
      <c r="D252" s="2">
        <f>Storage_modulus_G!D252/1000000</f>
        <v>2.2701000000000002E-5</v>
      </c>
      <c r="E252" s="2">
        <f>Storage_modulus_G!E252/1000000</f>
        <v>4.8183000000000003E-5</v>
      </c>
      <c r="F252" s="2">
        <f>Storage_modulus_G!F252/1000000</f>
        <v>1.0729999999999999E-4</v>
      </c>
      <c r="G252" s="2">
        <f>Storage_modulus_G!G252/1000000</f>
        <v>2.5475299999999998E-4</v>
      </c>
      <c r="H252" s="2">
        <f>Storage_modulus_G!H252/1000000</f>
        <v>5.67316E-4</v>
      </c>
      <c r="I252" s="2">
        <f>Storage_modulus_G!I252/1000000</f>
        <v>1.2041140000000001E-3</v>
      </c>
      <c r="J252" s="2">
        <f>Storage_modulus_G!J252/1000000</f>
        <v>2.8134229999999998E-3</v>
      </c>
      <c r="K252" s="2">
        <f>Storage_modulus_G!K252/1000000</f>
        <v>6.0678100000000007E-3</v>
      </c>
      <c r="L252" s="208">
        <f>Storage_modulus_G!L252/1000000</f>
        <v>1.0798904E-2</v>
      </c>
      <c r="M252" s="2"/>
    </row>
    <row r="253" spans="1:13" ht="15.75" customHeight="1">
      <c r="A253" s="174">
        <v>45</v>
      </c>
      <c r="B253" s="179" t="s">
        <v>223</v>
      </c>
      <c r="C253" s="2">
        <f>Storage_modulus_G!C253/1000000</f>
        <v>4.4475999999999999E-5</v>
      </c>
      <c r="D253" s="2">
        <f>Storage_modulus_G!D253/1000000</f>
        <v>8.0431000000000003E-5</v>
      </c>
      <c r="E253" s="2">
        <f>Storage_modulus_G!E253/1000000</f>
        <v>1.76269E-4</v>
      </c>
      <c r="F253" s="2">
        <f>Storage_modulus_G!F253/1000000</f>
        <v>3.4534099999999999E-4</v>
      </c>
      <c r="G253" s="2">
        <f>Storage_modulus_G!G253/1000000</f>
        <v>6.9859900000000005E-4</v>
      </c>
      <c r="H253" s="2">
        <f>Storage_modulus_G!H253/1000000</f>
        <v>1.390767E-3</v>
      </c>
      <c r="I253" s="2">
        <f>Storage_modulus_G!I253/1000000</f>
        <v>3.7532620000000003E-3</v>
      </c>
      <c r="J253" s="2">
        <f>Storage_modulus_G!J253/1000000</f>
        <v>6.8970730000000001E-3</v>
      </c>
      <c r="K253" s="2">
        <f>Storage_modulus_G!K253/1000000</f>
        <v>1.2878783E-2</v>
      </c>
      <c r="L253" s="208">
        <f>Storage_modulus_G!L253/1000000</f>
        <v>2.4830932999999999E-2</v>
      </c>
      <c r="M253" s="2"/>
    </row>
    <row r="254" spans="1:13" ht="15.75" customHeight="1">
      <c r="A254" s="174">
        <v>45</v>
      </c>
      <c r="B254" s="179" t="s">
        <v>224</v>
      </c>
      <c r="C254" s="2"/>
      <c r="D254" s="2"/>
      <c r="E254" s="2"/>
      <c r="F254" s="2"/>
      <c r="G254" s="2"/>
      <c r="H254" s="2"/>
      <c r="I254" s="2"/>
      <c r="J254" s="2"/>
      <c r="K254" s="2"/>
      <c r="L254" s="208"/>
      <c r="M254" s="2"/>
    </row>
    <row r="255" spans="1:13" ht="15.75" customHeight="1">
      <c r="A255" s="174">
        <v>45</v>
      </c>
      <c r="B255" s="179" t="s">
        <v>225</v>
      </c>
      <c r="C255" s="2"/>
      <c r="D255" s="2"/>
      <c r="E255" s="2"/>
      <c r="F255" s="2"/>
      <c r="G255" s="2"/>
      <c r="H255" s="2"/>
      <c r="I255" s="2"/>
      <c r="J255" s="2"/>
      <c r="K255" s="2"/>
      <c r="L255" s="208"/>
      <c r="M255" s="2"/>
    </row>
    <row r="256" spans="1:13" ht="15.75" customHeight="1">
      <c r="A256" s="174">
        <v>45</v>
      </c>
      <c r="B256" s="179" t="s">
        <v>226</v>
      </c>
      <c r="C256" s="2"/>
      <c r="D256" s="2"/>
      <c r="E256" s="2"/>
      <c r="F256" s="2"/>
      <c r="G256" s="2"/>
      <c r="H256" s="2"/>
      <c r="I256" s="2"/>
      <c r="J256" s="2"/>
      <c r="K256" s="2"/>
      <c r="L256" s="208"/>
      <c r="M256" s="2"/>
    </row>
    <row r="257" spans="1:28" ht="15.75" customHeight="1">
      <c r="A257" s="174">
        <v>45</v>
      </c>
      <c r="B257" s="179" t="s">
        <v>227</v>
      </c>
      <c r="C257" s="2"/>
      <c r="D257" s="2"/>
      <c r="E257" s="2"/>
      <c r="F257" s="2"/>
      <c r="G257" s="2"/>
      <c r="H257" s="2"/>
      <c r="I257" s="2"/>
      <c r="J257" s="2"/>
      <c r="K257" s="2"/>
      <c r="L257" s="208"/>
      <c r="M257" s="2"/>
      <c r="N257" s="2"/>
      <c r="O257" s="2"/>
      <c r="P257" s="2"/>
      <c r="Q257" s="2"/>
      <c r="R257" s="2"/>
      <c r="S257" s="2"/>
      <c r="T257" s="2"/>
      <c r="U257" s="2"/>
    </row>
    <row r="258" spans="1:28" ht="15.75" customHeight="1">
      <c r="A258" s="177">
        <v>46</v>
      </c>
      <c r="B258" s="178">
        <v>1</v>
      </c>
      <c r="C258" s="206">
        <f>Storage_modulus_G!C258/1000000</f>
        <v>1.1877E-5</v>
      </c>
      <c r="D258" s="206">
        <f>Storage_modulus_G!D258/1000000</f>
        <v>1.2689999999999999E-5</v>
      </c>
      <c r="E258" s="206">
        <f>Storage_modulus_G!E258/1000000</f>
        <v>1.4484999999999999E-5</v>
      </c>
      <c r="F258" s="206">
        <f>Storage_modulus_G!F258/1000000</f>
        <v>1.5476000000000002E-5</v>
      </c>
      <c r="G258" s="206">
        <f>Storage_modulus_G!G258/1000000</f>
        <v>1.6754999999999998E-5</v>
      </c>
      <c r="H258" s="206">
        <f>Storage_modulus_G!H258/1000000</f>
        <v>1.6533999999999998E-5</v>
      </c>
      <c r="I258" s="206">
        <f>Storage_modulus_G!I258/1000000</f>
        <v>1.7433000000000001E-5</v>
      </c>
      <c r="J258" s="206">
        <f>Storage_modulus_G!J258/1000000</f>
        <v>1.7433000000000001E-5</v>
      </c>
      <c r="K258" s="206">
        <f>Storage_modulus_G!K258/1000000</f>
        <v>1.8626000000000001E-5</v>
      </c>
      <c r="L258" s="206">
        <f>Storage_modulus_G!L258/1000000</f>
        <v>2.0164999999999998E-5</v>
      </c>
      <c r="M258" s="206">
        <f>Storage_modulus_G!M258/1000000</f>
        <v>2.0434000000000001E-5</v>
      </c>
      <c r="N258" s="206">
        <f>Storage_modulus_G!N258/1000000</f>
        <v>2.1260999999999999E-5</v>
      </c>
      <c r="O258" s="206">
        <f>Storage_modulus_G!O258/1000000</f>
        <v>2.4268999999999998E-5</v>
      </c>
      <c r="P258" s="206">
        <f>Storage_modulus_G!P258/1000000</f>
        <v>2.8071999999999998E-5</v>
      </c>
      <c r="Q258" s="206">
        <f>Storage_modulus_G!Q258/1000000</f>
        <v>3.6578000000000001E-5</v>
      </c>
      <c r="R258" s="206">
        <f>Storage_modulus_G!R258/1000000</f>
        <v>6.0479999999999997E-5</v>
      </c>
      <c r="S258" s="206">
        <f>Storage_modulus_G!S258/1000000</f>
        <v>7.1833000000000002E-5</v>
      </c>
      <c r="T258" s="206">
        <f>Storage_modulus_G!T258/1000000</f>
        <v>1.3557599999999999E-4</v>
      </c>
      <c r="U258" s="207">
        <f>Storage_modulus_G!U258/1000000</f>
        <v>2.3018100000000001E-4</v>
      </c>
      <c r="V258" s="2"/>
    </row>
    <row r="259" spans="1:28" ht="15.75" customHeight="1">
      <c r="A259" s="174">
        <v>46</v>
      </c>
      <c r="B259" s="179">
        <v>2</v>
      </c>
      <c r="C259" s="2">
        <f>Storage_modulus_G!C259/1000000</f>
        <v>1.2358165999999999E-2</v>
      </c>
      <c r="D259" s="2">
        <f>Storage_modulus_G!D259/1000000</f>
        <v>1.2858651E-2</v>
      </c>
      <c r="E259" s="2">
        <f>Storage_modulus_G!E259/1000000</f>
        <v>1.3203518000000001E-2</v>
      </c>
      <c r="F259" s="2">
        <f>Storage_modulus_G!F259/1000000</f>
        <v>1.3203518000000001E-2</v>
      </c>
      <c r="G259" s="2">
        <f>Storage_modulus_G!G259/1000000</f>
        <v>1.3029942999999999E-2</v>
      </c>
      <c r="H259" s="2">
        <f>Storage_modulus_G!H259/1000000</f>
        <v>1.3557634000000001E-2</v>
      </c>
      <c r="I259" s="2">
        <f>Storage_modulus_G!I259/1000000</f>
        <v>1.3557634000000001E-2</v>
      </c>
      <c r="J259" s="2">
        <f>Storage_modulus_G!J259/1000000</f>
        <v>1.4873521000000001E-2</v>
      </c>
      <c r="K259" s="2">
        <f>Storage_modulus_G!K259/1000000</f>
        <v>1.4294612999999999E-2</v>
      </c>
      <c r="L259" s="2">
        <f>Storage_modulus_G!L259/1000000</f>
        <v>1.4294612999999999E-2</v>
      </c>
      <c r="M259" s="2">
        <f>Storage_modulus_G!M259/1000000</f>
        <v>1.4677993E-2</v>
      </c>
      <c r="N259" s="2">
        <f>Storage_modulus_G!N259/1000000</f>
        <v>1.4677993E-2</v>
      </c>
      <c r="O259" s="2">
        <f>Storage_modulus_G!O259/1000000</f>
        <v>1.4873521000000001E-2</v>
      </c>
      <c r="P259" s="2">
        <f>Storage_modulus_G!P259/1000000</f>
        <v>1.5272427E-2</v>
      </c>
      <c r="Q259" s="2">
        <f>Storage_modulus_G!Q259/1000000</f>
        <v>1.5475874000000001E-2</v>
      </c>
      <c r="R259" s="2">
        <f>Storage_modulus_G!R259/1000000</f>
        <v>1.5890933999999999E-2</v>
      </c>
      <c r="S259" s="2">
        <f>Storage_modulus_G!S259/1000000</f>
        <v>1.6977941999999999E-2</v>
      </c>
      <c r="T259" s="2">
        <f>Storage_modulus_G!T259/1000000</f>
        <v>1.7900846000000002E-2</v>
      </c>
      <c r="U259" s="208">
        <f>Storage_modulus_G!U259/1000000</f>
        <v>1.9125341000000001E-2</v>
      </c>
      <c r="V259" s="2"/>
    </row>
    <row r="260" spans="1:28" ht="15.75" customHeight="1">
      <c r="A260" s="174">
        <v>46</v>
      </c>
      <c r="B260" s="179">
        <v>3</v>
      </c>
      <c r="C260" s="2">
        <f>Storage_modulus_G!C260/1000000</f>
        <v>1.3921247999999999E-2</v>
      </c>
      <c r="D260" s="2">
        <f>Storage_modulus_G!D260/1000000</f>
        <v>1.4485035E-2</v>
      </c>
      <c r="E260" s="2">
        <f>Storage_modulus_G!E260/1000000</f>
        <v>1.4485035E-2</v>
      </c>
      <c r="F260" s="2">
        <f>Storage_modulus_G!F260/1000000</f>
        <v>1.4677993E-2</v>
      </c>
      <c r="G260" s="2">
        <f>Storage_modulus_G!G260/1000000</f>
        <v>1.5071654E-2</v>
      </c>
      <c r="H260" s="2">
        <f>Storage_modulus_G!H260/1000000</f>
        <v>1.5071654E-2</v>
      </c>
      <c r="I260" s="2">
        <f>Storage_modulus_G!I260/1000000</f>
        <v>1.5272427E-2</v>
      </c>
      <c r="J260" s="2">
        <f>Storage_modulus_G!J260/1000000</f>
        <v>1.3921247999999999E-2</v>
      </c>
      <c r="K260" s="2">
        <f>Storage_modulus_G!K260/1000000</f>
        <v>1.5682031000000003E-2</v>
      </c>
      <c r="L260" s="2">
        <f>Storage_modulus_G!L260/1000000</f>
        <v>1.5890933999999999E-2</v>
      </c>
      <c r="M260" s="2">
        <f>Storage_modulus_G!M260/1000000</f>
        <v>1.6534490000000002E-2</v>
      </c>
      <c r="N260" s="2">
        <f>Storage_modulus_G!N260/1000000</f>
        <v>1.6317126000000001E-2</v>
      </c>
      <c r="O260" s="2">
        <f>Storage_modulus_G!O260/1000000</f>
        <v>1.6977941999999999E-2</v>
      </c>
      <c r="P260" s="2">
        <f>Storage_modulus_G!P260/1000000</f>
        <v>1.6977941999999999E-2</v>
      </c>
      <c r="Q260" s="2">
        <f>Storage_modulus_G!Q260/1000000</f>
        <v>1.7433288000000002E-2</v>
      </c>
      <c r="R260" s="2">
        <f>Storage_modulus_G!R260/1000000</f>
        <v>1.8380944E-2</v>
      </c>
      <c r="S260" s="2">
        <f>Storage_modulus_G!S260/1000000</f>
        <v>1.9380114E-2</v>
      </c>
      <c r="T260" s="2">
        <f>Storage_modulus_G!T260/1000000</f>
        <v>2.0433597000000001E-2</v>
      </c>
      <c r="U260" s="208">
        <f>Storage_modulus_G!U260/1000000</f>
        <v>2.1831343E-2</v>
      </c>
      <c r="V260" s="2"/>
    </row>
    <row r="261" spans="1:28" ht="15.75" customHeight="1">
      <c r="A261" s="174">
        <v>46</v>
      </c>
      <c r="B261" s="179">
        <v>4</v>
      </c>
      <c r="C261" s="2">
        <f>Storage_modulus_G!C261/1000000</f>
        <v>1.7433288000000002E-2</v>
      </c>
      <c r="D261" s="2">
        <f>Storage_modulus_G!D261/1000000</f>
        <v>1.8380944E-2</v>
      </c>
      <c r="E261" s="2">
        <f>Storage_modulus_G!E261/1000000</f>
        <v>1.8625799999999998E-2</v>
      </c>
      <c r="F261" s="2">
        <f>Storage_modulus_G!F261/1000000</f>
        <v>1.9125341000000001E-2</v>
      </c>
      <c r="G261" s="2">
        <f>Storage_modulus_G!G261/1000000</f>
        <v>1.9638279999999998E-2</v>
      </c>
      <c r="H261" s="2">
        <f>Storage_modulus_G!H261/1000000</f>
        <v>1.9380114E-2</v>
      </c>
      <c r="I261" s="2">
        <f>Storage_modulus_G!I261/1000000</f>
        <v>2.0164975999999998E-2</v>
      </c>
      <c r="J261" s="2">
        <f>Storage_modulus_G!J261/1000000</f>
        <v>1.9899884999999999E-2</v>
      </c>
      <c r="K261" s="2">
        <f>Storage_modulus_G!K261/1000000</f>
        <v>2.0433597000000001E-2</v>
      </c>
      <c r="L261" s="2">
        <f>Storage_modulus_G!L261/1000000</f>
        <v>2.0433597000000001E-2</v>
      </c>
      <c r="M261" s="2">
        <f>Storage_modulus_G!M261/1000000</f>
        <v>2.0705796999999998E-2</v>
      </c>
      <c r="N261" s="2">
        <f>Storage_modulus_G!N261/1000000</f>
        <v>2.0981622999999998E-2</v>
      </c>
      <c r="O261" s="2">
        <f>Storage_modulus_G!O261/1000000</f>
        <v>2.1544347000000002E-2</v>
      </c>
      <c r="P261" s="2">
        <f>Storage_modulus_G!P261/1000000</f>
        <v>2.1544347000000002E-2</v>
      </c>
      <c r="Q261" s="2">
        <f>Storage_modulus_G!Q261/1000000</f>
        <v>2.2416856999999998E-2</v>
      </c>
      <c r="R261" s="2">
        <f>Storage_modulus_G!R261/1000000</f>
        <v>2.2715475999999998E-2</v>
      </c>
      <c r="S261" s="2">
        <f>Storage_modulus_G!S261/1000000</f>
        <v>2.4269312000000001E-2</v>
      </c>
      <c r="T261" s="2">
        <f>Storage_modulus_G!T261/1000000</f>
        <v>2.5929437999999999E-2</v>
      </c>
      <c r="U261" s="208">
        <f>Storage_modulus_G!U261/1000000</f>
        <v>2.7338936000000001E-2</v>
      </c>
      <c r="V261" s="2"/>
    </row>
    <row r="262" spans="1:28" ht="15.75" customHeight="1">
      <c r="A262" s="174">
        <v>46</v>
      </c>
      <c r="B262" s="179">
        <v>5</v>
      </c>
      <c r="C262" s="2">
        <f>Storage_modulus_G!C262/1000000</f>
        <v>8.8771969999999999E-3</v>
      </c>
      <c r="D262" s="2">
        <f>Storage_modulus_G!D262/1000000</f>
        <v>9.8685390000000008E-3</v>
      </c>
      <c r="E262" s="2">
        <f>Storage_modulus_G!E262/1000000</f>
        <v>0.01</v>
      </c>
      <c r="F262" s="2">
        <f>Storage_modulus_G!F262/1000000</f>
        <v>9.7388070000000004E-3</v>
      </c>
      <c r="G262" s="2">
        <f>Storage_modulus_G!G262/1000000</f>
        <v>1.0133211999999999E-2</v>
      </c>
      <c r="H262" s="2">
        <f>Storage_modulus_G!H262/1000000</f>
        <v>0.01</v>
      </c>
      <c r="I262" s="2">
        <f>Storage_modulus_G!I262/1000000</f>
        <v>9.8685390000000008E-3</v>
      </c>
      <c r="J262" s="2">
        <f>Storage_modulus_G!J262/1000000</f>
        <v>1.0133211999999999E-2</v>
      </c>
      <c r="K262" s="2">
        <f>Storage_modulus_G!K262/1000000</f>
        <v>1.054359E-2</v>
      </c>
      <c r="L262" s="2">
        <f>Storage_modulus_G!L262/1000000</f>
        <v>1.054359E-2</v>
      </c>
      <c r="M262" s="2">
        <f>Storage_modulus_G!M262/1000000</f>
        <v>1.0826367E-2</v>
      </c>
      <c r="N262" s="2">
        <f>Storage_modulus_G!N262/1000000</f>
        <v>1.0970587E-2</v>
      </c>
      <c r="O262" s="2">
        <f>Storage_modulus_G!O262/1000000</f>
        <v>1.1116728999999999E-2</v>
      </c>
      <c r="P262" s="2">
        <f>Storage_modulus_G!P262/1000000</f>
        <v>1.1721022999999999E-2</v>
      </c>
      <c r="Q262" s="2">
        <f>Storage_modulus_G!Q262/1000000</f>
        <v>1.2035379000000001E-2</v>
      </c>
      <c r="R262" s="2">
        <f>Storage_modulus_G!R262/1000000</f>
        <v>1.2358165999999999E-2</v>
      </c>
      <c r="S262" s="2">
        <f>Storage_modulus_G!S262/1000000</f>
        <v>1.2858651E-2</v>
      </c>
      <c r="T262" s="2">
        <f>Storage_modulus_G!T262/1000000</f>
        <v>1.3738238E-2</v>
      </c>
      <c r="U262" s="208">
        <f>Storage_modulus_G!U262/1000000</f>
        <v>1.4873521000000001E-2</v>
      </c>
      <c r="V262" s="2"/>
    </row>
    <row r="263" spans="1:28" ht="15.75" customHeight="1">
      <c r="A263" s="174">
        <v>46</v>
      </c>
      <c r="B263" s="179">
        <v>6</v>
      </c>
      <c r="C263" s="2">
        <f>Storage_modulus_G!C263/1000000</f>
        <v>2.6624859999999999E-3</v>
      </c>
      <c r="D263" s="2">
        <f>Storage_modulus_G!D263/1000000</f>
        <v>3.2044029999999998E-3</v>
      </c>
      <c r="E263" s="2">
        <f>Storage_modulus_G!E263/1000000</f>
        <v>3.3785909999999998E-3</v>
      </c>
      <c r="F263" s="2">
        <f>Storage_modulus_G!F263/1000000</f>
        <v>3.3785909999999998E-3</v>
      </c>
      <c r="G263" s="2">
        <f>Storage_modulus_G!G263/1000000</f>
        <v>3.4235979999999999E-3</v>
      </c>
      <c r="H263" s="2">
        <f>Storage_modulus_G!H263/1000000</f>
        <v>3.5622480000000001E-3</v>
      </c>
      <c r="I263" s="2">
        <f>Storage_modulus_G!I263/1000000</f>
        <v>3.7558879999999998E-3</v>
      </c>
      <c r="J263" s="2">
        <f>Storage_modulus_G!J263/1000000</f>
        <v>3.7558879999999998E-3</v>
      </c>
      <c r="K263" s="2">
        <f>Storage_modulus_G!K263/1000000</f>
        <v>3.7558879999999998E-3</v>
      </c>
      <c r="L263" s="2">
        <f>Storage_modulus_G!L263/1000000</f>
        <v>4.0662620000000002E-3</v>
      </c>
      <c r="M263" s="2">
        <f>Storage_modulus_G!M263/1000000</f>
        <v>4.2873E-3</v>
      </c>
      <c r="N263" s="2">
        <f>Storage_modulus_G!N263/1000000</f>
        <v>4.6415889999999998E-3</v>
      </c>
      <c r="O263" s="2">
        <f>Storage_modulus_G!O263/1000000</f>
        <v>5.2286650000000004E-3</v>
      </c>
      <c r="P263" s="2">
        <f>Storage_modulus_G!P263/1000000</f>
        <v>5.5863280000000006E-3</v>
      </c>
      <c r="Q263" s="2">
        <f>Storage_modulus_G!Q263/1000000</f>
        <v>6.2101689999999998E-3</v>
      </c>
      <c r="R263" s="2">
        <f>Storage_modulus_G!R263/1000000</f>
        <v>6.5477479999999999E-3</v>
      </c>
      <c r="S263" s="2">
        <f>Storage_modulus_G!S263/1000000</f>
        <v>7.880462999999999E-3</v>
      </c>
      <c r="T263" s="2">
        <f>Storage_modulus_G!T263/1000000</f>
        <v>9.2367090000000009E-3</v>
      </c>
      <c r="U263" s="208">
        <f>Storage_modulus_G!U263/1000000</f>
        <v>0.01</v>
      </c>
      <c r="V263" s="2"/>
      <c r="W263" s="2"/>
      <c r="X263" s="2"/>
      <c r="Y263" s="2"/>
      <c r="Z263" s="2"/>
      <c r="AA263" s="2"/>
    </row>
    <row r="264" spans="1:28" ht="15.75" customHeight="1">
      <c r="A264" s="177">
        <v>47</v>
      </c>
      <c r="B264" s="178" t="s">
        <v>220</v>
      </c>
      <c r="C264" s="206">
        <f>Storage_modulus_G!C264/1000000</f>
        <v>4.8399999999999994E-7</v>
      </c>
      <c r="D264" s="206">
        <f>Storage_modulus_G!D264/1000000</f>
        <v>6.6000000000000003E-7</v>
      </c>
      <c r="E264" s="206">
        <f>Storage_modulus_G!E264/1000000</f>
        <v>7.0299999999999998E-7</v>
      </c>
      <c r="F264" s="206">
        <f>Storage_modulus_G!F264/1000000</f>
        <v>5.0399999999999996E-7</v>
      </c>
      <c r="G264" s="206">
        <f>Storage_modulus_G!G264/1000000</f>
        <v>3.77E-7</v>
      </c>
      <c r="H264" s="206">
        <f>Storage_modulus_G!H264/1000000</f>
        <v>6.6000000000000003E-7</v>
      </c>
      <c r="I264" s="206">
        <f>Storage_modulus_G!I264/1000000</f>
        <v>7.9600000000000009E-7</v>
      </c>
      <c r="J264" s="206">
        <f>Storage_modulus_G!J264/1000000</f>
        <v>4.01E-7</v>
      </c>
      <c r="K264" s="206">
        <f>Storage_modulus_G!K264/1000000</f>
        <v>1.133E-6</v>
      </c>
      <c r="L264" s="206">
        <f>Storage_modulus_G!L264/1000000</f>
        <v>1.0869999999999999E-6</v>
      </c>
      <c r="M264" s="206">
        <f>Storage_modulus_G!M264/1000000</f>
        <v>2.2460000000000002E-6</v>
      </c>
      <c r="N264" s="206">
        <f>Storage_modulus_G!N264/1000000</f>
        <v>2.5969999999999999E-6</v>
      </c>
      <c r="O264" s="206">
        <f>Storage_modulus_G!O264/1000000</f>
        <v>5.3669999999999996E-6</v>
      </c>
      <c r="P264" s="206">
        <f>Storage_modulus_G!P264/1000000</f>
        <v>8.1270000000000003E-6</v>
      </c>
      <c r="Q264" s="206">
        <f>Storage_modulus_G!Q264/1000000</f>
        <v>1.4228E-5</v>
      </c>
      <c r="R264" s="206">
        <f>Storage_modulus_G!R264/1000000</f>
        <v>2.3898999999999999E-5</v>
      </c>
      <c r="S264" s="206">
        <f>Storage_modulus_G!S264/1000000</f>
        <v>4.3615000000000002E-5</v>
      </c>
      <c r="T264" s="206">
        <f>Storage_modulus_G!T264/1000000</f>
        <v>7.326E-5</v>
      </c>
      <c r="U264" s="206">
        <f>Storage_modulus_G!U264/1000000</f>
        <v>1.39362E-4</v>
      </c>
      <c r="V264" s="206">
        <f>Storage_modulus_G!V264/1000000</f>
        <v>2.7066500000000001E-4</v>
      </c>
      <c r="W264" s="206">
        <f>Storage_modulus_G!W264/1000000</f>
        <v>4.3615400000000001E-4</v>
      </c>
      <c r="X264" s="206">
        <f>Storage_modulus_G!X264/1000000</f>
        <v>7.79636E-4</v>
      </c>
      <c r="Y264" s="206"/>
      <c r="Z264" s="206"/>
      <c r="AA264" s="207"/>
      <c r="AB264" s="2"/>
    </row>
    <row r="265" spans="1:28" ht="15.75" customHeight="1">
      <c r="A265" s="174">
        <v>47</v>
      </c>
      <c r="B265" s="179">
        <v>2</v>
      </c>
      <c r="C265" s="2">
        <f>Storage_modulus_G!C265/1000000</f>
        <v>3.6190000000000004E-6</v>
      </c>
      <c r="D265" s="2">
        <f>Storage_modulus_G!D265/1000000</f>
        <v>2.543E-6</v>
      </c>
      <c r="E265" s="2">
        <f>Storage_modulus_G!E265/1000000</f>
        <v>3.6949999999999998E-6</v>
      </c>
      <c r="F265" s="2">
        <f>Storage_modulus_G!F265/1000000</f>
        <v>5.4790000000000004E-6</v>
      </c>
      <c r="G265" s="2">
        <f>Storage_modulus_G!G265/1000000</f>
        <v>3.9319999999999998E-6</v>
      </c>
      <c r="H265" s="2">
        <f>Storage_modulus_G!H265/1000000</f>
        <v>5.9540000000000001E-6</v>
      </c>
      <c r="I265" s="2">
        <f>Storage_modulus_G!I265/1000000</f>
        <v>7.96E-6</v>
      </c>
      <c r="J265" s="2">
        <f>Storage_modulus_G!J265/1000000</f>
        <v>9.2040000000000003E-6</v>
      </c>
      <c r="K265" s="2">
        <f>Storage_modulus_G!K265/1000000</f>
        <v>1.3369999999999999E-5</v>
      </c>
      <c r="L265" s="2">
        <f>Storage_modulus_G!L265/1000000</f>
        <v>1.7149000000000001E-5</v>
      </c>
      <c r="M265" s="2">
        <f>Storage_modulus_G!M265/1000000</f>
        <v>1.9828999999999999E-5</v>
      </c>
      <c r="N265" s="2">
        <f>Storage_modulus_G!N265/1000000</f>
        <v>2.6511000000000001E-5</v>
      </c>
      <c r="O265" s="2">
        <f>Storage_modulus_G!O265/1000000</f>
        <v>3.4003999999999995E-5</v>
      </c>
      <c r="P265" s="2">
        <f>Storage_modulus_G!P265/1000000</f>
        <v>4.0983999999999999E-5</v>
      </c>
      <c r="Q265" s="2">
        <f>Storage_modulus_G!Q265/1000000</f>
        <v>5.1488999999999994E-5</v>
      </c>
      <c r="R265" s="2">
        <f>Storage_modulus_G!R265/1000000</f>
        <v>7.9597999999999992E-5</v>
      </c>
      <c r="S265" s="2">
        <f>Storage_modulus_G!S265/1000000</f>
        <v>1.0209600000000001E-4</v>
      </c>
      <c r="T265" s="2">
        <f>Storage_modulus_G!T265/1000000</f>
        <v>1.45265E-4</v>
      </c>
      <c r="U265" s="2">
        <f>Storage_modulus_G!U265/1000000</f>
        <v>2.2457E-4</v>
      </c>
      <c r="V265" s="2">
        <f>Storage_modulus_G!V265/1000000</f>
        <v>3.61875E-4</v>
      </c>
      <c r="W265" s="2">
        <f>Storage_modulus_G!W265/1000000</f>
        <v>5.7115900000000001E-4</v>
      </c>
      <c r="X265" s="2">
        <f>Storage_modulus_G!X265/1000000</f>
        <v>9.7947000000000008E-4</v>
      </c>
      <c r="Y265" s="2">
        <f>Storage_modulus_G!Y265/1000000</f>
        <v>1.787526E-3</v>
      </c>
      <c r="Z265" s="2">
        <f>Storage_modulus_G!Z265/1000000</f>
        <v>3.4716869999999998E-3</v>
      </c>
      <c r="AA265" s="208">
        <f>Storage_modulus_G!AA265/1000000</f>
        <v>7.3259650000000003E-3</v>
      </c>
      <c r="AB265" s="2"/>
    </row>
    <row r="266" spans="1:28" ht="15.75" customHeight="1">
      <c r="A266" s="174">
        <v>47</v>
      </c>
      <c r="B266" s="179">
        <v>3</v>
      </c>
      <c r="C266" s="2">
        <f>Storage_modulus_G!C266/1000000</f>
        <v>2.3408E-5</v>
      </c>
      <c r="D266" s="2">
        <f>Storage_modulus_G!D266/1000000</f>
        <v>2.44E-5</v>
      </c>
      <c r="E266" s="2">
        <f>Storage_modulus_G!E266/1000000</f>
        <v>3.0024999999999998E-5</v>
      </c>
      <c r="F266" s="2">
        <f>Storage_modulus_G!F266/1000000</f>
        <v>3.0024999999999998E-5</v>
      </c>
      <c r="G266" s="2">
        <f>Storage_modulus_G!G266/1000000</f>
        <v>3.3305999999999996E-5</v>
      </c>
      <c r="H266" s="2">
        <f>Storage_modulus_G!H266/1000000</f>
        <v>3.7719999999999998E-5</v>
      </c>
      <c r="I266" s="2">
        <f>Storage_modulus_G!I266/1000000</f>
        <v>3.3305999999999996E-5</v>
      </c>
      <c r="J266" s="2">
        <f>Storage_modulus_G!J266/1000000</f>
        <v>3.6186999999999998E-5</v>
      </c>
      <c r="K266" s="2">
        <f>Storage_modulus_G!K266/1000000</f>
        <v>4.0983999999999999E-5</v>
      </c>
      <c r="L266" s="2">
        <f>Storage_modulus_G!L266/1000000</f>
        <v>4.0983999999999999E-5</v>
      </c>
      <c r="M266" s="2">
        <f>Storage_modulus_G!M266/1000000</f>
        <v>4.0983999999999999E-5</v>
      </c>
      <c r="N266" s="2">
        <f>Storage_modulus_G!N266/1000000</f>
        <v>4.8381999999999999E-5</v>
      </c>
      <c r="O266" s="2">
        <f>Storage_modulus_G!O266/1000000</f>
        <v>5.4795E-5</v>
      </c>
      <c r="P266" s="2">
        <f>Storage_modulus_G!P266/1000000</f>
        <v>5.9534999999999998E-5</v>
      </c>
      <c r="Q266" s="2">
        <f>Storage_modulus_G!Q266/1000000</f>
        <v>6.8839999999999998E-5</v>
      </c>
      <c r="R266" s="2">
        <f>Storage_modulus_G!R266/1000000</f>
        <v>7.326E-5</v>
      </c>
      <c r="S266" s="2">
        <f>Storage_modulus_G!S266/1000000</f>
        <v>8.6483999999999994E-5</v>
      </c>
      <c r="T266" s="2">
        <f>Storage_modulus_G!T266/1000000</f>
        <v>1.1092900000000001E-4</v>
      </c>
      <c r="U266" s="2">
        <f>Storage_modulus_G!U266/1000000</f>
        <v>1.6451900000000002E-4</v>
      </c>
      <c r="V266" s="2">
        <f>Storage_modulus_G!V266/1000000</f>
        <v>2.1995900000000001E-4</v>
      </c>
      <c r="W266" s="2">
        <f>Storage_modulus_G!W266/1000000</f>
        <v>3.4004100000000002E-4</v>
      </c>
      <c r="X266" s="2">
        <f>Storage_modulus_G!X266/1000000</f>
        <v>5.8313099999999997E-4</v>
      </c>
      <c r="Y266" s="2">
        <f>Storage_modulus_G!Y266/1000000</f>
        <v>1.10929E-3</v>
      </c>
      <c r="Z266" s="2">
        <f>Storage_modulus_G!Z266/1000000</f>
        <v>2.1995929999999997E-3</v>
      </c>
      <c r="AA266" s="208">
        <f>Storage_modulus_G!AA266/1000000</f>
        <v>4.6415889999999998E-3</v>
      </c>
      <c r="AB266" s="2"/>
    </row>
    <row r="267" spans="1:28" ht="15.75" customHeight="1">
      <c r="A267" s="174">
        <v>47</v>
      </c>
      <c r="B267" s="179" t="s">
        <v>223</v>
      </c>
      <c r="C267" s="2">
        <f>Storage_modulus_G!C267/1000000</f>
        <v>1.0209600000000001E-4</v>
      </c>
      <c r="D267" s="2">
        <f>Storage_modulus_G!D267/1000000</f>
        <v>1.6114099999999998E-4</v>
      </c>
      <c r="E267" s="2">
        <f>Storage_modulus_G!E267/1000000</f>
        <v>1.6114099999999998E-4</v>
      </c>
      <c r="F267" s="2">
        <f>Storage_modulus_G!F267/1000000</f>
        <v>2.15443E-4</v>
      </c>
      <c r="G267" s="2">
        <f>Storage_modulus_G!G267/1000000</f>
        <v>2.5966599999999998E-4</v>
      </c>
      <c r="H267" s="2">
        <f>Storage_modulus_G!H267/1000000</f>
        <v>3.0654E-4</v>
      </c>
      <c r="I267" s="2">
        <f>Storage_modulus_G!I267/1000000</f>
        <v>4.01424E-4</v>
      </c>
      <c r="J267" s="2">
        <f>Storage_modulus_G!J267/1000000</f>
        <v>4.73888E-4</v>
      </c>
      <c r="K267" s="2">
        <f>Storage_modulus_G!K267/1000000</f>
        <v>5.8313099999999997E-4</v>
      </c>
      <c r="L267" s="2">
        <f>Storage_modulus_G!L267/1000000</f>
        <v>7.4795199999999997E-4</v>
      </c>
      <c r="M267" s="2">
        <f>Storage_modulus_G!M267/1000000</f>
        <v>9.5936099999999994E-4</v>
      </c>
      <c r="N267" s="2">
        <f>Storage_modulus_G!N267/1000000</f>
        <v>1.1805170000000001E-3</v>
      </c>
      <c r="O267" s="2">
        <f>Storage_modulus_G!O267/1000000</f>
        <v>1.4831030000000002E-3</v>
      </c>
      <c r="P267" s="2">
        <f>Storage_modulus_G!P267/1000000</f>
        <v>1.824993E-3</v>
      </c>
      <c r="Q267" s="2">
        <f>Storage_modulus_G!Q267/1000000</f>
        <v>2.1544350000000001E-3</v>
      </c>
      <c r="R267" s="2">
        <f>Storage_modulus_G!R267/1000000</f>
        <v>2.5966560000000001E-3</v>
      </c>
      <c r="S267" s="2">
        <f>Storage_modulus_G!S267/1000000</f>
        <v>3.1296480000000001E-3</v>
      </c>
      <c r="T267" s="2">
        <f>Storage_modulus_G!T267/1000000</f>
        <v>3.7720419999999998E-3</v>
      </c>
      <c r="U267" s="2">
        <f>Storage_modulus_G!U267/1000000</f>
        <v>4.2719939999999994E-3</v>
      </c>
      <c r="V267" s="2">
        <f>Storage_modulus_G!V267/1000000</f>
        <v>5.1488670000000005E-3</v>
      </c>
      <c r="W267" s="2">
        <f>Storage_modulus_G!W267/1000000</f>
        <v>6.0783230000000001E-3</v>
      </c>
      <c r="X267" s="2">
        <f>Storage_modulus_G!X267/1000000</f>
        <v>7.9597769999999995E-3</v>
      </c>
      <c r="Y267" s="2"/>
      <c r="Z267" s="2"/>
      <c r="AA267" s="208"/>
      <c r="AB267" s="2"/>
    </row>
    <row r="268" spans="1:28" ht="15.75" customHeight="1">
      <c r="A268" s="174">
        <v>47</v>
      </c>
      <c r="B268" s="179">
        <v>5</v>
      </c>
      <c r="C268" s="2">
        <f>Storage_modulus_G!C268/1000000</f>
        <v>1.365008E-3</v>
      </c>
      <c r="D268" s="2">
        <f>Storage_modulus_G!D268/1000000</f>
        <v>9.0147799999999994E-4</v>
      </c>
      <c r="E268" s="2">
        <f>Storage_modulus_G!E268/1000000</f>
        <v>8.8297000000000007E-4</v>
      </c>
      <c r="F268" s="2">
        <f>Storage_modulus_G!F268/1000000</f>
        <v>1.1805170000000001E-3</v>
      </c>
      <c r="G268" s="2">
        <f>Storage_modulus_G!G268/1000000</f>
        <v>1.230524E-3</v>
      </c>
      <c r="H268" s="2">
        <f>Storage_modulus_G!H268/1000000</f>
        <v>1.2563170000000001E-3</v>
      </c>
      <c r="I268" s="2">
        <f>Storage_modulus_G!I268/1000000</f>
        <v>1.4831030000000002E-3</v>
      </c>
      <c r="J268" s="2">
        <f>Storage_modulus_G!J268/1000000</f>
        <v>1.7508269999999999E-3</v>
      </c>
      <c r="K268" s="2">
        <f>Storage_modulus_G!K268/1000000</f>
        <v>1.9023009999999999E-3</v>
      </c>
      <c r="L268" s="2">
        <f>Storage_modulus_G!L268/1000000</f>
        <v>2.1995929999999997E-3</v>
      </c>
      <c r="M268" s="2">
        <f>Storage_modulus_G!M268/1000000</f>
        <v>2.4399859999999999E-3</v>
      </c>
      <c r="N268" s="2">
        <f>Storage_modulus_G!N268/1000000</f>
        <v>2.9408200000000002E-3</v>
      </c>
      <c r="O268" s="2">
        <f>Storage_modulus_G!O268/1000000</f>
        <v>3.0653949999999998E-3</v>
      </c>
      <c r="P268" s="2">
        <f>Storage_modulus_G!P268/1000000</f>
        <v>3.4004119999999998E-3</v>
      </c>
      <c r="Q268" s="2">
        <f>Storage_modulus_G!Q268/1000000</f>
        <v>3.8511069999999999E-3</v>
      </c>
      <c r="R268" s="2">
        <f>Storage_modulus_G!R268/1000000</f>
        <v>4.2719939999999994E-3</v>
      </c>
      <c r="S268" s="2">
        <f>Storage_modulus_G!S268/1000000</f>
        <v>4.73888E-3</v>
      </c>
      <c r="T268" s="2">
        <f>Storage_modulus_G!T268/1000000</f>
        <v>5.0431589999999993E-3</v>
      </c>
      <c r="U268" s="2">
        <f>Storage_modulus_G!U268/1000000</f>
        <v>5.7115860000000003E-3</v>
      </c>
      <c r="V268" s="2">
        <f>Storage_modulus_G!V268/1000000</f>
        <v>5.7115860000000003E-3</v>
      </c>
      <c r="W268" s="2">
        <f>Storage_modulus_G!W268/1000000</f>
        <v>6.2057290000000001E-3</v>
      </c>
      <c r="X268" s="2">
        <f>Storage_modulus_G!X268/1000000</f>
        <v>7.7963599999999996E-3</v>
      </c>
      <c r="Y268" s="2">
        <f>Storage_modulus_G!Y268/1000000</f>
        <v>9.7946969999999998E-3</v>
      </c>
      <c r="Z268" s="2">
        <f>Storage_modulus_G!Z268/1000000</f>
        <v>1.309535E-2</v>
      </c>
      <c r="AA268" s="208">
        <f>Storage_modulus_G!AA268/1000000</f>
        <v>2.1102033999999999E-2</v>
      </c>
      <c r="AB268" s="2"/>
    </row>
    <row r="269" spans="1:28" ht="15.75" customHeight="1">
      <c r="A269" s="174">
        <v>47</v>
      </c>
      <c r="B269" s="179" t="s">
        <v>224</v>
      </c>
      <c r="C269" s="2">
        <f>1000*Storage_modulus_G!C269</f>
        <v>1131</v>
      </c>
      <c r="D269" s="2">
        <f>1000*Storage_modulus_G!D269</f>
        <v>1105</v>
      </c>
      <c r="E269" s="2">
        <f>1000*Storage_modulus_G!E269</f>
        <v>1082</v>
      </c>
      <c r="F269" s="2">
        <f>1000*Storage_modulus_G!F269</f>
        <v>1059</v>
      </c>
      <c r="G269" s="2">
        <f>1000*Storage_modulus_G!G269</f>
        <v>1026</v>
      </c>
      <c r="H269" s="2">
        <f>1000*Storage_modulus_G!H269</f>
        <v>957</v>
      </c>
      <c r="I269" s="2">
        <f>1000*Storage_modulus_G!I269</f>
        <v>852</v>
      </c>
      <c r="J269" s="2">
        <f>1000*Storage_modulus_G!J269</f>
        <v>780</v>
      </c>
      <c r="K269" s="2">
        <f>1000*Storage_modulus_G!K269</f>
        <v>701</v>
      </c>
      <c r="L269" s="2">
        <f>1000*Storage_modulus_G!L269</f>
        <v>685</v>
      </c>
      <c r="M269" s="2">
        <f>1000*Storage_modulus_G!M269</f>
        <v>634</v>
      </c>
      <c r="N269" s="2">
        <f>1000*Storage_modulus_G!N269</f>
        <v>539</v>
      </c>
      <c r="O269" s="2">
        <f>1000*Storage_modulus_G!O269</f>
        <v>436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08"/>
      <c r="AB269" s="2"/>
    </row>
    <row r="270" spans="1:28" ht="15.75" customHeight="1">
      <c r="A270" s="175">
        <v>47</v>
      </c>
      <c r="B270" s="180" t="s">
        <v>227</v>
      </c>
      <c r="C270" s="30">
        <f>1000*Storage_modulus_G!C270</f>
        <v>1395</v>
      </c>
      <c r="D270" s="30">
        <f>1000*Storage_modulus_G!D270</f>
        <v>1370</v>
      </c>
      <c r="E270" s="30">
        <f>1000*Storage_modulus_G!E270</f>
        <v>1349</v>
      </c>
      <c r="F270" s="30">
        <f>1000*Storage_modulus_G!F270</f>
        <v>1328</v>
      </c>
      <c r="G270" s="30">
        <f>1000*Storage_modulus_G!G270</f>
        <v>1307</v>
      </c>
      <c r="H270" s="30">
        <f>1000*Storage_modulus_G!H270</f>
        <v>1254</v>
      </c>
      <c r="I270" s="30">
        <f>1000*Storage_modulus_G!I270</f>
        <v>1168</v>
      </c>
      <c r="J270" s="30">
        <f>1000*Storage_modulus_G!J270</f>
        <v>1121</v>
      </c>
      <c r="K270" s="30">
        <f>1000*Storage_modulus_G!K270</f>
        <v>1077</v>
      </c>
      <c r="L270" s="30">
        <f>1000*Storage_modulus_G!L270</f>
        <v>982</v>
      </c>
      <c r="M270" s="30">
        <f>1000*Storage_modulus_G!M270</f>
        <v>824</v>
      </c>
      <c r="N270" s="30">
        <f>1000*Storage_modulus_G!N270</f>
        <v>680</v>
      </c>
      <c r="O270" s="30">
        <f>1000*Storage_modulus_G!O270</f>
        <v>580</v>
      </c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209"/>
      <c r="AB270" s="2"/>
    </row>
    <row r="271" spans="1:28" ht="15.75" customHeight="1">
      <c r="A271" s="174">
        <v>48</v>
      </c>
      <c r="B271" s="179">
        <v>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8" ht="15.75" customHeight="1">
      <c r="A272" s="174">
        <v>48</v>
      </c>
      <c r="B272" s="179">
        <v>2</v>
      </c>
    </row>
    <row r="273" spans="1:19" ht="15.75" customHeight="1">
      <c r="A273" s="174">
        <v>48</v>
      </c>
      <c r="B273" s="179">
        <v>3</v>
      </c>
    </row>
    <row r="274" spans="1:19" ht="15.75" customHeight="1">
      <c r="A274" s="174">
        <v>48</v>
      </c>
      <c r="B274" s="179">
        <v>4</v>
      </c>
    </row>
    <row r="275" spans="1:19" ht="15.75" customHeight="1">
      <c r="A275" s="174">
        <v>48</v>
      </c>
      <c r="B275" s="179">
        <v>5</v>
      </c>
    </row>
    <row r="276" spans="1:19" ht="15.75" customHeight="1">
      <c r="A276" s="174">
        <v>48</v>
      </c>
      <c r="B276" s="179">
        <v>6</v>
      </c>
    </row>
    <row r="277" spans="1:19" ht="15.75" customHeight="1">
      <c r="A277" s="174">
        <v>48</v>
      </c>
      <c r="B277" s="179">
        <v>7</v>
      </c>
    </row>
    <row r="278" spans="1:19" ht="15.75" customHeight="1">
      <c r="A278" s="174">
        <v>48</v>
      </c>
      <c r="B278" s="179">
        <v>8</v>
      </c>
    </row>
    <row r="279" spans="1:19" ht="15.75" customHeight="1">
      <c r="A279" s="174">
        <v>48</v>
      </c>
      <c r="B279" s="179">
        <v>9</v>
      </c>
    </row>
    <row r="280" spans="1:19" ht="15.75" customHeight="1">
      <c r="A280" s="174">
        <v>48</v>
      </c>
      <c r="B280" s="179">
        <v>10</v>
      </c>
    </row>
    <row r="281" spans="1:19" ht="15.75" customHeight="1">
      <c r="A281" s="174">
        <v>48</v>
      </c>
      <c r="B281" s="179">
        <v>11</v>
      </c>
    </row>
    <row r="282" spans="1:19" ht="15.75" customHeight="1">
      <c r="A282" s="174">
        <v>48</v>
      </c>
      <c r="B282" s="179">
        <v>12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9" ht="15.75" customHeight="1">
      <c r="A283" s="266">
        <v>49</v>
      </c>
      <c r="B283" s="58">
        <v>1</v>
      </c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7"/>
      <c r="S283" s="2"/>
    </row>
    <row r="284" spans="1:19" ht="15.75" customHeight="1">
      <c r="A284" s="210">
        <v>49</v>
      </c>
      <c r="B284" s="59">
        <v>2</v>
      </c>
      <c r="C284" s="2">
        <f>Storage_modulus_G!C284/1000000</f>
        <v>3.1729999999999999E-6</v>
      </c>
      <c r="D284" s="2">
        <f>Storage_modulus_G!D284/1000000</f>
        <v>3.1099999999999999E-6</v>
      </c>
      <c r="E284" s="2">
        <f>Storage_modulus_G!E284/1000000</f>
        <v>3.0489999999999999E-6</v>
      </c>
      <c r="F284" s="2">
        <f>Storage_modulus_G!F284/1000000</f>
        <v>2.3070000000000001E-6</v>
      </c>
      <c r="G284" s="2">
        <f>Storage_modulus_G!G284/1000000</f>
        <v>1.3301999999999999E-5</v>
      </c>
      <c r="H284" s="2">
        <f>Storage_modulus_G!H284/1000000</f>
        <v>1.7577000000000001E-5</v>
      </c>
      <c r="I284" s="2">
        <f>Storage_modulus_G!I284/1000000</f>
        <v>2.6699999999999998E-5</v>
      </c>
      <c r="J284" s="2">
        <f>Storage_modulus_G!J284/1000000</f>
        <v>7.9802999999999995E-5</v>
      </c>
      <c r="K284" s="2">
        <f>Storage_modulus_G!K284/1000000</f>
        <v>9.9338999999999992E-5</v>
      </c>
      <c r="L284" s="2">
        <f>Storage_modulus_G!L284/1000000</f>
        <v>1.9161099999999998E-4</v>
      </c>
      <c r="M284" s="2">
        <f>Storage_modulus_G!M284/1000000</f>
        <v>3.77024E-4</v>
      </c>
      <c r="N284" s="2">
        <f>Storage_modulus_G!N284/1000000</f>
        <v>7.7198400000000008E-4</v>
      </c>
      <c r="O284" s="2">
        <f>Storage_modulus_G!O284/1000000</f>
        <v>1.549536E-3</v>
      </c>
      <c r="P284" s="2">
        <f>Storage_modulus_G!P284/1000000</f>
        <v>3.1727869999999998E-3</v>
      </c>
      <c r="Q284" s="2">
        <f>Storage_modulus_G!Q284/1000000</f>
        <v>5.6514690000000001E-3</v>
      </c>
      <c r="R284" s="208">
        <f>Storage_modulus_G!R284/1000000</f>
        <v>8.5845509999999993E-3</v>
      </c>
      <c r="S284" s="2"/>
    </row>
    <row r="285" spans="1:19" ht="15.75" customHeight="1">
      <c r="A285" s="210">
        <v>49</v>
      </c>
      <c r="B285" s="59">
        <v>3</v>
      </c>
      <c r="C285" s="2">
        <f>Storage_modulus_G!C285/1000000</f>
        <v>1.4694E-5</v>
      </c>
      <c r="D285" s="2">
        <f>Storage_modulus_G!D285/1000000</f>
        <v>1.7931000000000002E-5</v>
      </c>
      <c r="E285" s="2">
        <f>Storage_modulus_G!E285/1000000</f>
        <v>3.2581000000000005E-5</v>
      </c>
      <c r="F285" s="2">
        <f>Storage_modulus_G!F285/1000000</f>
        <v>4.6622000000000002E-5</v>
      </c>
      <c r="G285" s="2">
        <f>Storage_modulus_G!G285/1000000</f>
        <v>7.6688000000000008E-5</v>
      </c>
      <c r="H285" s="2">
        <f>Storage_modulus_G!H285/1000000</f>
        <v>1.6340199999999999E-4</v>
      </c>
      <c r="I285" s="2">
        <f>Storage_modulus_G!I285/1000000</f>
        <v>3.4130399999999996E-4</v>
      </c>
      <c r="J285" s="2">
        <f>Storage_modulus_G!J285/1000000</f>
        <v>6.5833000000000005E-4</v>
      </c>
      <c r="K285" s="2">
        <f>Storage_modulus_G!K285/1000000</f>
        <v>1.295364E-3</v>
      </c>
      <c r="L285" s="2">
        <f>Storage_modulus_G!L285/1000000</f>
        <v>2.4493399999999999E-3</v>
      </c>
      <c r="M285" s="2">
        <f>Storage_modulus_G!M285/1000000</f>
        <v>4.3628419999999996E-3</v>
      </c>
      <c r="N285" s="2">
        <f>Storage_modulus_G!N285/1000000</f>
        <v>7.6180600000000003E-3</v>
      </c>
      <c r="O285" s="2">
        <f>Storage_modulus_G!O285/1000000</f>
        <v>1.3842367E-2</v>
      </c>
      <c r="P285" s="2">
        <f>Storage_modulus_G!P285/1000000</f>
        <v>2.2320461999999999E-2</v>
      </c>
      <c r="Q285" s="2">
        <f>Storage_modulus_G!Q285/1000000</f>
        <v>3.3904658000000004E-2</v>
      </c>
      <c r="R285" s="208">
        <f>Storage_modulus_G!R285/1000000</f>
        <v>5.4670389E-2</v>
      </c>
      <c r="S285" s="2"/>
    </row>
    <row r="286" spans="1:19" ht="15.75" customHeight="1">
      <c r="A286" s="200">
        <v>50</v>
      </c>
      <c r="B286" s="59">
        <v>1</v>
      </c>
      <c r="C286" s="2">
        <v>3950.7959999999998</v>
      </c>
      <c r="D286" s="2">
        <v>3933.43</v>
      </c>
      <c r="E286" s="2">
        <v>3916.0639999999999</v>
      </c>
      <c r="F286" s="2">
        <v>3855.2820000000002</v>
      </c>
      <c r="G286" s="2">
        <v>3768.4520000000002</v>
      </c>
      <c r="H286" s="2">
        <v>3612.1559999999999</v>
      </c>
      <c r="I286" s="2">
        <v>3455.8609999999999</v>
      </c>
      <c r="J286" s="2">
        <v>3195.3690000000001</v>
      </c>
      <c r="K286" s="2">
        <v>2943.56</v>
      </c>
      <c r="L286" s="2">
        <v>2709.1170000000002</v>
      </c>
      <c r="M286" s="2">
        <v>2483.357</v>
      </c>
      <c r="N286" s="2">
        <v>2301.0129999999999</v>
      </c>
      <c r="O286" s="2">
        <v>2092.6190000000001</v>
      </c>
      <c r="P286" s="2">
        <v>1892.9090000000001</v>
      </c>
      <c r="Q286" s="2">
        <v>1727.931</v>
      </c>
      <c r="R286" s="208">
        <v>1554.269</v>
      </c>
      <c r="S286" s="2"/>
    </row>
    <row r="287" spans="1:19" ht="15.75" customHeight="1">
      <c r="A287" s="200">
        <v>50</v>
      </c>
      <c r="B287" s="59">
        <v>2</v>
      </c>
      <c r="C287" s="2">
        <v>4619.3919999999998</v>
      </c>
      <c r="D287" s="2">
        <v>4602.0259999999998</v>
      </c>
      <c r="E287" s="2">
        <v>4567.2939999999999</v>
      </c>
      <c r="F287" s="2">
        <v>4497.8289999999997</v>
      </c>
      <c r="G287" s="2">
        <v>4350.2169999999996</v>
      </c>
      <c r="H287" s="2">
        <v>4202.6049999999996</v>
      </c>
      <c r="I287" s="2">
        <v>4028.944</v>
      </c>
      <c r="J287" s="2">
        <v>3785.8180000000002</v>
      </c>
      <c r="K287" s="2">
        <v>3455.8609999999999</v>
      </c>
      <c r="L287" s="2">
        <v>3186.6860000000001</v>
      </c>
      <c r="M287" s="2">
        <v>2978.2919999999999</v>
      </c>
      <c r="N287" s="2">
        <v>2795.9479999999999</v>
      </c>
      <c r="O287" s="2">
        <v>2604.92</v>
      </c>
      <c r="P287" s="2">
        <v>2422.576</v>
      </c>
      <c r="Q287" s="2">
        <v>2179.4499999999998</v>
      </c>
      <c r="R287" s="208">
        <v>1918.9580000000001</v>
      </c>
      <c r="S287" s="2"/>
    </row>
    <row r="288" spans="1:19" ht="15.75" customHeight="1">
      <c r="A288" s="200">
        <v>50</v>
      </c>
      <c r="B288" s="59">
        <v>3</v>
      </c>
      <c r="C288" s="2">
        <v>4489.1459999999997</v>
      </c>
      <c r="D288" s="2">
        <v>4497.8289999999997</v>
      </c>
      <c r="E288" s="2">
        <v>4419.6819999999998</v>
      </c>
      <c r="F288" s="2">
        <v>4358.8999999999996</v>
      </c>
      <c r="G288" s="2">
        <v>4228.6540000000005</v>
      </c>
      <c r="H288" s="2">
        <v>4107.0910000000003</v>
      </c>
      <c r="I288" s="2">
        <v>3924.7469999999998</v>
      </c>
      <c r="J288" s="2">
        <v>3672.9380000000001</v>
      </c>
      <c r="K288" s="2">
        <v>3316.9319999999998</v>
      </c>
      <c r="L288" s="2">
        <v>3021.7080000000001</v>
      </c>
      <c r="M288" s="2">
        <v>2787.2649999999999</v>
      </c>
      <c r="N288" s="2">
        <v>2587.5540000000001</v>
      </c>
      <c r="O288" s="2">
        <v>2361.7950000000001</v>
      </c>
      <c r="P288" s="2">
        <v>2179.4499999999998</v>
      </c>
      <c r="Q288" s="2">
        <v>1971.056</v>
      </c>
      <c r="R288" s="208">
        <v>1745.297</v>
      </c>
      <c r="S288" s="2"/>
    </row>
    <row r="289" spans="1:19" ht="15.75" customHeight="1">
      <c r="A289" s="200">
        <v>50</v>
      </c>
      <c r="B289" s="59">
        <v>4</v>
      </c>
      <c r="C289" s="2">
        <v>5253.2560000000003</v>
      </c>
      <c r="D289" s="2">
        <v>5227.2070000000003</v>
      </c>
      <c r="E289" s="2">
        <v>5201.1580000000004</v>
      </c>
      <c r="F289" s="2">
        <v>5157.7420000000002</v>
      </c>
      <c r="G289" s="2">
        <v>5027.4960000000001</v>
      </c>
      <c r="H289" s="2">
        <v>4897.25</v>
      </c>
      <c r="I289" s="2">
        <v>4723.5889999999999</v>
      </c>
      <c r="J289" s="30">
        <v>4419.6819999999998</v>
      </c>
      <c r="K289" s="30">
        <v>3959.4789999999998</v>
      </c>
      <c r="L289" s="30">
        <v>3707.67</v>
      </c>
      <c r="M289" s="30">
        <v>3386.3969999999999</v>
      </c>
      <c r="N289" s="30">
        <v>3151.9540000000002</v>
      </c>
      <c r="O289" s="30">
        <v>2926.194</v>
      </c>
      <c r="P289" s="30">
        <v>2648.3359999999998</v>
      </c>
      <c r="Q289" s="30">
        <v>2405.21</v>
      </c>
      <c r="R289" s="209">
        <v>2127.3519999999999</v>
      </c>
      <c r="S289" s="2"/>
    </row>
    <row r="290" spans="1:19" ht="15.75" customHeight="1">
      <c r="A290" s="201">
        <v>51</v>
      </c>
      <c r="B290" s="58">
        <v>1</v>
      </c>
      <c r="C290" s="206">
        <v>4591.2049999999999</v>
      </c>
      <c r="D290" s="206">
        <v>4281.759</v>
      </c>
      <c r="E290" s="206">
        <v>3410.4229999999998</v>
      </c>
      <c r="F290" s="206">
        <v>1757.329</v>
      </c>
      <c r="G290" s="206">
        <v>1203.5830000000001</v>
      </c>
      <c r="H290" s="206">
        <v>674.26700000000005</v>
      </c>
      <c r="I290" s="207">
        <v>454.39699999999999</v>
      </c>
      <c r="J290" s="2"/>
      <c r="K290" s="2"/>
      <c r="L290" s="2"/>
      <c r="M290" s="2"/>
      <c r="N290" s="2"/>
      <c r="O290" s="2"/>
      <c r="P290" s="2"/>
      <c r="Q290" s="2"/>
      <c r="R290" s="2"/>
    </row>
    <row r="291" spans="1:19" ht="15.75" customHeight="1">
      <c r="A291" s="200">
        <v>51</v>
      </c>
      <c r="B291" s="59">
        <v>2</v>
      </c>
      <c r="C291" s="2">
        <v>6228.0129999999999</v>
      </c>
      <c r="D291" s="2">
        <v>5983.7129999999997</v>
      </c>
      <c r="E291" s="2">
        <v>5169.3810000000003</v>
      </c>
      <c r="F291" s="2">
        <v>3809.4459999999999</v>
      </c>
      <c r="G291" s="2">
        <v>3019.5439999999999</v>
      </c>
      <c r="H291" s="2">
        <v>2099.3490000000002</v>
      </c>
      <c r="I291" s="208">
        <v>1504.886</v>
      </c>
      <c r="J291" s="2"/>
    </row>
    <row r="292" spans="1:19" ht="15.75" customHeight="1">
      <c r="A292" s="200">
        <v>51</v>
      </c>
      <c r="B292" s="59">
        <v>3</v>
      </c>
      <c r="C292" s="2">
        <v>6081.433</v>
      </c>
      <c r="D292" s="2">
        <v>5837.134</v>
      </c>
      <c r="E292" s="2">
        <v>4973.9409999999998</v>
      </c>
      <c r="F292" s="2">
        <v>3459.2829999999999</v>
      </c>
      <c r="G292" s="2">
        <v>2775.2440000000001</v>
      </c>
      <c r="H292" s="2">
        <v>1887.6220000000001</v>
      </c>
      <c r="I292" s="208">
        <v>1342.02</v>
      </c>
      <c r="J292" s="2"/>
    </row>
    <row r="293" spans="1:19" ht="15.75" customHeight="1">
      <c r="A293" s="200">
        <v>51</v>
      </c>
      <c r="B293" s="59">
        <v>4</v>
      </c>
      <c r="C293" s="2">
        <v>5902.28</v>
      </c>
      <c r="D293" s="2">
        <v>5657.98</v>
      </c>
      <c r="E293" s="2">
        <v>4794.7879999999996</v>
      </c>
      <c r="F293" s="2">
        <v>3296.4169999999999</v>
      </c>
      <c r="G293" s="2">
        <v>2522.8009999999999</v>
      </c>
      <c r="H293" s="2">
        <v>1773.616</v>
      </c>
      <c r="I293" s="208">
        <v>1244.3</v>
      </c>
      <c r="J293" s="2"/>
    </row>
    <row r="294" spans="1:19" ht="15.75" customHeight="1">
      <c r="A294" s="200">
        <v>51</v>
      </c>
      <c r="B294" s="59">
        <v>5</v>
      </c>
      <c r="C294" s="2">
        <v>6089.5770000000002</v>
      </c>
      <c r="D294" s="2">
        <v>5771.9870000000001</v>
      </c>
      <c r="E294" s="2">
        <v>4876.2209999999995</v>
      </c>
      <c r="F294" s="2">
        <v>3565.1469999999999</v>
      </c>
      <c r="G294" s="2">
        <v>2889.2510000000002</v>
      </c>
      <c r="H294" s="2">
        <v>1952.769</v>
      </c>
      <c r="I294" s="208">
        <v>1325.7329999999999</v>
      </c>
      <c r="J294" s="2"/>
    </row>
    <row r="295" spans="1:19" ht="15.75" customHeight="1">
      <c r="A295" s="200">
        <v>51</v>
      </c>
      <c r="B295" s="59">
        <v>6</v>
      </c>
      <c r="C295" s="2">
        <v>6016.2870000000003</v>
      </c>
      <c r="D295" s="2">
        <v>5739.4139999999998</v>
      </c>
      <c r="E295" s="2">
        <v>4436.482</v>
      </c>
      <c r="F295" s="2">
        <v>3060.261</v>
      </c>
      <c r="G295" s="2">
        <v>2522.8009999999999</v>
      </c>
      <c r="H295" s="2">
        <v>1757.329</v>
      </c>
      <c r="I295" s="208">
        <v>1154.723</v>
      </c>
      <c r="J295" s="2"/>
    </row>
    <row r="296" spans="1:19" ht="15.75" customHeight="1">
      <c r="A296" s="202">
        <v>51</v>
      </c>
      <c r="B296" s="203">
        <v>7</v>
      </c>
      <c r="C296" s="30">
        <v>5723.1270000000004</v>
      </c>
      <c r="D296" s="30">
        <v>5478.8270000000002</v>
      </c>
      <c r="E296" s="30">
        <v>4697.0680000000002</v>
      </c>
      <c r="F296" s="30">
        <v>3141.694</v>
      </c>
      <c r="G296" s="30">
        <v>2408.7950000000001</v>
      </c>
      <c r="H296" s="30">
        <v>1578.4559999999999</v>
      </c>
      <c r="I296" s="209">
        <v>1138.4359999999999</v>
      </c>
      <c r="J296" s="2"/>
    </row>
    <row r="297" spans="1:19" ht="15.75" customHeight="1">
      <c r="A297" s="205">
        <v>52</v>
      </c>
      <c r="B297" s="179">
        <v>1</v>
      </c>
    </row>
    <row r="298" spans="1:19" ht="15.75" customHeight="1">
      <c r="A298" s="205">
        <v>52</v>
      </c>
      <c r="B298" s="179">
        <v>2</v>
      </c>
    </row>
    <row r="299" spans="1:19" ht="15.75" customHeight="1">
      <c r="A299" s="205">
        <v>52</v>
      </c>
      <c r="B299" s="179">
        <v>3</v>
      </c>
    </row>
    <row r="300" spans="1:19" ht="15.75" customHeight="1">
      <c r="A300" s="213">
        <v>52</v>
      </c>
      <c r="B300" s="180">
        <v>4</v>
      </c>
    </row>
    <row r="301" spans="1:19" ht="15.75" customHeight="1">
      <c r="A301" s="205">
        <v>53</v>
      </c>
      <c r="B301" s="179">
        <v>1</v>
      </c>
    </row>
    <row r="302" spans="1:19" ht="15.75" customHeight="1">
      <c r="A302" s="205">
        <v>53</v>
      </c>
      <c r="B302" s="179">
        <v>2</v>
      </c>
    </row>
    <row r="303" spans="1:19" ht="15.75" customHeight="1">
      <c r="A303" s="205">
        <v>53</v>
      </c>
      <c r="B303" s="179">
        <v>3</v>
      </c>
    </row>
    <row r="304" spans="1:19" ht="15.75" customHeight="1">
      <c r="A304" s="205">
        <v>53</v>
      </c>
      <c r="B304" s="179">
        <v>4</v>
      </c>
    </row>
    <row r="305" spans="1:18" ht="15.75" customHeight="1">
      <c r="A305" s="205">
        <v>53</v>
      </c>
      <c r="B305" s="179">
        <v>5</v>
      </c>
    </row>
    <row r="306" spans="1:18" ht="15.75" customHeight="1">
      <c r="A306" s="201">
        <v>54</v>
      </c>
      <c r="B306" s="178">
        <v>1</v>
      </c>
      <c r="C306" s="206">
        <v>355.04300000000001</v>
      </c>
      <c r="D306" s="206">
        <v>335.15899999999999</v>
      </c>
      <c r="E306" s="206">
        <v>297.11799999999999</v>
      </c>
      <c r="F306" s="206">
        <v>276.36900000000003</v>
      </c>
      <c r="G306" s="206">
        <v>210.66300000000001</v>
      </c>
      <c r="H306" s="206">
        <v>142.363</v>
      </c>
      <c r="I306" s="206">
        <v>108.646</v>
      </c>
      <c r="J306" s="207">
        <v>87.031999999999996</v>
      </c>
      <c r="K306" s="2"/>
    </row>
    <row r="307" spans="1:18" ht="15.75" customHeight="1">
      <c r="A307" s="200">
        <v>54</v>
      </c>
      <c r="B307" s="179">
        <v>2</v>
      </c>
      <c r="C307" s="2">
        <v>662.82399999999996</v>
      </c>
      <c r="D307" s="2">
        <v>632.56500000000005</v>
      </c>
      <c r="E307" s="2">
        <v>559.07799999999997</v>
      </c>
      <c r="F307" s="2">
        <v>389.625</v>
      </c>
      <c r="G307" s="2">
        <v>302.30500000000001</v>
      </c>
      <c r="H307" s="2">
        <v>248.703</v>
      </c>
      <c r="I307" s="2">
        <v>198.559</v>
      </c>
      <c r="J307" s="208">
        <v>150.14400000000001</v>
      </c>
      <c r="K307" s="2"/>
    </row>
    <row r="308" spans="1:18" ht="15.75" customHeight="1">
      <c r="A308" s="200">
        <v>54</v>
      </c>
      <c r="B308" s="179">
        <v>3</v>
      </c>
      <c r="C308" s="2">
        <v>523.63099999999997</v>
      </c>
      <c r="D308" s="2">
        <v>495.101</v>
      </c>
      <c r="E308" s="2">
        <v>418.15600000000001</v>
      </c>
      <c r="F308" s="2">
        <v>340.346</v>
      </c>
      <c r="G308" s="2">
        <v>265.99400000000003</v>
      </c>
      <c r="H308" s="2">
        <v>208.06899999999999</v>
      </c>
      <c r="I308" s="2">
        <v>168.3</v>
      </c>
      <c r="J308" s="208">
        <v>141.499</v>
      </c>
      <c r="K308" s="2"/>
    </row>
    <row r="309" spans="1:18" ht="15.75" customHeight="1">
      <c r="A309" s="202">
        <v>54</v>
      </c>
      <c r="B309" s="180">
        <v>4</v>
      </c>
      <c r="C309" s="30">
        <v>292.79500000000002</v>
      </c>
      <c r="D309" s="30">
        <v>284.14999999999998</v>
      </c>
      <c r="E309" s="30">
        <v>260.80700000000002</v>
      </c>
      <c r="F309" s="30">
        <v>256.48399999999998</v>
      </c>
      <c r="G309" s="30">
        <v>164.84100000000001</v>
      </c>
      <c r="H309" s="30">
        <v>109.51</v>
      </c>
      <c r="I309" s="30">
        <v>87.896000000000001</v>
      </c>
      <c r="J309" s="209">
        <v>76.656999999999996</v>
      </c>
      <c r="K309" s="2"/>
    </row>
    <row r="310" spans="1:18" ht="15.75" customHeight="1">
      <c r="A310" s="200">
        <v>55</v>
      </c>
      <c r="B310" s="179" t="s">
        <v>220</v>
      </c>
    </row>
    <row r="311" spans="1:18" ht="15.75" customHeight="1">
      <c r="A311" s="200">
        <v>55</v>
      </c>
      <c r="B311" s="179" t="s">
        <v>221</v>
      </c>
    </row>
    <row r="312" spans="1:18" ht="15.75" customHeight="1">
      <c r="A312" s="200">
        <v>55</v>
      </c>
      <c r="B312" s="179" t="s">
        <v>222</v>
      </c>
    </row>
    <row r="313" spans="1:18" ht="15.75" customHeight="1">
      <c r="A313" s="200">
        <v>55</v>
      </c>
      <c r="B313" s="179" t="s">
        <v>224</v>
      </c>
    </row>
    <row r="314" spans="1:18" ht="15.75" customHeight="1">
      <c r="A314" s="200">
        <v>55</v>
      </c>
      <c r="B314" s="179" t="s">
        <v>225</v>
      </c>
    </row>
    <row r="315" spans="1:18" ht="15.75" customHeight="1">
      <c r="A315" s="200">
        <v>55</v>
      </c>
      <c r="B315" s="179" t="s">
        <v>226</v>
      </c>
    </row>
    <row r="316" spans="1:18" ht="15.75" customHeight="1">
      <c r="A316" s="200">
        <v>55</v>
      </c>
      <c r="B316" s="179" t="s">
        <v>230</v>
      </c>
    </row>
    <row r="317" spans="1:18" ht="15.75" customHeight="1">
      <c r="A317" s="200">
        <v>55</v>
      </c>
      <c r="B317" s="179" t="s">
        <v>231</v>
      </c>
    </row>
    <row r="318" spans="1:18" ht="15.75" customHeight="1">
      <c r="A318" s="200">
        <v>55</v>
      </c>
      <c r="B318" s="179" t="s">
        <v>232</v>
      </c>
    </row>
    <row r="319" spans="1:18" ht="15.75" customHeight="1">
      <c r="A319" s="177">
        <v>56</v>
      </c>
      <c r="B319" s="178" t="s">
        <v>220</v>
      </c>
      <c r="C319" s="206">
        <v>895279196.13399994</v>
      </c>
      <c r="D319" s="206">
        <v>929148434.91199994</v>
      </c>
      <c r="E319" s="206">
        <v>774315798.45200002</v>
      </c>
      <c r="F319" s="206">
        <v>654056643.97599995</v>
      </c>
      <c r="G319" s="206">
        <v>579211765.89300001</v>
      </c>
      <c r="H319" s="206">
        <v>539573008.81299996</v>
      </c>
      <c r="I319" s="206">
        <v>490908635.60100001</v>
      </c>
      <c r="J319" s="206">
        <v>428902388.64200002</v>
      </c>
      <c r="K319" s="206">
        <v>375995210.76700002</v>
      </c>
      <c r="L319" s="206">
        <v>331847287.21100003</v>
      </c>
      <c r="M319" s="206">
        <v>293873405.31199998</v>
      </c>
      <c r="N319" s="206">
        <v>265569765.59799999</v>
      </c>
      <c r="O319" s="206">
        <v>244077221.56999999</v>
      </c>
      <c r="P319" s="206">
        <v>221315408.13800001</v>
      </c>
      <c r="Q319" s="207">
        <v>204092162.19299999</v>
      </c>
      <c r="R319" s="2"/>
    </row>
    <row r="320" spans="1:18" ht="15.75" customHeight="1">
      <c r="A320" s="174">
        <v>56</v>
      </c>
      <c r="B320" s="179" t="s">
        <v>224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0"/>
      <c r="N320" s="30"/>
      <c r="O320" s="30"/>
      <c r="P320" s="30"/>
      <c r="Q320" s="209"/>
      <c r="R320" s="2"/>
    </row>
    <row r="321" spans="1:19" ht="15.75" customHeight="1">
      <c r="A321" s="177">
        <v>57</v>
      </c>
      <c r="B321" s="178">
        <v>1</v>
      </c>
      <c r="C321" s="206">
        <v>928105386.37800002</v>
      </c>
      <c r="D321" s="206">
        <v>903340775.10399997</v>
      </c>
      <c r="E321" s="206">
        <v>852888081.50899994</v>
      </c>
      <c r="F321" s="206">
        <v>783766682.38</v>
      </c>
      <c r="G321" s="206">
        <v>691612814.23800004</v>
      </c>
      <c r="H321" s="206">
        <v>578159819.69200003</v>
      </c>
      <c r="I321" s="206">
        <v>470421434.57099998</v>
      </c>
      <c r="J321" s="206">
        <v>354125719.44300002</v>
      </c>
      <c r="K321" s="206">
        <v>281396827.09100002</v>
      </c>
      <c r="L321" s="207">
        <v>224361912.04800001</v>
      </c>
      <c r="M321" s="2"/>
      <c r="N321" s="2"/>
      <c r="O321" s="2"/>
      <c r="P321" s="2"/>
      <c r="Q321" s="2"/>
    </row>
    <row r="322" spans="1:19" ht="15.75" customHeight="1">
      <c r="A322" s="174">
        <v>57</v>
      </c>
      <c r="B322" s="179">
        <v>2</v>
      </c>
      <c r="C322" s="2">
        <v>818980434.62699997</v>
      </c>
      <c r="D322" s="2">
        <v>773239369.829</v>
      </c>
      <c r="E322" s="2">
        <v>708174852.30799997</v>
      </c>
      <c r="F322" s="2">
        <v>578159819.69200003</v>
      </c>
      <c r="G322" s="2">
        <v>453248935.73400003</v>
      </c>
      <c r="H322" s="2">
        <v>354125719.44300002</v>
      </c>
      <c r="I322" s="2">
        <v>288135431.21600002</v>
      </c>
      <c r="J322" s="2">
        <v>240869349.91499999</v>
      </c>
      <c r="K322" s="2">
        <v>208985774.22099999</v>
      </c>
      <c r="L322" s="208">
        <v>190110825.248</v>
      </c>
      <c r="M322" s="2"/>
    </row>
    <row r="323" spans="1:19" ht="15.75" customHeight="1">
      <c r="A323" s="201">
        <v>58</v>
      </c>
      <c r="B323" s="58">
        <v>1</v>
      </c>
      <c r="C323" s="206">
        <f>Storage_modulus_G!C323/10000000</f>
        <v>2.6465518999999999E-3</v>
      </c>
      <c r="D323" s="206">
        <f>Storage_modulus_G!D323/10000000</f>
        <v>3.0828637999999998E-3</v>
      </c>
      <c r="E323" s="206">
        <f>Storage_modulus_G!E323/10000000</f>
        <v>3.9756751999999998E-3</v>
      </c>
      <c r="F323" s="206">
        <f>Storage_modulus_G!F323/10000000</f>
        <v>4.9560982999999996E-3</v>
      </c>
      <c r="G323" s="206">
        <f>Storage_modulus_G!G323/10000000</f>
        <v>6.2839495999999998E-3</v>
      </c>
      <c r="H323" s="206">
        <f>Storage_modulus_G!H323/10000000</f>
        <v>8.3833343999999994E-3</v>
      </c>
      <c r="I323" s="206">
        <f>Storage_modulus_G!I323/10000000</f>
        <v>1.0996060300000001E-2</v>
      </c>
      <c r="J323" s="206">
        <f>Storage_modulus_G!J323/10000000</f>
        <v>1.4669699200000001E-2</v>
      </c>
      <c r="K323" s="206">
        <f>Storage_modulus_G!K323/10000000</f>
        <v>1.9570652299999998E-2</v>
      </c>
      <c r="L323" s="206">
        <f>Storage_modulus_G!L323/10000000</f>
        <v>2.5669985699999998E-2</v>
      </c>
      <c r="M323" s="207">
        <f>Storage_modulus_G!M323/10000000</f>
        <v>3.2547558000000004E-2</v>
      </c>
      <c r="N323" s="2"/>
    </row>
    <row r="324" spans="1:19" ht="15.75" customHeight="1">
      <c r="A324" s="200">
        <v>58</v>
      </c>
      <c r="B324" s="59">
        <v>2</v>
      </c>
      <c r="C324" s="2">
        <f>Storage_modulus_G!C324/10000000</f>
        <v>1.3661342E-3</v>
      </c>
      <c r="D324" s="2">
        <f>Storage_modulus_G!D324/10000000</f>
        <v>1.7918997E-3</v>
      </c>
      <c r="E324" s="2">
        <f>Storage_modulus_G!E324/10000000</f>
        <v>2.4314288000000001E-3</v>
      </c>
      <c r="F324" s="2">
        <f>Storage_modulus_G!F324/10000000</f>
        <v>3.3556233E-3</v>
      </c>
      <c r="G324" s="2">
        <f>Storage_modulus_G!G324/10000000</f>
        <v>4.1831381999999995E-3</v>
      </c>
      <c r="H324" s="2">
        <f>Storage_modulus_G!H324/10000000</f>
        <v>5.4868429999999999E-3</v>
      </c>
      <c r="I324" s="2">
        <f>Storage_modulus_G!I324/10000000</f>
        <v>6.8399283E-3</v>
      </c>
      <c r="J324" s="2">
        <f>Storage_modulus_G!J324/10000000</f>
        <v>9.1250580999999997E-3</v>
      </c>
      <c r="K324" s="2">
        <f>Storage_modulus_G!K324/10000000</f>
        <v>1.15698685E-2</v>
      </c>
      <c r="L324" s="2">
        <f>Storage_modulus_G!L324/10000000</f>
        <v>1.51757005E-2</v>
      </c>
      <c r="M324" s="208">
        <f>Storage_modulus_G!M324/10000000</f>
        <v>1.8918110699999997E-2</v>
      </c>
      <c r="N324" s="2"/>
    </row>
    <row r="325" spans="1:19" ht="15.75" customHeight="1">
      <c r="A325" s="200">
        <v>58</v>
      </c>
      <c r="B325" s="59">
        <v>3</v>
      </c>
      <c r="C325" s="2">
        <f>Storage_modulus_G!C325/10000000</f>
        <v>2.1086600000000002E-5</v>
      </c>
      <c r="D325" s="2">
        <f>Storage_modulus_G!D325/10000000</f>
        <v>2.62866E-5</v>
      </c>
      <c r="E325" s="2">
        <f>Storage_modulus_G!E325/10000000</f>
        <v>3.6278300000000001E-5</v>
      </c>
      <c r="F325" s="2">
        <f>Storage_modulus_G!F325/10000000</f>
        <v>4.9225999999999999E-5</v>
      </c>
      <c r="G325" s="2">
        <f>Storage_modulus_G!G325/10000000</f>
        <v>6.9098700000000003E-5</v>
      </c>
      <c r="H325" s="2">
        <f>Storage_modulus_G!H325/10000000</f>
        <v>1.3615090000000001E-4</v>
      </c>
      <c r="I325" s="2">
        <f>Storage_modulus_G!I325/10000000</f>
        <v>2.0108849999999999E-4</v>
      </c>
      <c r="J325" s="2">
        <f>Storage_modulus_G!J325/10000000</f>
        <v>3.4014510000000001E-4</v>
      </c>
      <c r="K325" s="2">
        <f>Storage_modulus_G!K325/10000000</f>
        <v>5.4682679999999999E-4</v>
      </c>
      <c r="L325" s="2">
        <f>Storage_modulus_G!L325/10000000</f>
        <v>9.4078510000000001E-4</v>
      </c>
      <c r="M325" s="208">
        <f>Storage_modulus_G!M325/10000000</f>
        <v>1.4870043E-3</v>
      </c>
      <c r="N325" s="2"/>
    </row>
    <row r="326" spans="1:19" ht="15.75" customHeight="1">
      <c r="A326" s="201">
        <v>59</v>
      </c>
      <c r="B326" s="58">
        <v>1</v>
      </c>
      <c r="C326" s="206">
        <v>6256.3739999999998</v>
      </c>
      <c r="D326" s="206">
        <v>5889.518</v>
      </c>
      <c r="E326" s="206">
        <v>5433.4279999999999</v>
      </c>
      <c r="F326" s="206">
        <v>4808.7820000000002</v>
      </c>
      <c r="G326" s="206">
        <v>4174.2209999999995</v>
      </c>
      <c r="H326" s="206">
        <v>3618.98</v>
      </c>
      <c r="I326" s="206">
        <v>3133.1439999999998</v>
      </c>
      <c r="J326" s="206">
        <v>2736.5439999999999</v>
      </c>
      <c r="K326" s="206">
        <v>2439.0929999999998</v>
      </c>
      <c r="L326" s="206">
        <v>2191.2179999999998</v>
      </c>
      <c r="M326" s="206">
        <v>1883.8530000000001</v>
      </c>
      <c r="N326" s="206">
        <v>1507.0820000000001</v>
      </c>
      <c r="O326" s="206">
        <v>1279.037</v>
      </c>
      <c r="P326" s="206">
        <v>1100.567</v>
      </c>
      <c r="Q326" s="206">
        <v>961.75599999999997</v>
      </c>
      <c r="R326" s="206">
        <v>832.86099999999999</v>
      </c>
      <c r="S326" s="207">
        <v>713.88099999999997</v>
      </c>
    </row>
    <row r="327" spans="1:19" ht="15.75" customHeight="1">
      <c r="A327" s="200">
        <v>59</v>
      </c>
      <c r="B327" s="59">
        <v>2</v>
      </c>
      <c r="C327" s="2">
        <v>6603.3990000000003</v>
      </c>
      <c r="D327" s="2">
        <v>6266.2889999999998</v>
      </c>
      <c r="E327" s="2">
        <v>5790.3680000000004</v>
      </c>
      <c r="F327" s="2">
        <v>5235.1270000000004</v>
      </c>
      <c r="G327" s="2">
        <v>4541.076</v>
      </c>
      <c r="H327" s="2">
        <v>3946.1759999999999</v>
      </c>
      <c r="I327" s="2">
        <v>3420.68</v>
      </c>
      <c r="J327" s="2">
        <v>2984.4189999999999</v>
      </c>
      <c r="K327" s="2">
        <v>2667.1390000000001</v>
      </c>
      <c r="L327" s="2">
        <v>2379.6030000000001</v>
      </c>
      <c r="M327" s="2">
        <v>2082.1529999999998</v>
      </c>
      <c r="N327" s="2">
        <v>1665.722</v>
      </c>
      <c r="O327" s="2">
        <v>1437.6769999999999</v>
      </c>
      <c r="P327" s="2">
        <v>1259.2070000000001</v>
      </c>
      <c r="Q327" s="2">
        <v>1090.652</v>
      </c>
      <c r="R327" s="2">
        <v>932.01099999999997</v>
      </c>
      <c r="S327" s="208">
        <v>753.54100000000005</v>
      </c>
    </row>
    <row r="328" spans="1:19" ht="15.75" customHeight="1">
      <c r="A328" s="200">
        <v>59</v>
      </c>
      <c r="B328" s="59">
        <v>3</v>
      </c>
      <c r="C328" s="2">
        <v>5611.8980000000001</v>
      </c>
      <c r="D328" s="2">
        <v>5145.8919999999998</v>
      </c>
      <c r="E328" s="2">
        <v>4610.482</v>
      </c>
      <c r="F328" s="2">
        <v>4104.8159999999998</v>
      </c>
      <c r="G328" s="2">
        <v>3609.0650000000001</v>
      </c>
      <c r="H328" s="2">
        <v>3143.0590000000002</v>
      </c>
      <c r="I328" s="2">
        <v>2686.9690000000001</v>
      </c>
      <c r="J328" s="2">
        <v>2330.0279999999998</v>
      </c>
      <c r="K328" s="2">
        <v>2042.4929999999999</v>
      </c>
      <c r="L328" s="2">
        <v>1794.6179999999999</v>
      </c>
      <c r="M328" s="2">
        <v>1546.742</v>
      </c>
      <c r="N328" s="2">
        <v>1259.2070000000001</v>
      </c>
      <c r="O328" s="2">
        <v>1120.3969999999999</v>
      </c>
      <c r="P328" s="2">
        <v>991.50099999999998</v>
      </c>
      <c r="Q328" s="2">
        <v>852.69100000000003</v>
      </c>
      <c r="R328" s="2">
        <v>723.79600000000005</v>
      </c>
      <c r="S328" s="208">
        <v>634.56100000000004</v>
      </c>
    </row>
    <row r="329" spans="1:19" ht="15.75" customHeight="1">
      <c r="A329" s="200">
        <v>59</v>
      </c>
      <c r="B329" s="59">
        <v>4</v>
      </c>
      <c r="C329" s="2">
        <v>5175.6369999999997</v>
      </c>
      <c r="D329" s="2">
        <v>4600.567</v>
      </c>
      <c r="E329" s="2">
        <v>3926.346</v>
      </c>
      <c r="F329" s="2">
        <v>3420.68</v>
      </c>
      <c r="G329" s="2">
        <v>2984.4189999999999</v>
      </c>
      <c r="H329" s="2">
        <v>2577.904</v>
      </c>
      <c r="I329" s="2">
        <v>2230.8780000000002</v>
      </c>
      <c r="J329" s="2">
        <v>1923.5129999999999</v>
      </c>
      <c r="K329" s="2">
        <v>1645.8920000000001</v>
      </c>
      <c r="L329" s="2">
        <v>1447.5920000000001</v>
      </c>
      <c r="M329" s="2">
        <v>1199.7170000000001</v>
      </c>
      <c r="N329" s="2">
        <v>961.75599999999997</v>
      </c>
      <c r="O329" s="2">
        <v>793.20100000000002</v>
      </c>
      <c r="P329" s="2">
        <v>694.05100000000004</v>
      </c>
      <c r="Q329" s="2">
        <v>624.64599999999996</v>
      </c>
      <c r="R329" s="2">
        <v>545.32600000000002</v>
      </c>
      <c r="S329" s="208">
        <v>456.09100000000001</v>
      </c>
    </row>
    <row r="330" spans="1:19" ht="15.75" customHeight="1">
      <c r="A330" s="200">
        <v>59</v>
      </c>
      <c r="B330" s="59">
        <v>5</v>
      </c>
      <c r="C330" s="2">
        <v>4630.3119999999999</v>
      </c>
      <c r="D330" s="2">
        <v>4342.7759999999998</v>
      </c>
      <c r="E330" s="2">
        <v>4055.241</v>
      </c>
      <c r="F330" s="2">
        <v>3668.5549999999998</v>
      </c>
      <c r="G330" s="2">
        <v>3172.8049999999998</v>
      </c>
      <c r="H330" s="2">
        <v>2667.1390000000001</v>
      </c>
      <c r="I330" s="2">
        <v>2201.1329999999998</v>
      </c>
      <c r="J330" s="2">
        <v>1745.0419999999999</v>
      </c>
      <c r="K330" s="2">
        <v>1477.337</v>
      </c>
      <c r="L330" s="2">
        <v>1259.2070000000001</v>
      </c>
      <c r="M330" s="2">
        <v>1050.992</v>
      </c>
      <c r="N330" s="2">
        <v>793.20100000000002</v>
      </c>
      <c r="O330" s="2">
        <v>644.476</v>
      </c>
      <c r="P330" s="2">
        <v>555.24099999999999</v>
      </c>
      <c r="Q330" s="2">
        <v>495.75099999999998</v>
      </c>
      <c r="R330" s="2">
        <v>446.17599999999999</v>
      </c>
      <c r="S330" s="208">
        <v>376.77100000000002</v>
      </c>
    </row>
    <row r="331" spans="1:19" ht="15.75" customHeight="1">
      <c r="A331" s="200">
        <v>59</v>
      </c>
      <c r="B331" s="59">
        <v>6</v>
      </c>
      <c r="C331" s="2">
        <v>5046.7420000000002</v>
      </c>
      <c r="D331" s="2">
        <v>4590.652</v>
      </c>
      <c r="E331" s="2">
        <v>4233.7110000000002</v>
      </c>
      <c r="F331" s="2">
        <v>3807.3649999999998</v>
      </c>
      <c r="G331" s="2">
        <v>3281.87</v>
      </c>
      <c r="H331" s="2">
        <v>2558.0740000000001</v>
      </c>
      <c r="I331" s="2">
        <v>2111.8980000000001</v>
      </c>
      <c r="J331" s="2">
        <v>1695.4670000000001</v>
      </c>
      <c r="K331" s="2">
        <v>1388.1020000000001</v>
      </c>
      <c r="L331" s="2">
        <v>1120.3969999999999</v>
      </c>
      <c r="M331" s="2">
        <v>912.18100000000004</v>
      </c>
      <c r="N331" s="30">
        <v>654.39099999999996</v>
      </c>
      <c r="O331" s="30">
        <v>466.00599999999997</v>
      </c>
      <c r="P331" s="30">
        <v>406.51600000000002</v>
      </c>
      <c r="Q331" s="30">
        <v>366.85599999999999</v>
      </c>
      <c r="R331" s="30">
        <v>327.19499999999999</v>
      </c>
      <c r="S331" s="209">
        <v>277.62</v>
      </c>
    </row>
    <row r="332" spans="1:19" ht="15.75" customHeight="1">
      <c r="A332" s="201">
        <v>60</v>
      </c>
      <c r="B332" s="58">
        <v>1</v>
      </c>
      <c r="C332" s="263">
        <v>20090928126.087399</v>
      </c>
      <c r="D332" s="263">
        <v>19364219639.46611</v>
      </c>
      <c r="E332" s="263">
        <v>18030177408.595783</v>
      </c>
      <c r="F332" s="263">
        <v>16180800376.430729</v>
      </c>
      <c r="G332" s="263">
        <v>14521116175.877472</v>
      </c>
      <c r="H332" s="263">
        <v>12560299636.948816</v>
      </c>
      <c r="I332" s="263">
        <v>9397233105.6464005</v>
      </c>
      <c r="J332" s="263">
        <v>7568328950.2097473</v>
      </c>
      <c r="K332" s="263">
        <v>4560369159.5129728</v>
      </c>
      <c r="L332" s="263">
        <v>2382319469.3586988</v>
      </c>
      <c r="M332" s="343">
        <v>303389118.4194265</v>
      </c>
      <c r="N332" s="2"/>
    </row>
    <row r="333" spans="1:19" ht="15.75" customHeight="1">
      <c r="A333" s="200">
        <v>60</v>
      </c>
      <c r="B333" s="59">
        <v>2</v>
      </c>
      <c r="C333" s="74">
        <v>1336595516.5464447</v>
      </c>
      <c r="D333" s="74">
        <v>1241652307.592412</v>
      </c>
      <c r="E333" s="74">
        <v>1156112242.1921031</v>
      </c>
      <c r="F333" s="74">
        <v>1037528415.8180156</v>
      </c>
      <c r="G333" s="74">
        <v>671428852.92595363</v>
      </c>
      <c r="H333" s="74">
        <v>561047976.03247273</v>
      </c>
      <c r="I333" s="74">
        <v>435511873.68557084</v>
      </c>
      <c r="J333" s="74">
        <v>314774831.41013223</v>
      </c>
      <c r="K333" s="74">
        <v>152756605.82380763</v>
      </c>
      <c r="L333" s="74">
        <v>68865229.634427696</v>
      </c>
      <c r="M333" s="344">
        <v>6109420.2490557386</v>
      </c>
      <c r="N333" s="2"/>
    </row>
    <row r="334" spans="1:19" ht="15.75" customHeight="1">
      <c r="A334" s="200">
        <v>60</v>
      </c>
      <c r="B334" s="59">
        <v>3</v>
      </c>
      <c r="C334" s="74">
        <v>92044957.175317541</v>
      </c>
      <c r="D334" s="74">
        <v>95499258.602143735</v>
      </c>
      <c r="E334" s="74">
        <v>92044957.175317541</v>
      </c>
      <c r="F334" s="74">
        <v>71449632.60755147</v>
      </c>
      <c r="G334" s="74">
        <v>57543993.733715899</v>
      </c>
      <c r="H334" s="74">
        <v>59703528.658383928</v>
      </c>
      <c r="I334" s="74">
        <v>47973344.863668986</v>
      </c>
      <c r="J334" s="74">
        <v>38636697.705407038</v>
      </c>
      <c r="K334" s="74">
        <v>27925438.412373483</v>
      </c>
      <c r="L334" s="74">
        <v>13061708.881318459</v>
      </c>
      <c r="M334" s="344">
        <v>1853531.6234148219</v>
      </c>
      <c r="N334" s="2"/>
    </row>
    <row r="335" spans="1:19" ht="15.75" customHeight="1">
      <c r="A335" s="200">
        <v>60</v>
      </c>
      <c r="B335" s="59">
        <v>4</v>
      </c>
      <c r="C335" s="131">
        <v>11297959.146728039</v>
      </c>
      <c r="D335" s="131">
        <v>10914403.364487587</v>
      </c>
      <c r="E335" s="131">
        <v>9440608.7628592383</v>
      </c>
      <c r="F335" s="131">
        <v>6576578.3735542083</v>
      </c>
      <c r="G335" s="131">
        <v>4111497.2110452354</v>
      </c>
      <c r="H335" s="131">
        <v>2660725.0597988246</v>
      </c>
      <c r="I335" s="131">
        <v>1995262.3149688863</v>
      </c>
      <c r="J335" s="131">
        <v>1606941.2530128793</v>
      </c>
      <c r="K335" s="131">
        <v>1158777.3561551275</v>
      </c>
      <c r="L335" s="131">
        <v>751622.89401820616</v>
      </c>
      <c r="M335" s="345">
        <v>74301.913789670391</v>
      </c>
      <c r="N335" s="2"/>
    </row>
    <row r="336" spans="1:19" ht="15.75" customHeight="1">
      <c r="A336" s="200">
        <v>60</v>
      </c>
      <c r="B336" s="59">
        <v>5</v>
      </c>
      <c r="C336" s="74">
        <v>1492794.4095789965</v>
      </c>
      <c r="D336" s="74">
        <v>1492794.4095789965</v>
      </c>
      <c r="E336" s="74">
        <v>1247383.5142429459</v>
      </c>
      <c r="F336" s="74">
        <v>779830.11052325985</v>
      </c>
      <c r="G336" s="74">
        <v>293764.96519615385</v>
      </c>
      <c r="H336" s="74">
        <v>164816.23915255154</v>
      </c>
      <c r="I336" s="74">
        <v>118850.22274370193</v>
      </c>
      <c r="J336" s="74">
        <v>79983.425500703204</v>
      </c>
      <c r="K336" s="74">
        <v>69183.097091893855</v>
      </c>
      <c r="L336" s="74">
        <v>50003.453497698036</v>
      </c>
      <c r="M336" s="344">
        <v>8491.8047503631715</v>
      </c>
      <c r="N336" s="2"/>
    </row>
    <row r="337" spans="1:13" ht="15.75" customHeight="1">
      <c r="A337" s="102">
        <v>61</v>
      </c>
      <c r="B337" s="246">
        <v>1</v>
      </c>
      <c r="C337" s="105">
        <v>16503.866000000002</v>
      </c>
      <c r="D337" s="105">
        <v>15675.846</v>
      </c>
      <c r="E337" s="105">
        <v>12758.87</v>
      </c>
      <c r="F337" s="105">
        <v>5051.5860000000002</v>
      </c>
      <c r="G337" s="105">
        <v>1116.066</v>
      </c>
      <c r="H337" s="105">
        <v>506.89499999999998</v>
      </c>
      <c r="I337" s="105">
        <v>80.834999999999994</v>
      </c>
      <c r="J337" s="105">
        <v>2.6589999999999998</v>
      </c>
      <c r="K337" s="105">
        <v>1.9530000000000001</v>
      </c>
      <c r="L337" s="105">
        <v>1.409</v>
      </c>
      <c r="M337" s="132">
        <v>1.1279999999999999</v>
      </c>
    </row>
    <row r="338" spans="1:13" ht="15.75" customHeight="1"/>
    <row r="339" spans="1:13" ht="15.75" customHeight="1"/>
    <row r="340" spans="1:13" ht="15.75" customHeight="1"/>
    <row r="341" spans="1:13" ht="15.75" customHeight="1"/>
    <row r="342" spans="1:13" ht="15.75" customHeight="1"/>
    <row r="343" spans="1:13" ht="15.75" customHeight="1"/>
    <row r="344" spans="1:13" ht="15.75" customHeight="1"/>
    <row r="345" spans="1:13" ht="15.75" customHeight="1"/>
    <row r="346" spans="1:13" ht="15.75" customHeight="1"/>
    <row r="347" spans="1:13" ht="15.75" customHeight="1"/>
    <row r="348" spans="1:13" ht="15.75" customHeight="1"/>
    <row r="349" spans="1:13" ht="15.75" customHeight="1"/>
    <row r="350" spans="1:13" ht="15.75" customHeight="1"/>
    <row r="351" spans="1:13" ht="15.75" customHeight="1"/>
    <row r="352" spans="1:13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S338"/>
  <sheetViews>
    <sheetView topLeftCell="A286" zoomScale="70" zoomScaleNormal="70" workbookViewId="0">
      <selection activeCell="C327" sqref="C327"/>
    </sheetView>
  </sheetViews>
  <sheetFormatPr defaultColWidth="12.5703125" defaultRowHeight="15" customHeight="1"/>
  <sheetData>
    <row r="1" spans="1:25">
      <c r="A1" s="16" t="s">
        <v>218</v>
      </c>
      <c r="B1" s="15" t="s">
        <v>219</v>
      </c>
    </row>
    <row r="2" spans="1:25">
      <c r="A2" s="337">
        <v>1</v>
      </c>
      <c r="B2" s="255">
        <v>1</v>
      </c>
    </row>
    <row r="3" spans="1:25">
      <c r="A3" s="337">
        <v>1</v>
      </c>
      <c r="B3" s="255">
        <v>2</v>
      </c>
    </row>
    <row r="4" spans="1:25">
      <c r="A4" s="338">
        <v>1</v>
      </c>
      <c r="B4" s="255">
        <v>3</v>
      </c>
    </row>
    <row r="5" spans="1:25">
      <c r="A5" s="338">
        <v>1</v>
      </c>
      <c r="B5" s="255">
        <v>4</v>
      </c>
    </row>
    <row r="6" spans="1:25">
      <c r="A6" s="338">
        <v>1</v>
      </c>
      <c r="B6" s="255">
        <v>5</v>
      </c>
    </row>
    <row r="7" spans="1:25">
      <c r="A7" s="177">
        <v>2</v>
      </c>
      <c r="B7" s="178">
        <v>1</v>
      </c>
      <c r="C7" s="358">
        <v>262.82830311377899</v>
      </c>
      <c r="D7" s="358">
        <v>377.614950334892</v>
      </c>
      <c r="E7" s="358">
        <v>554.96078407263701</v>
      </c>
      <c r="F7" s="358">
        <v>779.476952771985</v>
      </c>
      <c r="G7" s="358">
        <v>1094.82388186761</v>
      </c>
      <c r="H7" s="358">
        <v>1469.6472784789401</v>
      </c>
      <c r="I7" s="358">
        <v>1972.79503937762</v>
      </c>
      <c r="J7" s="358">
        <v>2474.2445535888401</v>
      </c>
      <c r="K7" s="358">
        <v>2770.91338680335</v>
      </c>
      <c r="L7" s="358">
        <v>3475.2304314022999</v>
      </c>
      <c r="M7" s="359">
        <v>3475.2304314022999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>
      <c r="A8" s="174">
        <v>2</v>
      </c>
      <c r="B8" s="179">
        <v>2</v>
      </c>
      <c r="C8" s="129">
        <v>35.0156582609117</v>
      </c>
      <c r="D8" s="129">
        <v>49.181670820452403</v>
      </c>
      <c r="E8" s="129">
        <v>67.531779958544206</v>
      </c>
      <c r="F8" s="129">
        <v>90.651928835906403</v>
      </c>
      <c r="G8" s="129">
        <v>136.278150061747</v>
      </c>
      <c r="H8" s="129">
        <v>209.56148891540099</v>
      </c>
      <c r="I8" s="129">
        <v>301.08458750973301</v>
      </c>
      <c r="J8" s="129">
        <v>432.57914087688999</v>
      </c>
      <c r="K8" s="129">
        <v>680.43537700758895</v>
      </c>
      <c r="L8" s="129">
        <v>1000</v>
      </c>
      <c r="M8" s="341">
        <v>1469.6472784789401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>
      <c r="A9" s="174">
        <v>2</v>
      </c>
      <c r="B9" s="179">
        <v>3</v>
      </c>
      <c r="C9" s="129">
        <v>1145.55618227841</v>
      </c>
      <c r="D9" s="129">
        <v>1469.6472784789401</v>
      </c>
      <c r="E9" s="129">
        <v>2209.3386751530702</v>
      </c>
      <c r="F9" s="129">
        <v>2965.7268396796098</v>
      </c>
      <c r="G9" s="129">
        <v>4358.5723786471199</v>
      </c>
      <c r="H9" s="129">
        <v>6262.1189300962196</v>
      </c>
      <c r="I9" s="129">
        <v>8598.5699673633499</v>
      </c>
      <c r="J9" s="129">
        <v>12353.8771612865</v>
      </c>
      <c r="K9" s="129">
        <v>16583.344818690501</v>
      </c>
      <c r="L9" s="129">
        <v>25501.009735072501</v>
      </c>
      <c r="M9" s="341">
        <v>40112.403797335501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>
      <c r="A10" s="181">
        <v>3</v>
      </c>
      <c r="B10" s="178">
        <v>1</v>
      </c>
      <c r="C10" s="195">
        <v>18.1071975453401</v>
      </c>
      <c r="D10" s="195">
        <v>22.579743714185</v>
      </c>
      <c r="E10" s="195">
        <v>28.157025675653699</v>
      </c>
      <c r="F10" s="195">
        <v>36.197425750983598</v>
      </c>
      <c r="G10" s="195">
        <v>52.560702000401001</v>
      </c>
      <c r="H10" s="195">
        <v>64.063633990005101</v>
      </c>
      <c r="I10" s="195">
        <v>75.742361764966404</v>
      </c>
      <c r="J10" s="195">
        <v>88.197148756035702</v>
      </c>
      <c r="K10" s="195">
        <v>101.921184626301</v>
      </c>
      <c r="L10" s="195">
        <v>113.382350121784</v>
      </c>
      <c r="M10" s="195">
        <v>128.067230110281</v>
      </c>
      <c r="N10" s="195">
        <v>138.196125673382</v>
      </c>
      <c r="O10" s="195">
        <v>153.73645394747601</v>
      </c>
      <c r="P10" s="195">
        <v>167.16313057451299</v>
      </c>
      <c r="Q10" s="195">
        <v>176.31164267971599</v>
      </c>
      <c r="R10" s="195">
        <v>180.38413871322501</v>
      </c>
      <c r="S10" s="195">
        <v>187.38174228603799</v>
      </c>
      <c r="T10" s="195">
        <v>194.65080240770001</v>
      </c>
      <c r="U10" s="195">
        <v>199.14690152331301</v>
      </c>
      <c r="V10" s="195">
        <v>203.74685280397</v>
      </c>
      <c r="W10" s="195">
        <v>199.14690152331301</v>
      </c>
      <c r="X10" s="195">
        <v>203.74685280397</v>
      </c>
      <c r="Y10" s="253">
        <v>208.45305505626001</v>
      </c>
    </row>
    <row r="11" spans="1:25">
      <c r="A11" s="182">
        <v>3</v>
      </c>
      <c r="B11" s="179">
        <v>2</v>
      </c>
      <c r="C11" s="19">
        <v>65.543393870584296</v>
      </c>
      <c r="D11" s="19">
        <v>62.142458327544702</v>
      </c>
      <c r="E11" s="19">
        <v>65.543393870584296</v>
      </c>
      <c r="F11" s="19">
        <v>70.727250746341497</v>
      </c>
      <c r="G11" s="19">
        <v>82.357371883085307</v>
      </c>
      <c r="H11" s="19">
        <v>93.734793388480597</v>
      </c>
      <c r="I11" s="19">
        <v>106.68397121819299</v>
      </c>
      <c r="J11" s="19">
        <v>124.226679234179</v>
      </c>
      <c r="K11" s="19">
        <v>138.196125673382</v>
      </c>
      <c r="L11" s="19">
        <v>156.09479789360901</v>
      </c>
      <c r="M11" s="19">
        <v>169.72744207568601</v>
      </c>
      <c r="N11" s="19">
        <v>183.151262779051</v>
      </c>
      <c r="O11" s="19">
        <v>206.87236496790999</v>
      </c>
      <c r="P11" s="19">
        <v>218.19408602348301</v>
      </c>
      <c r="Q11" s="19">
        <v>231.89386346913901</v>
      </c>
      <c r="R11" s="19">
        <v>244.58496233632701</v>
      </c>
      <c r="S11" s="19">
        <v>259.941746801151</v>
      </c>
      <c r="T11" s="19">
        <v>270.02561176352901</v>
      </c>
      <c r="U11" s="19">
        <v>276.26273947749598</v>
      </c>
      <c r="V11" s="19">
        <v>289.17252340757102</v>
      </c>
      <c r="W11" s="19">
        <v>293.60848021843299</v>
      </c>
      <c r="X11" s="19">
        <v>314.42760027141099</v>
      </c>
      <c r="Y11" s="185">
        <v>321.69033763503001</v>
      </c>
    </row>
    <row r="12" spans="1:25">
      <c r="A12" s="182">
        <v>3</v>
      </c>
      <c r="B12" s="179">
        <v>3</v>
      </c>
      <c r="C12" s="19">
        <v>151.41374082468499</v>
      </c>
      <c r="D12" s="19">
        <v>151.41374082468499</v>
      </c>
      <c r="E12" s="19">
        <v>152.570677370552</v>
      </c>
      <c r="F12" s="19">
        <v>152.570677370552</v>
      </c>
      <c r="G12" s="19">
        <v>168.44040655904399</v>
      </c>
      <c r="H12" s="19">
        <v>184.55070240835201</v>
      </c>
      <c r="I12" s="19">
        <v>191.709938601457</v>
      </c>
      <c r="J12" s="19">
        <v>206.87236496790999</v>
      </c>
      <c r="K12" s="19">
        <v>221.54122125811799</v>
      </c>
      <c r="L12" s="19">
        <v>237.25021330979499</v>
      </c>
      <c r="M12" s="19">
        <v>252.146470034777</v>
      </c>
      <c r="N12" s="19">
        <v>272.08884920068601</v>
      </c>
      <c r="O12" s="19">
        <v>286.979741241581</v>
      </c>
      <c r="P12" s="19">
        <v>307.32883225297297</v>
      </c>
      <c r="Q12" s="19">
        <v>321.69033763503001</v>
      </c>
      <c r="R12" s="19">
        <v>334.16960256393298</v>
      </c>
      <c r="S12" s="19">
        <v>341.888346262742</v>
      </c>
      <c r="T12" s="19">
        <v>355.15114824953201</v>
      </c>
      <c r="U12" s="19">
        <v>363.35452960631397</v>
      </c>
      <c r="V12" s="19">
        <v>371.74739497860901</v>
      </c>
      <c r="W12" s="19">
        <v>371.74739497860901</v>
      </c>
      <c r="X12" s="19">
        <v>380.33412112163501</v>
      </c>
      <c r="Y12" s="185">
        <v>389.11918588613003</v>
      </c>
    </row>
    <row r="13" spans="1:25">
      <c r="A13" s="260">
        <v>3</v>
      </c>
      <c r="B13" s="180">
        <v>4</v>
      </c>
      <c r="C13" s="21">
        <v>42.796175387416397</v>
      </c>
      <c r="D13" s="21">
        <v>60.278895942635998</v>
      </c>
      <c r="E13" s="21">
        <v>90.234351365101304</v>
      </c>
      <c r="F13" s="21">
        <v>108.320521894442</v>
      </c>
      <c r="G13" s="21">
        <v>130.03180369756899</v>
      </c>
      <c r="H13" s="21">
        <v>157.28750190659599</v>
      </c>
      <c r="I13" s="21">
        <v>168.44040655904399</v>
      </c>
      <c r="J13" s="21">
        <v>188.81350656646799</v>
      </c>
      <c r="K13" s="21">
        <v>205.30366118100801</v>
      </c>
      <c r="L13" s="21">
        <v>223.23399454206</v>
      </c>
      <c r="M13" s="21">
        <v>235.451155672878</v>
      </c>
      <c r="N13" s="21">
        <v>252.146470034777</v>
      </c>
      <c r="O13" s="21">
        <v>270.02561176352901</v>
      </c>
      <c r="P13" s="21">
        <v>278.37363415470401</v>
      </c>
      <c r="Q13" s="21">
        <v>284.80358684357998</v>
      </c>
      <c r="R13" s="21">
        <v>295.851911885145</v>
      </c>
      <c r="S13" s="21">
        <v>302.68558276102101</v>
      </c>
      <c r="T13" s="21">
        <v>302.68558276102101</v>
      </c>
      <c r="U13" s="21">
        <v>307.32883225297297</v>
      </c>
      <c r="V13" s="21">
        <v>316.830108655407</v>
      </c>
      <c r="W13" s="21">
        <v>316.830108655407</v>
      </c>
      <c r="X13" s="21">
        <v>314.42760027141099</v>
      </c>
      <c r="Y13" s="186">
        <v>331.63560958187799</v>
      </c>
    </row>
    <row r="14" spans="1:25">
      <c r="A14" s="370">
        <v>4</v>
      </c>
      <c r="B14" s="178">
        <v>1</v>
      </c>
      <c r="C14" s="195">
        <v>6.0388241190619603</v>
      </c>
      <c r="D14" s="195">
        <v>9.78309319017829</v>
      </c>
      <c r="E14" s="195">
        <v>17.301957388458899</v>
      </c>
      <c r="F14" s="195">
        <v>29.935772947204899</v>
      </c>
      <c r="G14" s="195">
        <v>47.445002755086598</v>
      </c>
      <c r="H14" s="195">
        <v>70.407520066064393</v>
      </c>
      <c r="I14" s="195">
        <v>97.830931901782904</v>
      </c>
      <c r="J14" s="195">
        <v>155.05157798326201</v>
      </c>
      <c r="K14" s="195">
        <v>230.09371807784601</v>
      </c>
      <c r="L14" s="195">
        <v>319.71418455272999</v>
      </c>
      <c r="M14" s="195">
        <v>474.45002755086603</v>
      </c>
      <c r="N14" s="195">
        <v>735.642254459642</v>
      </c>
      <c r="O14" s="195">
        <v>1115.88399250775</v>
      </c>
      <c r="P14" s="195">
        <v>1516.8840366944501</v>
      </c>
      <c r="Q14" s="195">
        <v>2154.4346900318801</v>
      </c>
      <c r="R14" s="195">
        <v>2865.1202696637802</v>
      </c>
      <c r="S14" s="195">
        <v>4069.3384271671498</v>
      </c>
      <c r="T14" s="195">
        <v>4957.2188818532704</v>
      </c>
      <c r="U14" s="195">
        <v>6592.4617558713999</v>
      </c>
      <c r="V14" s="195">
        <v>7686.2461003977396</v>
      </c>
      <c r="W14" s="253">
        <v>8767.1238729686793</v>
      </c>
    </row>
    <row r="15" spans="1:25">
      <c r="A15" s="357">
        <v>4</v>
      </c>
      <c r="B15" s="179">
        <v>2</v>
      </c>
      <c r="C15" s="19">
        <v>23.519526350709501</v>
      </c>
      <c r="D15" s="19">
        <v>34.145488738335999</v>
      </c>
      <c r="E15" s="19">
        <v>50.671283463087697</v>
      </c>
      <c r="F15" s="19">
        <v>76.862461003977401</v>
      </c>
      <c r="G15" s="19">
        <v>109.167970881315</v>
      </c>
      <c r="H15" s="19">
        <v>162.00328072641301</v>
      </c>
      <c r="I15" s="19">
        <v>225.10282864301701</v>
      </c>
      <c r="J15" s="19">
        <v>334.04849835132399</v>
      </c>
      <c r="K15" s="19">
        <v>474.45002755086603</v>
      </c>
      <c r="L15" s="19">
        <v>630.957344480193</v>
      </c>
      <c r="M15" s="19">
        <v>916.01959066105201</v>
      </c>
      <c r="N15" s="19">
        <v>1359.35639087852</v>
      </c>
      <c r="O15" s="19">
        <v>1807.7686769634299</v>
      </c>
      <c r="P15" s="19">
        <v>2511.8864315095798</v>
      </c>
      <c r="Q15" s="19">
        <v>3646.73967409644</v>
      </c>
      <c r="R15" s="19">
        <v>4957.2188818532704</v>
      </c>
      <c r="S15" s="19">
        <v>6309.5734448019402</v>
      </c>
      <c r="T15" s="19">
        <v>8030.8572213915204</v>
      </c>
      <c r="U15" s="19">
        <v>10221.715980421701</v>
      </c>
      <c r="V15" s="19">
        <v>13010.2521691083</v>
      </c>
      <c r="W15" s="185">
        <v>15505.1577983262</v>
      </c>
    </row>
    <row r="16" spans="1:25">
      <c r="A16" s="260">
        <v>4</v>
      </c>
      <c r="B16" s="180">
        <v>3</v>
      </c>
      <c r="C16" s="21">
        <v>60.388241190619603</v>
      </c>
      <c r="D16" s="21">
        <v>75.195261882835595</v>
      </c>
      <c r="E16" s="21">
        <v>104.48347758440801</v>
      </c>
      <c r="F16" s="21">
        <v>132.98710250629</v>
      </c>
      <c r="G16" s="21">
        <v>188.881958037304</v>
      </c>
      <c r="H16" s="21">
        <v>274.21754481220802</v>
      </c>
      <c r="I16" s="21">
        <v>372.75937203149402</v>
      </c>
      <c r="J16" s="21">
        <v>517.94746792312105</v>
      </c>
      <c r="K16" s="21">
        <v>704.07520066064501</v>
      </c>
      <c r="L16" s="21">
        <v>957.08912367712901</v>
      </c>
      <c r="M16" s="21">
        <v>1329.8710250628999</v>
      </c>
      <c r="N16" s="21">
        <v>1847.8497974222901</v>
      </c>
      <c r="O16" s="21">
        <v>2511.8864315095798</v>
      </c>
      <c r="P16" s="21">
        <v>3268.0275894101301</v>
      </c>
      <c r="Q16" s="21">
        <v>4641.58883361278</v>
      </c>
      <c r="R16" s="21">
        <v>6038.8241190619601</v>
      </c>
      <c r="S16" s="21">
        <v>7856.6624593889501</v>
      </c>
      <c r="T16" s="21">
        <v>10221.715980421701</v>
      </c>
      <c r="U16" s="21">
        <v>13010.2521691083</v>
      </c>
      <c r="V16" s="21">
        <v>15848.931924611101</v>
      </c>
      <c r="W16" s="186">
        <v>18077.6867696343</v>
      </c>
    </row>
    <row r="17" spans="1:45">
      <c r="A17" s="181">
        <v>5</v>
      </c>
      <c r="B17" s="178">
        <v>1</v>
      </c>
      <c r="C17" s="306">
        <v>34.087379834759098</v>
      </c>
      <c r="D17" s="306">
        <v>32.492952949915697</v>
      </c>
      <c r="E17" s="306">
        <v>35.760045133175801</v>
      </c>
      <c r="F17" s="306">
        <v>38.732196104047702</v>
      </c>
      <c r="G17" s="306">
        <v>43.312755253265202</v>
      </c>
      <c r="H17" s="306">
        <v>50.006807121025403</v>
      </c>
      <c r="I17" s="306">
        <v>57.735434834774601</v>
      </c>
      <c r="J17" s="306">
        <v>66.658533657090501</v>
      </c>
      <c r="K17" s="306">
        <v>74.541726115276504</v>
      </c>
      <c r="L17" s="306">
        <v>87.447535174092096</v>
      </c>
      <c r="M17" s="306">
        <v>104.23906643385899</v>
      </c>
      <c r="N17" s="306">
        <v>118.44289535865499</v>
      </c>
      <c r="O17" s="306">
        <v>138.94954943731301</v>
      </c>
      <c r="P17" s="306">
        <v>160.42441256935001</v>
      </c>
      <c r="Q17" s="306">
        <v>182.28417196139799</v>
      </c>
      <c r="R17" s="306">
        <v>213.844008852484</v>
      </c>
      <c r="S17" s="306">
        <v>246.893924021766</v>
      </c>
      <c r="T17" s="306">
        <v>289.63999400516002</v>
      </c>
      <c r="U17" s="306">
        <v>339.78692047485799</v>
      </c>
      <c r="V17" s="306">
        <v>398.61605342986701</v>
      </c>
      <c r="W17" s="306">
        <v>460.22276769633498</v>
      </c>
      <c r="X17" s="306">
        <v>531.35089287953201</v>
      </c>
      <c r="Y17" s="306">
        <v>633.380013653829</v>
      </c>
      <c r="Z17" s="306">
        <v>755.00059766922902</v>
      </c>
      <c r="AA17" s="306">
        <v>844.28871564808799</v>
      </c>
      <c r="AB17" s="306">
        <v>990.46495173116705</v>
      </c>
      <c r="AC17" s="306">
        <v>1143.5428088501001</v>
      </c>
      <c r="AD17" s="306">
        <v>1341.5305119893901</v>
      </c>
      <c r="AE17" s="306">
        <v>1430.0124081209001</v>
      </c>
      <c r="AF17" s="306">
        <v>1846.2767895079801</v>
      </c>
      <c r="AG17" s="306">
        <v>2272.21475599732</v>
      </c>
      <c r="AH17" s="306">
        <v>2581.8313976146901</v>
      </c>
      <c r="AI17" s="306">
        <v>2933.6370376589998</v>
      </c>
      <c r="AJ17" s="306">
        <v>3387.0350811785502</v>
      </c>
      <c r="AK17" s="306">
        <v>3910.5064784321999</v>
      </c>
      <c r="AL17" s="306">
        <v>4514.8811722786304</v>
      </c>
      <c r="AM17" s="306">
        <v>5048.82146850546</v>
      </c>
      <c r="AN17" s="306">
        <v>5556.4689322449003</v>
      </c>
      <c r="AO17" s="306">
        <v>6115.1591886536198</v>
      </c>
      <c r="AP17" s="306">
        <v>6518.4902164031901</v>
      </c>
      <c r="AQ17" s="306">
        <v>6518.4902164031901</v>
      </c>
      <c r="AR17" s="306">
        <v>5130.08813815754</v>
      </c>
      <c r="AS17" s="126">
        <v>17265.159562230299</v>
      </c>
    </row>
    <row r="18" spans="1:45">
      <c r="A18" s="182">
        <v>5</v>
      </c>
      <c r="B18" s="179">
        <v>2</v>
      </c>
      <c r="C18" s="301">
        <v>356.46024043929202</v>
      </c>
      <c r="D18" s="301">
        <v>398.61605342986701</v>
      </c>
      <c r="E18" s="301">
        <v>431.74652308656101</v>
      </c>
      <c r="F18" s="301">
        <v>452.93229419539102</v>
      </c>
      <c r="G18" s="301">
        <v>475.15764958220598</v>
      </c>
      <c r="H18" s="301">
        <v>482.805866098107</v>
      </c>
      <c r="I18" s="301">
        <v>460.22276769633498</v>
      </c>
      <c r="J18" s="301">
        <v>482.805866098107</v>
      </c>
      <c r="K18" s="301">
        <v>482.805866098107</v>
      </c>
      <c r="L18" s="301">
        <v>531.35089287953201</v>
      </c>
      <c r="M18" s="301">
        <v>531.35089287953201</v>
      </c>
      <c r="N18" s="301">
        <v>557.42424331334803</v>
      </c>
      <c r="O18" s="301">
        <v>548.59398336119102</v>
      </c>
      <c r="P18" s="301">
        <v>643.57500364405303</v>
      </c>
      <c r="Q18" s="301">
        <v>623.34652437496402</v>
      </c>
      <c r="R18" s="301">
        <v>623.34652437496402</v>
      </c>
      <c r="S18" s="301">
        <v>653.93409388793202</v>
      </c>
      <c r="T18" s="301">
        <v>653.93409388793202</v>
      </c>
      <c r="U18" s="301">
        <v>719.68567300115205</v>
      </c>
      <c r="V18" s="301">
        <v>779.50143843900105</v>
      </c>
      <c r="W18" s="301">
        <v>857.87852716619398</v>
      </c>
      <c r="X18" s="301">
        <v>817.75151845287303</v>
      </c>
      <c r="Y18" s="301">
        <v>844.28871564808799</v>
      </c>
      <c r="Z18" s="301">
        <v>944.13625309869099</v>
      </c>
      <c r="AA18" s="301">
        <v>1022.60694492338</v>
      </c>
      <c r="AB18" s="301">
        <v>1107.5996291567301</v>
      </c>
      <c r="AC18" s="301">
        <v>1218.96624136269</v>
      </c>
      <c r="AD18" s="301">
        <v>1320.27908043305</v>
      </c>
      <c r="AE18" s="301">
        <v>1430.0124081209001</v>
      </c>
      <c r="AF18" s="301">
        <v>1599.1289849841501</v>
      </c>
      <c r="AG18" s="301">
        <v>1788.2456796138799</v>
      </c>
      <c r="AH18" s="301">
        <v>1968.04969713795</v>
      </c>
      <c r="AI18" s="301">
        <v>2131.6216612193298</v>
      </c>
      <c r="AJ18" s="301">
        <v>2345.9513491911298</v>
      </c>
      <c r="AK18" s="301">
        <v>2540.9321316300202</v>
      </c>
      <c r="AL18" s="301">
        <v>2796.4170522599902</v>
      </c>
      <c r="AM18" s="301">
        <v>2887.1647538310999</v>
      </c>
      <c r="AN18" s="301">
        <v>3127.1278046105099</v>
      </c>
      <c r="AO18" s="301">
        <v>3177.46257359421</v>
      </c>
      <c r="AP18" s="301">
        <v>3177.46257359421</v>
      </c>
      <c r="AQ18" s="301">
        <v>2980.8573470927399</v>
      </c>
      <c r="AR18" s="301">
        <v>3610.4301389638499</v>
      </c>
      <c r="AS18" s="110">
        <v>4736.42606953836</v>
      </c>
    </row>
    <row r="19" spans="1:45">
      <c r="A19" s="182">
        <v>5</v>
      </c>
      <c r="B19" s="179">
        <v>3</v>
      </c>
      <c r="C19" s="300">
        <v>188.199552009922</v>
      </c>
      <c r="D19" s="300">
        <v>220.78355039276701</v>
      </c>
      <c r="E19" s="300">
        <v>259.00899127255002</v>
      </c>
      <c r="F19" s="300">
        <v>299.03922282111898</v>
      </c>
      <c r="G19" s="300">
        <v>350.81348821520902</v>
      </c>
      <c r="H19" s="300">
        <v>386.08698296026301</v>
      </c>
      <c r="I19" s="300">
        <v>482.805866098107</v>
      </c>
      <c r="J19" s="300">
        <v>539.90360518087698</v>
      </c>
      <c r="K19" s="300">
        <v>603.75385502891902</v>
      </c>
      <c r="L19" s="300">
        <v>664.45992577042796</v>
      </c>
      <c r="M19" s="300">
        <v>731.26985323132305</v>
      </c>
      <c r="N19" s="300">
        <v>830.91418283349196</v>
      </c>
      <c r="O19" s="300">
        <v>929.18001708074905</v>
      </c>
      <c r="P19" s="300">
        <v>1055.7919914054301</v>
      </c>
      <c r="Q19" s="300">
        <v>1180.6523957293</v>
      </c>
      <c r="R19" s="300">
        <v>1407.3593185755601</v>
      </c>
      <c r="S19" s="300">
        <v>1548.8660826989601</v>
      </c>
      <c r="T19" s="300">
        <v>1759.91775093347</v>
      </c>
      <c r="U19" s="300">
        <v>1999.7277522234499</v>
      </c>
      <c r="V19" s="300">
        <v>2236.2201841729602</v>
      </c>
      <c r="W19" s="300">
        <v>2500.6807584394401</v>
      </c>
      <c r="X19" s="300">
        <v>2752.1184954564301</v>
      </c>
      <c r="Y19" s="300">
        <v>3228.6075393869</v>
      </c>
      <c r="Z19" s="300">
        <v>3553.2366511516698</v>
      </c>
      <c r="AA19" s="300">
        <v>3973.4506407753302</v>
      </c>
      <c r="AB19" s="300">
        <v>4443.3601093134703</v>
      </c>
      <c r="AC19" s="300">
        <v>4890.1298166689003</v>
      </c>
      <c r="AD19" s="300">
        <v>5296.5667780366603</v>
      </c>
      <c r="AE19" s="300">
        <v>6518.4902164031901</v>
      </c>
      <c r="AF19" s="300">
        <v>7060.26629507284</v>
      </c>
      <c r="AG19" s="300">
        <v>7770.1599406248897</v>
      </c>
      <c r="AH19" s="300">
        <v>8971.0499177042002</v>
      </c>
      <c r="AI19" s="300">
        <v>10193.463573794599</v>
      </c>
      <c r="AJ19" s="300">
        <v>11040.6804199863</v>
      </c>
      <c r="AK19" s="300">
        <v>11768.878794463601</v>
      </c>
      <c r="AL19" s="300">
        <v>12952.212669177699</v>
      </c>
      <c r="AM19" s="300">
        <v>13587.7768214965</v>
      </c>
      <c r="AN19" s="300">
        <v>15194.698754609601</v>
      </c>
      <c r="AO19" s="300">
        <v>16196.8792827</v>
      </c>
      <c r="AP19" s="300">
        <v>17265.159562230299</v>
      </c>
      <c r="AQ19" s="300">
        <v>17543.0624406321</v>
      </c>
      <c r="AR19" s="300">
        <v>16991.658994433401</v>
      </c>
      <c r="AS19" s="109">
        <v>12747.034286291801</v>
      </c>
    </row>
    <row r="20" spans="1:45">
      <c r="A20" s="182">
        <v>5</v>
      </c>
      <c r="B20" s="179">
        <v>4</v>
      </c>
      <c r="C20" s="301">
        <v>38.986037025490702</v>
      </c>
      <c r="D20" s="301">
        <v>44.435213657817997</v>
      </c>
      <c r="E20" s="301">
        <v>49.8245266926534</v>
      </c>
      <c r="F20" s="301">
        <v>54.961277427812099</v>
      </c>
      <c r="G20" s="301">
        <v>61.627241299031198</v>
      </c>
      <c r="H20" s="301">
        <v>70.241036104127801</v>
      </c>
      <c r="I20" s="301">
        <v>76.225849440713702</v>
      </c>
      <c r="J20" s="301">
        <v>84.084492846761506</v>
      </c>
      <c r="K20" s="301">
        <v>94.282658131083394</v>
      </c>
      <c r="L20" s="301">
        <v>102.315912494746</v>
      </c>
      <c r="M20" s="301">
        <v>114.72527064761201</v>
      </c>
      <c r="N20" s="301">
        <v>124.50031623204001</v>
      </c>
      <c r="O20" s="301">
        <v>139.600303874215</v>
      </c>
      <c r="P20" s="301">
        <v>151.494800407257</v>
      </c>
      <c r="Q20" s="301">
        <v>167.113434020478</v>
      </c>
      <c r="R20" s="301">
        <v>193.61179803308301</v>
      </c>
      <c r="S20" s="301">
        <v>210.10828691276001</v>
      </c>
      <c r="T20" s="301">
        <v>235.59121444194199</v>
      </c>
      <c r="U20" s="301">
        <v>268.52039212879498</v>
      </c>
      <c r="V20" s="301">
        <v>301.08781625693899</v>
      </c>
      <c r="W20" s="301">
        <v>332.12901552503399</v>
      </c>
      <c r="X20" s="301">
        <v>384.79309728552198</v>
      </c>
      <c r="Y20" s="301">
        <v>438.576598097317</v>
      </c>
      <c r="Z20" s="301">
        <v>475.94505418780102</v>
      </c>
      <c r="AA20" s="301">
        <v>533.66992312062996</v>
      </c>
      <c r="AB20" s="301">
        <v>588.68960021324199</v>
      </c>
      <c r="AC20" s="301">
        <v>628.48577808521998</v>
      </c>
      <c r="AD20" s="301">
        <v>740.14733853775601</v>
      </c>
      <c r="AE20" s="301">
        <v>843.59959707334804</v>
      </c>
      <c r="AF20" s="301">
        <v>915.47761025952002</v>
      </c>
      <c r="AG20" s="301">
        <v>1060.64043995203</v>
      </c>
      <c r="AH20" s="301">
        <v>1169.9891065890599</v>
      </c>
      <c r="AI20" s="301">
        <v>1269.6767934049899</v>
      </c>
      <c r="AJ20" s="301">
        <v>1519.91108295293</v>
      </c>
      <c r="AK20" s="301">
        <v>1622.6590366875901</v>
      </c>
      <c r="AL20" s="301">
        <v>1732.3528848992801</v>
      </c>
      <c r="AM20" s="301">
        <v>1974.48821281593</v>
      </c>
      <c r="AN20" s="301">
        <v>2007.0436517512301</v>
      </c>
      <c r="AO20" s="301">
        <v>2107.9661680828199</v>
      </c>
      <c r="AP20" s="301">
        <v>1789.95003878849</v>
      </c>
      <c r="AQ20" s="301">
        <v>1249.08188243771</v>
      </c>
      <c r="AR20" s="301">
        <v>660.08866133473805</v>
      </c>
      <c r="AS20" s="110">
        <v>6622.5115937785704</v>
      </c>
    </row>
    <row r="21" spans="1:45">
      <c r="A21" s="182">
        <v>5</v>
      </c>
      <c r="B21" s="179">
        <v>5</v>
      </c>
      <c r="C21" s="300">
        <v>6.0429639023813202</v>
      </c>
      <c r="D21" s="300">
        <v>6.8876041941176496</v>
      </c>
      <c r="E21" s="300">
        <v>7.8503019877601696</v>
      </c>
      <c r="F21" s="300">
        <v>8.2450478767578392</v>
      </c>
      <c r="G21" s="300">
        <v>9.7099257531189895</v>
      </c>
      <c r="H21" s="300">
        <v>11.2495814286165</v>
      </c>
      <c r="I21" s="300">
        <v>12.8219637716641</v>
      </c>
      <c r="J21" s="300">
        <v>13.466705527539601</v>
      </c>
      <c r="K21" s="300">
        <v>15.3489808926176</v>
      </c>
      <c r="L21" s="300">
        <v>18.075997505543199</v>
      </c>
      <c r="M21" s="300">
        <v>19.939575539070599</v>
      </c>
      <c r="N21" s="300">
        <v>22.3579416391938</v>
      </c>
      <c r="O21" s="300">
        <v>25.903131645015399</v>
      </c>
      <c r="P21" s="300">
        <v>28.110180634136398</v>
      </c>
      <c r="Q21" s="300">
        <v>33.104448990969097</v>
      </c>
      <c r="R21" s="300">
        <v>35.925078623023097</v>
      </c>
      <c r="S21" s="300">
        <v>40.946417386414197</v>
      </c>
      <c r="T21" s="300">
        <v>45.912592696152799</v>
      </c>
      <c r="U21" s="300">
        <v>53.192729096653302</v>
      </c>
      <c r="V21" s="300">
        <v>63.676219732818303</v>
      </c>
      <c r="W21" s="300">
        <v>71.399173056679501</v>
      </c>
      <c r="X21" s="300">
        <v>81.378815386921005</v>
      </c>
      <c r="Y21" s="300">
        <v>89.768713244731401</v>
      </c>
      <c r="Z21" s="300">
        <v>100.656287683683</v>
      </c>
      <c r="AA21" s="300">
        <v>116.616865400451</v>
      </c>
      <c r="AB21" s="300">
        <v>128.63969449369699</v>
      </c>
      <c r="AC21" s="300">
        <v>151.494800407257</v>
      </c>
      <c r="AD21" s="300">
        <v>167.113434020478</v>
      </c>
      <c r="AE21" s="300">
        <v>187.38174228603799</v>
      </c>
      <c r="AF21" s="300">
        <v>224.311878678825</v>
      </c>
      <c r="AG21" s="300">
        <v>255.66451518432299</v>
      </c>
      <c r="AH21" s="300">
        <v>291.39938869677502</v>
      </c>
      <c r="AI21" s="300">
        <v>326.74168582040602</v>
      </c>
      <c r="AJ21" s="300">
        <v>366.37046402267299</v>
      </c>
      <c r="AK21" s="300">
        <v>404.14209729914899</v>
      </c>
      <c r="AL21" s="300">
        <v>404.14209729914899</v>
      </c>
      <c r="AM21" s="300">
        <v>417.578986961846</v>
      </c>
      <c r="AN21" s="300">
        <v>378.55152492586302</v>
      </c>
      <c r="AO21" s="300">
        <v>224.311878678825</v>
      </c>
      <c r="AP21" s="300">
        <v>255.66451518432299</v>
      </c>
      <c r="AQ21" s="300">
        <v>1026.51106800466</v>
      </c>
      <c r="AR21" s="300">
        <v>3121.1754468334302</v>
      </c>
      <c r="AS21" s="109">
        <v>9646.6161991119898</v>
      </c>
    </row>
    <row r="22" spans="1:45">
      <c r="A22" s="182">
        <v>5</v>
      </c>
      <c r="B22" s="179">
        <v>6</v>
      </c>
      <c r="C22" s="301">
        <v>7.9797380741988198</v>
      </c>
      <c r="D22" s="301">
        <v>6.5578482628834198</v>
      </c>
      <c r="E22" s="301">
        <v>6.1426005277281996</v>
      </c>
      <c r="F22" s="301">
        <v>5.8485129320805296</v>
      </c>
      <c r="G22" s="301">
        <v>6.2438799656536199</v>
      </c>
      <c r="H22" s="301">
        <v>6.6659743217190703</v>
      </c>
      <c r="I22" s="301">
        <v>7.4744552390961401</v>
      </c>
      <c r="J22" s="301">
        <v>8.2450478767578392</v>
      </c>
      <c r="K22" s="301">
        <v>8.9475584778323807</v>
      </c>
      <c r="L22" s="301">
        <v>11.067106542767601</v>
      </c>
      <c r="M22" s="301">
        <v>13.466705527539601</v>
      </c>
      <c r="N22" s="301">
        <v>14.8550801717277</v>
      </c>
      <c r="O22" s="301">
        <v>17.494346628442599</v>
      </c>
      <c r="P22" s="301">
        <v>20.942220467212099</v>
      </c>
      <c r="Q22" s="301">
        <v>23.869367392260202</v>
      </c>
      <c r="R22" s="301">
        <v>28.573662392677601</v>
      </c>
      <c r="S22" s="301">
        <v>32.039211413589101</v>
      </c>
      <c r="T22" s="301">
        <v>37.119513255809998</v>
      </c>
      <c r="U22" s="301">
        <v>45.167863199823003</v>
      </c>
      <c r="V22" s="301">
        <v>53.192729096653302</v>
      </c>
      <c r="W22" s="301">
        <v>63.676219732818303</v>
      </c>
      <c r="X22" s="301">
        <v>72.576405416634799</v>
      </c>
      <c r="Y22" s="301">
        <v>84.084492846761506</v>
      </c>
      <c r="Z22" s="301">
        <v>100.656287683683</v>
      </c>
      <c r="AA22" s="301">
        <v>122.480847228971</v>
      </c>
      <c r="AB22" s="301">
        <v>137.335904111828</v>
      </c>
      <c r="AC22" s="301">
        <v>159.11259011248501</v>
      </c>
      <c r="AD22" s="301">
        <v>196.80407693710799</v>
      </c>
      <c r="AE22" s="301">
        <v>228.01034171415199</v>
      </c>
      <c r="AF22" s="301">
        <v>255.66451518432299</v>
      </c>
      <c r="AG22" s="301">
        <v>296.20399322311499</v>
      </c>
      <c r="AH22" s="301">
        <v>343.17161901824699</v>
      </c>
      <c r="AI22" s="301">
        <v>410.80560801772702</v>
      </c>
      <c r="AJ22" s="301">
        <v>460.63005659858601</v>
      </c>
      <c r="AK22" s="301">
        <v>516.49745013427605</v>
      </c>
      <c r="AL22" s="301">
        <v>551.41334535056797</v>
      </c>
      <c r="AM22" s="301">
        <v>588.68960021324199</v>
      </c>
      <c r="AN22" s="301">
        <v>588.68960021324199</v>
      </c>
      <c r="AO22" s="301">
        <v>475.94505418780102</v>
      </c>
      <c r="AP22" s="301">
        <v>508.11955502302101</v>
      </c>
      <c r="AQ22" s="301">
        <v>716.33081895081898</v>
      </c>
      <c r="AR22" s="301">
        <v>2923.5403410236199</v>
      </c>
      <c r="AS22" s="110">
        <v>9336.2066202466394</v>
      </c>
    </row>
    <row r="23" spans="1:45">
      <c r="A23" s="181">
        <v>6</v>
      </c>
      <c r="B23" s="178">
        <v>1</v>
      </c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306"/>
      <c r="Z23" s="306"/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</row>
    <row r="24" spans="1:45">
      <c r="A24" s="182">
        <v>6</v>
      </c>
      <c r="B24" s="179">
        <v>2</v>
      </c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  <c r="AO24" s="283"/>
      <c r="AP24" s="283"/>
      <c r="AQ24" s="283"/>
      <c r="AR24" s="283"/>
      <c r="AS24" s="283"/>
    </row>
    <row r="25" spans="1:45">
      <c r="A25" s="182">
        <v>6</v>
      </c>
      <c r="B25" s="179">
        <v>3</v>
      </c>
      <c r="C25" s="362"/>
      <c r="D25" s="300"/>
      <c r="E25" s="300"/>
      <c r="F25" s="362"/>
      <c r="G25" s="362"/>
      <c r="H25" s="362"/>
      <c r="I25" s="362"/>
      <c r="J25" s="362"/>
      <c r="K25" s="228"/>
      <c r="L25" s="228"/>
      <c r="M25" s="228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</row>
    <row r="26" spans="1:45">
      <c r="A26" s="182">
        <v>6</v>
      </c>
      <c r="B26" s="179">
        <v>4</v>
      </c>
      <c r="C26" s="361"/>
      <c r="D26" s="301"/>
      <c r="E26" s="301"/>
      <c r="F26" s="301"/>
      <c r="G26" s="361"/>
      <c r="H26" s="361"/>
      <c r="I26" s="361"/>
      <c r="J26" s="361"/>
      <c r="K26" s="361"/>
      <c r="L26" s="326"/>
      <c r="M26" s="326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3"/>
    </row>
    <row r="27" spans="1:45">
      <c r="A27" s="181">
        <v>7</v>
      </c>
      <c r="B27" s="178">
        <v>1</v>
      </c>
      <c r="C27" s="307">
        <v>39.483219301736</v>
      </c>
      <c r="D27" s="307">
        <v>113.19093808077599</v>
      </c>
      <c r="E27" s="307">
        <v>317.86459154047998</v>
      </c>
      <c r="F27" s="307">
        <v>756.70005723424902</v>
      </c>
      <c r="G27" s="307">
        <v>1465.2754811771999</v>
      </c>
      <c r="H27" s="307">
        <v>2506.7044904611398</v>
      </c>
      <c r="I27" s="307">
        <v>4030.7064091391599</v>
      </c>
      <c r="J27" s="307">
        <v>6091.9083819704301</v>
      </c>
      <c r="K27" s="307">
        <v>8477.1744611583399</v>
      </c>
      <c r="L27" s="307">
        <v>11796.383389086899</v>
      </c>
      <c r="M27" s="307">
        <v>16079.7031500018</v>
      </c>
      <c r="N27" s="307">
        <v>21031.485800943701</v>
      </c>
      <c r="O27" s="307">
        <v>26395.182169172302</v>
      </c>
      <c r="P27" s="307">
        <v>33126.791342175697</v>
      </c>
      <c r="Q27" s="307">
        <v>40725.410527238302</v>
      </c>
      <c r="R27" s="307">
        <v>40725.410527238302</v>
      </c>
      <c r="S27" s="307">
        <v>46097.474213028298</v>
      </c>
      <c r="T27" s="307">
        <v>50067.000014591802</v>
      </c>
      <c r="U27" s="307">
        <v>59060.952731354402</v>
      </c>
      <c r="V27" s="307">
        <v>64146.7839994323</v>
      </c>
      <c r="W27" s="307">
        <v>66851.646436063995</v>
      </c>
      <c r="X27" s="307">
        <v>71124.2888782542</v>
      </c>
      <c r="Y27" s="297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</row>
    <row r="28" spans="1:45">
      <c r="A28" s="182">
        <v>7</v>
      </c>
      <c r="B28" s="179">
        <v>2</v>
      </c>
      <c r="C28" s="301">
        <v>7186.2486844915302</v>
      </c>
      <c r="D28" s="301">
        <v>11087.7404047073</v>
      </c>
      <c r="E28" s="301">
        <v>19364.0196953706</v>
      </c>
      <c r="F28" s="301">
        <v>33818.004848265402</v>
      </c>
      <c r="G28" s="301">
        <v>56671.306985418902</v>
      </c>
      <c r="H28" s="301">
        <v>91125.779344815994</v>
      </c>
      <c r="I28" s="301">
        <v>129451.659825589</v>
      </c>
      <c r="J28" s="301">
        <v>152706.140965631</v>
      </c>
      <c r="K28" s="301">
        <v>180138.01846985301</v>
      </c>
      <c r="L28" s="301">
        <v>221458.05423683999</v>
      </c>
      <c r="M28" s="301">
        <v>277936.88661547302</v>
      </c>
      <c r="N28" s="349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</row>
    <row r="29" spans="1:45">
      <c r="A29" s="181">
        <v>8</v>
      </c>
      <c r="B29" s="178">
        <v>1</v>
      </c>
      <c r="C29" s="306"/>
      <c r="D29" s="306"/>
      <c r="E29" s="306"/>
      <c r="F29" s="306"/>
      <c r="G29" s="306"/>
      <c r="H29" s="306"/>
      <c r="I29" s="306"/>
      <c r="J29" s="306"/>
      <c r="K29" s="306"/>
      <c r="L29" s="216"/>
      <c r="M29" s="216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</row>
    <row r="30" spans="1:45">
      <c r="A30" s="182">
        <v>8</v>
      </c>
      <c r="B30" s="179">
        <v>2</v>
      </c>
      <c r="C30" s="301"/>
      <c r="D30" s="301"/>
      <c r="E30" s="301"/>
      <c r="F30" s="301"/>
      <c r="G30" s="301"/>
      <c r="H30" s="301"/>
      <c r="I30" s="301"/>
      <c r="J30" s="301"/>
      <c r="K30" s="301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3"/>
      <c r="AJ30" s="283"/>
      <c r="AK30" s="283"/>
      <c r="AL30" s="283"/>
      <c r="AM30" s="283"/>
      <c r="AN30" s="283"/>
      <c r="AO30" s="283"/>
      <c r="AP30" s="283"/>
      <c r="AQ30" s="283"/>
      <c r="AR30" s="283"/>
      <c r="AS30" s="283"/>
    </row>
    <row r="31" spans="1:45">
      <c r="A31" s="182">
        <v>8</v>
      </c>
      <c r="B31" s="179">
        <v>3</v>
      </c>
      <c r="C31" s="300"/>
      <c r="D31" s="300"/>
      <c r="E31" s="300"/>
      <c r="F31" s="300"/>
      <c r="G31" s="300"/>
      <c r="H31" s="300"/>
      <c r="I31" s="300"/>
      <c r="J31" s="300"/>
      <c r="K31" s="300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</row>
    <row r="32" spans="1:45">
      <c r="A32" s="182">
        <v>8</v>
      </c>
      <c r="B32" s="179">
        <v>4</v>
      </c>
      <c r="C32" s="301"/>
      <c r="D32" s="301"/>
      <c r="E32" s="301"/>
      <c r="F32" s="301"/>
      <c r="G32" s="301"/>
      <c r="H32" s="301"/>
      <c r="I32" s="301"/>
      <c r="J32" s="301"/>
      <c r="K32" s="301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</row>
    <row r="33" spans="1:45">
      <c r="A33" s="181">
        <v>9</v>
      </c>
      <c r="B33" s="178">
        <v>1</v>
      </c>
      <c r="C33" s="300"/>
      <c r="D33" s="300"/>
      <c r="E33" s="300"/>
      <c r="F33" s="300"/>
      <c r="G33" s="300"/>
      <c r="H33" s="300"/>
      <c r="I33" s="300"/>
      <c r="J33" s="300"/>
      <c r="K33" s="300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</row>
    <row r="34" spans="1:45">
      <c r="A34" s="182">
        <v>9</v>
      </c>
      <c r="B34" s="179">
        <v>2</v>
      </c>
      <c r="C34" s="301"/>
      <c r="D34" s="301"/>
      <c r="E34" s="301"/>
      <c r="F34" s="301"/>
      <c r="G34" s="301"/>
      <c r="H34" s="301"/>
      <c r="I34" s="301"/>
      <c r="J34" s="301"/>
      <c r="K34" s="301"/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</row>
    <row r="35" spans="1:45">
      <c r="A35" s="182">
        <v>9</v>
      </c>
      <c r="B35" s="179">
        <v>3</v>
      </c>
      <c r="C35" s="300"/>
      <c r="D35" s="300"/>
      <c r="E35" s="300"/>
      <c r="F35" s="300"/>
      <c r="G35" s="300"/>
      <c r="H35" s="300"/>
      <c r="I35" s="300"/>
      <c r="J35" s="300"/>
      <c r="K35" s="300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</row>
    <row r="36" spans="1:45">
      <c r="A36" s="182">
        <v>9</v>
      </c>
      <c r="B36" s="179">
        <v>4</v>
      </c>
      <c r="C36" s="301"/>
      <c r="D36" s="301"/>
      <c r="E36" s="301"/>
      <c r="F36" s="301"/>
      <c r="G36" s="301"/>
      <c r="H36" s="301"/>
      <c r="I36" s="301"/>
      <c r="J36" s="301"/>
      <c r="K36" s="301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283"/>
      <c r="AB36" s="283"/>
      <c r="AC36" s="283"/>
      <c r="AD36" s="283"/>
      <c r="AE36" s="283"/>
      <c r="AF36" s="283"/>
      <c r="AG36" s="283"/>
      <c r="AH36" s="283"/>
      <c r="AI36" s="283"/>
      <c r="AJ36" s="283"/>
      <c r="AK36" s="283"/>
      <c r="AL36" s="283"/>
      <c r="AM36" s="283"/>
      <c r="AN36" s="283"/>
      <c r="AO36" s="283"/>
      <c r="AP36" s="283"/>
      <c r="AQ36" s="283"/>
      <c r="AR36" s="283"/>
      <c r="AS36" s="283"/>
    </row>
    <row r="37" spans="1:45">
      <c r="A37" s="181">
        <v>11</v>
      </c>
      <c r="B37" s="178" t="s">
        <v>220</v>
      </c>
      <c r="C37" s="300"/>
      <c r="D37" s="300"/>
      <c r="E37" s="300"/>
      <c r="F37" s="300"/>
      <c r="G37" s="300"/>
      <c r="H37" s="300"/>
      <c r="I37" s="300"/>
      <c r="J37" s="300"/>
      <c r="K37" s="300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39"/>
      <c r="AG37" s="239"/>
      <c r="AH37" s="239"/>
      <c r="AI37" s="239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</row>
    <row r="38" spans="1:45">
      <c r="A38" s="182">
        <v>11</v>
      </c>
      <c r="B38" s="179" t="s">
        <v>221</v>
      </c>
      <c r="C38" s="301"/>
      <c r="D38" s="301"/>
      <c r="E38" s="301"/>
      <c r="F38" s="301"/>
      <c r="G38" s="301"/>
      <c r="H38" s="301"/>
      <c r="I38" s="301"/>
      <c r="J38" s="301"/>
      <c r="K38" s="301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</row>
    <row r="39" spans="1:45">
      <c r="A39" s="182">
        <v>11</v>
      </c>
      <c r="B39" s="179" t="s">
        <v>222</v>
      </c>
      <c r="C39" s="300"/>
      <c r="D39" s="300"/>
      <c r="E39" s="300"/>
      <c r="F39" s="300"/>
      <c r="G39" s="300"/>
      <c r="H39" s="300"/>
      <c r="I39" s="300"/>
      <c r="J39" s="300"/>
      <c r="K39" s="300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</row>
    <row r="40" spans="1:45">
      <c r="A40" s="182">
        <v>11</v>
      </c>
      <c r="B40" s="179" t="s">
        <v>223</v>
      </c>
      <c r="C40" s="301"/>
      <c r="D40" s="301"/>
      <c r="E40" s="301"/>
      <c r="F40" s="301"/>
      <c r="G40" s="301"/>
      <c r="H40" s="301"/>
      <c r="I40" s="301"/>
      <c r="J40" s="301"/>
      <c r="K40" s="301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</row>
    <row r="41" spans="1:45">
      <c r="A41" s="181">
        <v>11</v>
      </c>
      <c r="B41" s="178" t="s">
        <v>224</v>
      </c>
      <c r="C41" s="300"/>
      <c r="D41" s="300"/>
      <c r="E41" s="300"/>
      <c r="F41" s="300"/>
      <c r="G41" s="300"/>
      <c r="H41" s="300"/>
      <c r="I41" s="300"/>
      <c r="J41" s="300"/>
      <c r="K41" s="300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</row>
    <row r="42" spans="1:45">
      <c r="A42" s="182">
        <v>11</v>
      </c>
      <c r="B42" s="179" t="s">
        <v>225</v>
      </c>
      <c r="C42" s="301"/>
      <c r="D42" s="301"/>
      <c r="E42" s="301"/>
      <c r="F42" s="301"/>
      <c r="G42" s="301"/>
      <c r="H42" s="301"/>
      <c r="I42" s="301"/>
      <c r="J42" s="301"/>
      <c r="K42" s="301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</row>
    <row r="43" spans="1:45">
      <c r="A43" s="182">
        <v>11</v>
      </c>
      <c r="B43" s="179" t="s">
        <v>226</v>
      </c>
      <c r="C43" s="300"/>
      <c r="D43" s="300"/>
      <c r="E43" s="300"/>
      <c r="F43" s="300"/>
      <c r="G43" s="300"/>
      <c r="H43" s="300"/>
      <c r="I43" s="300"/>
      <c r="J43" s="300"/>
      <c r="K43" s="300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</row>
    <row r="44" spans="1:45">
      <c r="A44" s="182">
        <v>11</v>
      </c>
      <c r="B44" s="179" t="s">
        <v>227</v>
      </c>
      <c r="C44" s="301"/>
      <c r="D44" s="301"/>
      <c r="E44" s="301"/>
      <c r="F44" s="301"/>
      <c r="G44" s="301"/>
      <c r="H44" s="301"/>
      <c r="I44" s="301"/>
      <c r="J44" s="301"/>
      <c r="K44" s="301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  <c r="AR44" s="283"/>
      <c r="AS44" s="283"/>
    </row>
    <row r="45" spans="1:45">
      <c r="A45" s="181">
        <v>12</v>
      </c>
      <c r="B45" s="178" t="s">
        <v>220</v>
      </c>
      <c r="C45" s="300"/>
      <c r="D45" s="300"/>
      <c r="E45" s="300"/>
      <c r="F45" s="300"/>
      <c r="G45" s="300"/>
      <c r="H45" s="300"/>
      <c r="I45" s="300"/>
      <c r="J45" s="300"/>
      <c r="K45" s="300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</row>
    <row r="46" spans="1:45">
      <c r="A46" s="182">
        <v>12</v>
      </c>
      <c r="B46" s="179" t="s">
        <v>221</v>
      </c>
      <c r="C46" s="301"/>
      <c r="D46" s="301"/>
      <c r="E46" s="301"/>
      <c r="F46" s="301"/>
      <c r="G46" s="301"/>
      <c r="H46" s="301"/>
      <c r="I46" s="301"/>
      <c r="J46" s="301"/>
      <c r="K46" s="301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  <c r="AK46" s="283"/>
      <c r="AL46" s="283"/>
      <c r="AM46" s="283"/>
      <c r="AN46" s="283"/>
      <c r="AO46" s="283"/>
      <c r="AP46" s="283"/>
      <c r="AQ46" s="283"/>
      <c r="AR46" s="283"/>
      <c r="AS46" s="283"/>
    </row>
    <row r="47" spans="1:45">
      <c r="A47" s="182">
        <v>12</v>
      </c>
      <c r="B47" s="179" t="s">
        <v>222</v>
      </c>
      <c r="C47" s="300"/>
      <c r="D47" s="300"/>
      <c r="E47" s="300"/>
      <c r="F47" s="300"/>
      <c r="G47" s="300"/>
      <c r="H47" s="300"/>
      <c r="I47" s="300"/>
      <c r="J47" s="300"/>
      <c r="K47" s="300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</row>
    <row r="48" spans="1:45">
      <c r="A48" s="182">
        <v>12</v>
      </c>
      <c r="B48" s="179" t="s">
        <v>223</v>
      </c>
      <c r="C48" s="301"/>
      <c r="D48" s="301"/>
      <c r="E48" s="301"/>
      <c r="F48" s="301"/>
      <c r="G48" s="301"/>
      <c r="H48" s="301"/>
      <c r="I48" s="301"/>
      <c r="J48" s="301"/>
      <c r="K48" s="301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83"/>
      <c r="AB48" s="283"/>
      <c r="AC48" s="283"/>
      <c r="AD48" s="283"/>
      <c r="AE48" s="283"/>
      <c r="AF48" s="283"/>
      <c r="AG48" s="283"/>
      <c r="AH48" s="283"/>
      <c r="AI48" s="283"/>
      <c r="AJ48" s="283"/>
      <c r="AK48" s="283"/>
      <c r="AL48" s="283"/>
      <c r="AM48" s="283"/>
      <c r="AN48" s="283"/>
      <c r="AO48" s="283"/>
      <c r="AP48" s="283"/>
      <c r="AQ48" s="283"/>
      <c r="AR48" s="283"/>
      <c r="AS48" s="283"/>
    </row>
    <row r="49" spans="1:45">
      <c r="A49" s="182">
        <v>12</v>
      </c>
      <c r="B49" s="179" t="s">
        <v>228</v>
      </c>
      <c r="C49" s="300"/>
      <c r="D49" s="300"/>
      <c r="E49" s="300"/>
      <c r="F49" s="300"/>
      <c r="G49" s="300"/>
      <c r="H49" s="300"/>
      <c r="I49" s="300"/>
      <c r="J49" s="300"/>
      <c r="K49" s="300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</row>
    <row r="50" spans="1:45">
      <c r="A50" s="181">
        <v>12</v>
      </c>
      <c r="B50" s="178" t="s">
        <v>224</v>
      </c>
      <c r="C50" s="301"/>
      <c r="D50" s="301"/>
      <c r="E50" s="301"/>
      <c r="F50" s="301"/>
      <c r="G50" s="301"/>
      <c r="H50" s="301"/>
      <c r="I50" s="301"/>
      <c r="J50" s="301"/>
      <c r="K50" s="301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/>
      <c r="AM50" s="283"/>
      <c r="AN50" s="283"/>
      <c r="AO50" s="283"/>
      <c r="AP50" s="283"/>
      <c r="AQ50" s="283"/>
      <c r="AR50" s="283"/>
      <c r="AS50" s="283"/>
    </row>
    <row r="51" spans="1:45">
      <c r="A51" s="182">
        <v>12</v>
      </c>
      <c r="B51" s="179" t="s">
        <v>225</v>
      </c>
      <c r="C51" s="300"/>
      <c r="D51" s="300"/>
      <c r="E51" s="300"/>
      <c r="F51" s="300"/>
      <c r="G51" s="300"/>
      <c r="H51" s="300"/>
      <c r="I51" s="300"/>
      <c r="J51" s="300"/>
      <c r="K51" s="300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239"/>
      <c r="AQ51" s="239"/>
      <c r="AR51" s="239"/>
      <c r="AS51" s="239"/>
    </row>
    <row r="52" spans="1:45">
      <c r="A52" s="182">
        <v>12</v>
      </c>
      <c r="B52" s="179" t="s">
        <v>226</v>
      </c>
      <c r="C52" s="301"/>
      <c r="D52" s="301"/>
      <c r="E52" s="301"/>
      <c r="F52" s="301"/>
      <c r="G52" s="301"/>
      <c r="H52" s="301"/>
      <c r="I52" s="301"/>
      <c r="J52" s="301"/>
      <c r="K52" s="301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  <c r="AK52" s="283"/>
      <c r="AL52" s="283"/>
      <c r="AM52" s="283"/>
      <c r="AN52" s="283"/>
      <c r="AO52" s="283"/>
      <c r="AP52" s="283"/>
      <c r="AQ52" s="283"/>
      <c r="AR52" s="283"/>
      <c r="AS52" s="283"/>
    </row>
    <row r="53" spans="1:45">
      <c r="A53" s="182">
        <v>12</v>
      </c>
      <c r="B53" s="179" t="s">
        <v>227</v>
      </c>
      <c r="C53" s="300"/>
      <c r="D53" s="300"/>
      <c r="E53" s="300"/>
      <c r="F53" s="300"/>
      <c r="G53" s="300"/>
      <c r="H53" s="300"/>
      <c r="I53" s="300"/>
      <c r="J53" s="300"/>
      <c r="K53" s="300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</row>
    <row r="54" spans="1:45">
      <c r="A54" s="182">
        <v>12</v>
      </c>
      <c r="B54" s="179" t="s">
        <v>229</v>
      </c>
      <c r="C54" s="301"/>
      <c r="D54" s="301"/>
      <c r="E54" s="301"/>
      <c r="F54" s="301"/>
      <c r="G54" s="301"/>
      <c r="H54" s="301"/>
      <c r="I54" s="301"/>
      <c r="J54" s="301"/>
      <c r="K54" s="301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  <c r="AK54" s="283"/>
      <c r="AL54" s="283"/>
      <c r="AM54" s="283"/>
      <c r="AN54" s="283"/>
      <c r="AO54" s="283"/>
      <c r="AP54" s="283"/>
      <c r="AQ54" s="283"/>
      <c r="AR54" s="283"/>
      <c r="AS54" s="283"/>
    </row>
    <row r="55" spans="1:45">
      <c r="A55" s="181">
        <v>13</v>
      </c>
      <c r="B55" s="178">
        <v>1</v>
      </c>
      <c r="C55" s="300"/>
      <c r="D55" s="300"/>
      <c r="E55" s="300"/>
      <c r="F55" s="300"/>
      <c r="G55" s="300"/>
      <c r="H55" s="300"/>
      <c r="I55" s="300"/>
      <c r="J55" s="300"/>
      <c r="K55" s="300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</row>
    <row r="56" spans="1:45">
      <c r="A56" s="182">
        <v>13</v>
      </c>
      <c r="B56" s="179">
        <v>2</v>
      </c>
      <c r="C56" s="301"/>
      <c r="D56" s="301"/>
      <c r="E56" s="301"/>
      <c r="F56" s="301"/>
      <c r="G56" s="301"/>
      <c r="H56" s="301"/>
      <c r="I56" s="301"/>
      <c r="J56" s="301"/>
      <c r="K56" s="301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83"/>
      <c r="AB56" s="283"/>
      <c r="AC56" s="283"/>
      <c r="AD56" s="283"/>
      <c r="AE56" s="283"/>
      <c r="AF56" s="283"/>
      <c r="AG56" s="283"/>
      <c r="AH56" s="283"/>
      <c r="AI56" s="283"/>
      <c r="AJ56" s="283"/>
      <c r="AK56" s="283"/>
      <c r="AL56" s="283"/>
      <c r="AM56" s="283"/>
      <c r="AN56" s="283"/>
      <c r="AO56" s="283"/>
      <c r="AP56" s="283"/>
      <c r="AQ56" s="283"/>
      <c r="AR56" s="283"/>
      <c r="AS56" s="283"/>
    </row>
    <row r="57" spans="1:45">
      <c r="A57" s="182">
        <v>13</v>
      </c>
      <c r="B57" s="179">
        <v>3</v>
      </c>
      <c r="C57" s="300"/>
      <c r="D57" s="300"/>
      <c r="E57" s="300"/>
      <c r="F57" s="300"/>
      <c r="G57" s="300"/>
      <c r="H57" s="300"/>
      <c r="I57" s="300"/>
      <c r="J57" s="300"/>
      <c r="K57" s="300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39"/>
      <c r="AF57" s="239"/>
      <c r="AG57" s="239"/>
      <c r="AH57" s="239"/>
      <c r="AI57" s="239"/>
      <c r="AJ57" s="239"/>
      <c r="AK57" s="239"/>
      <c r="AL57" s="239"/>
      <c r="AM57" s="239"/>
      <c r="AN57" s="239"/>
      <c r="AO57" s="239"/>
      <c r="AP57" s="239"/>
      <c r="AQ57" s="239"/>
      <c r="AR57" s="239"/>
      <c r="AS57" s="239"/>
    </row>
    <row r="58" spans="1:45">
      <c r="A58" s="182">
        <v>13</v>
      </c>
      <c r="B58" s="179">
        <v>4</v>
      </c>
      <c r="C58" s="301"/>
      <c r="D58" s="301"/>
      <c r="E58" s="301"/>
      <c r="F58" s="301"/>
      <c r="G58" s="301"/>
      <c r="H58" s="301"/>
      <c r="I58" s="301"/>
      <c r="J58" s="301"/>
      <c r="K58" s="301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83"/>
      <c r="AB58" s="283"/>
      <c r="AC58" s="283"/>
      <c r="AD58" s="283"/>
      <c r="AE58" s="283"/>
      <c r="AF58" s="283"/>
      <c r="AG58" s="283"/>
      <c r="AH58" s="283"/>
      <c r="AI58" s="283"/>
      <c r="AJ58" s="283"/>
      <c r="AK58" s="283"/>
      <c r="AL58" s="283"/>
      <c r="AM58" s="283"/>
      <c r="AN58" s="283"/>
      <c r="AO58" s="283"/>
      <c r="AP58" s="283"/>
      <c r="AQ58" s="283"/>
      <c r="AR58" s="283"/>
      <c r="AS58" s="283"/>
    </row>
    <row r="59" spans="1:45">
      <c r="A59" s="182">
        <v>13</v>
      </c>
      <c r="B59" s="179">
        <v>5</v>
      </c>
      <c r="C59" s="300"/>
      <c r="D59" s="300"/>
      <c r="E59" s="300"/>
      <c r="F59" s="300"/>
      <c r="G59" s="300"/>
      <c r="H59" s="300"/>
      <c r="I59" s="300"/>
      <c r="J59" s="300"/>
      <c r="K59" s="300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</row>
    <row r="60" spans="1:45">
      <c r="A60" s="182">
        <v>13</v>
      </c>
      <c r="B60" s="179">
        <v>6</v>
      </c>
      <c r="C60" s="301"/>
      <c r="D60" s="301"/>
      <c r="E60" s="301"/>
      <c r="F60" s="301"/>
      <c r="G60" s="301"/>
      <c r="H60" s="301"/>
      <c r="I60" s="301"/>
      <c r="J60" s="301"/>
      <c r="K60" s="301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83"/>
      <c r="AB60" s="283"/>
      <c r="AC60" s="283"/>
      <c r="AD60" s="283"/>
      <c r="AE60" s="283"/>
      <c r="AF60" s="283"/>
      <c r="AG60" s="283"/>
      <c r="AH60" s="283"/>
      <c r="AI60" s="283"/>
      <c r="AJ60" s="283"/>
      <c r="AK60" s="283"/>
      <c r="AL60" s="283"/>
      <c r="AM60" s="283"/>
      <c r="AN60" s="283"/>
      <c r="AO60" s="283"/>
      <c r="AP60" s="283"/>
      <c r="AQ60" s="283"/>
      <c r="AR60" s="283"/>
      <c r="AS60" s="283"/>
    </row>
    <row r="61" spans="1:45">
      <c r="A61" s="182">
        <v>13</v>
      </c>
      <c r="B61" s="179">
        <v>7</v>
      </c>
      <c r="C61" s="300"/>
      <c r="D61" s="300"/>
      <c r="E61" s="300"/>
      <c r="F61" s="300"/>
      <c r="G61" s="300"/>
      <c r="H61" s="300"/>
      <c r="I61" s="300"/>
      <c r="J61" s="300"/>
      <c r="K61" s="300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239"/>
    </row>
    <row r="62" spans="1:45">
      <c r="A62" s="182">
        <v>13</v>
      </c>
      <c r="B62" s="179">
        <v>8</v>
      </c>
      <c r="C62" s="301"/>
      <c r="D62" s="301"/>
      <c r="E62" s="301"/>
      <c r="F62" s="301"/>
      <c r="G62" s="301"/>
      <c r="H62" s="301"/>
      <c r="I62" s="301"/>
      <c r="J62" s="301"/>
      <c r="K62" s="301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3"/>
      <c r="AD62" s="283"/>
      <c r="AE62" s="283"/>
      <c r="AF62" s="283"/>
      <c r="AG62" s="283"/>
      <c r="AH62" s="283"/>
      <c r="AI62" s="283"/>
      <c r="AJ62" s="283"/>
      <c r="AK62" s="283"/>
      <c r="AL62" s="283"/>
      <c r="AM62" s="283"/>
      <c r="AN62" s="283"/>
      <c r="AO62" s="283"/>
      <c r="AP62" s="283"/>
      <c r="AQ62" s="283"/>
      <c r="AR62" s="283"/>
      <c r="AS62" s="283"/>
    </row>
    <row r="63" spans="1:45">
      <c r="A63" s="181">
        <v>14</v>
      </c>
      <c r="B63" s="178">
        <v>1</v>
      </c>
      <c r="C63" s="306">
        <v>1294.1039544084299</v>
      </c>
      <c r="D63" s="306">
        <v>1863.24624361837</v>
      </c>
      <c r="E63" s="306">
        <v>2755.2085224235998</v>
      </c>
      <c r="F63" s="306">
        <v>3862.5376794457502</v>
      </c>
      <c r="G63" s="360">
        <v>5414.9031132843902</v>
      </c>
      <c r="H63" s="360">
        <v>7727.3571086088396</v>
      </c>
      <c r="I63" s="360">
        <v>10270.2964936111</v>
      </c>
      <c r="J63" s="360">
        <v>14019.034632327701</v>
      </c>
      <c r="K63" s="360">
        <v>17822.360997014999</v>
      </c>
      <c r="L63" s="360">
        <v>22258.214688227999</v>
      </c>
      <c r="M63" s="360">
        <v>27308.2192569621</v>
      </c>
      <c r="N63" s="360">
        <v>31763.655150792401</v>
      </c>
      <c r="O63" s="360">
        <v>36946.011713350199</v>
      </c>
      <c r="P63" s="297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239"/>
      <c r="AQ63" s="239"/>
      <c r="AR63" s="239"/>
      <c r="AS63" s="239"/>
    </row>
    <row r="64" spans="1:45">
      <c r="A64" s="182">
        <v>14</v>
      </c>
      <c r="B64" s="179">
        <v>2</v>
      </c>
      <c r="C64" s="363">
        <v>1102.7345482190599</v>
      </c>
      <c r="D64" s="363">
        <v>1491.9187205819201</v>
      </c>
      <c r="E64" s="363">
        <v>2148.0592362295301</v>
      </c>
      <c r="F64" s="363">
        <v>2984.7197872225001</v>
      </c>
      <c r="G64" s="363">
        <v>4147.25349074923</v>
      </c>
      <c r="H64" s="363">
        <v>5918.3511143303504</v>
      </c>
      <c r="I64" s="363">
        <v>8150.7327085643901</v>
      </c>
      <c r="J64" s="363">
        <v>11125.8135723045</v>
      </c>
      <c r="K64" s="363">
        <v>14787.1411621528</v>
      </c>
      <c r="L64" s="363">
        <v>18798.852761086899</v>
      </c>
      <c r="M64" s="363">
        <v>23063.987843131901</v>
      </c>
      <c r="N64" s="363">
        <v>29061.6612368356</v>
      </c>
      <c r="O64" s="363">
        <v>35339.674528287302</v>
      </c>
      <c r="P64" s="295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83"/>
      <c r="AB64" s="283"/>
      <c r="AC64" s="283"/>
      <c r="AD64" s="283"/>
      <c r="AE64" s="283"/>
      <c r="AF64" s="283"/>
      <c r="AG64" s="283"/>
      <c r="AH64" s="283"/>
      <c r="AI64" s="283"/>
      <c r="AJ64" s="283"/>
      <c r="AK64" s="283"/>
      <c r="AL64" s="283"/>
      <c r="AM64" s="283"/>
      <c r="AN64" s="283"/>
      <c r="AO64" s="283"/>
      <c r="AP64" s="283"/>
      <c r="AQ64" s="283"/>
      <c r="AR64" s="283"/>
      <c r="AS64" s="283"/>
    </row>
    <row r="65" spans="1:45">
      <c r="A65" s="182">
        <v>14</v>
      </c>
      <c r="B65" s="179">
        <v>3</v>
      </c>
      <c r="C65" s="362">
        <v>1846.7551109948699</v>
      </c>
      <c r="D65" s="362">
        <v>2326.9944377424699</v>
      </c>
      <c r="E65" s="362">
        <v>3011.37270376896</v>
      </c>
      <c r="F65" s="362">
        <v>3862.5376794457502</v>
      </c>
      <c r="G65" s="362">
        <v>5272.3939888692903</v>
      </c>
      <c r="H65" s="362">
        <v>6702.7780146759496</v>
      </c>
      <c r="I65" s="362">
        <v>8908.5431445663999</v>
      </c>
      <c r="J65" s="362">
        <v>11426.5481623633</v>
      </c>
      <c r="K65" s="362">
        <v>14526.5300722213</v>
      </c>
      <c r="L65" s="362">
        <v>17664.619678672199</v>
      </c>
      <c r="M65" s="362">
        <v>21672.416859702302</v>
      </c>
      <c r="N65" s="362">
        <v>26120.913617840601</v>
      </c>
      <c r="O65" s="362">
        <v>30927.6905204748</v>
      </c>
      <c r="P65" s="297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239"/>
      <c r="AP65" s="239"/>
      <c r="AQ65" s="239"/>
      <c r="AR65" s="239"/>
      <c r="AS65" s="239"/>
    </row>
    <row r="66" spans="1:45">
      <c r="A66" s="182">
        <v>14</v>
      </c>
      <c r="B66" s="179">
        <v>4</v>
      </c>
      <c r="C66" s="301">
        <v>2167.2424209635601</v>
      </c>
      <c r="D66" s="301">
        <v>2432.76614460378</v>
      </c>
      <c r="E66" s="301">
        <v>2635.41767905708</v>
      </c>
      <c r="F66" s="301">
        <v>3350.3982661319401</v>
      </c>
      <c r="G66" s="361">
        <v>4038.1062998707598</v>
      </c>
      <c r="H66" s="361">
        <v>4696.9365254070999</v>
      </c>
      <c r="I66" s="361">
        <v>5711.5851169816897</v>
      </c>
      <c r="J66" s="361">
        <v>7007.4475316398803</v>
      </c>
      <c r="K66" s="361">
        <v>8597.3163753734207</v>
      </c>
      <c r="L66" s="361">
        <v>10454.542155949101</v>
      </c>
      <c r="M66" s="361">
        <v>12600.453698814399</v>
      </c>
      <c r="N66" s="361">
        <v>15322.447604745401</v>
      </c>
      <c r="O66" s="361">
        <v>18798.852761086899</v>
      </c>
      <c r="P66" s="295"/>
      <c r="Q66" s="283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283"/>
      <c r="AE66" s="283"/>
      <c r="AF66" s="283"/>
      <c r="AG66" s="283"/>
      <c r="AH66" s="283"/>
      <c r="AI66" s="283"/>
      <c r="AJ66" s="283"/>
      <c r="AK66" s="283"/>
      <c r="AL66" s="283"/>
      <c r="AM66" s="283"/>
      <c r="AN66" s="283"/>
      <c r="AO66" s="283"/>
      <c r="AP66" s="283"/>
      <c r="AQ66" s="283"/>
      <c r="AR66" s="283"/>
      <c r="AS66" s="283"/>
    </row>
    <row r="67" spans="1:45">
      <c r="A67" s="182">
        <v>14</v>
      </c>
      <c r="B67" s="179">
        <v>5</v>
      </c>
      <c r="C67" s="362">
        <v>3380.3189069540099</v>
      </c>
      <c r="D67" s="362">
        <v>3533.9686513302699</v>
      </c>
      <c r="E67" s="362">
        <v>4823.8947087242104</v>
      </c>
      <c r="F67" s="362">
        <v>5414.9031132843902</v>
      </c>
      <c r="G67" s="362">
        <v>6702.7780146759496</v>
      </c>
      <c r="H67" s="362">
        <v>8150.7327085643901</v>
      </c>
      <c r="I67" s="362">
        <v>10362.0115836738</v>
      </c>
      <c r="J67" s="362">
        <v>12712.9644629413</v>
      </c>
      <c r="K67" s="362">
        <v>15459.2790645697</v>
      </c>
      <c r="L67" s="362">
        <v>19306.979159610401</v>
      </c>
      <c r="M67" s="362">
        <v>23898.9228145991</v>
      </c>
      <c r="N67" s="362">
        <v>29321.185670172599</v>
      </c>
      <c r="O67" s="362">
        <v>34716.86564358</v>
      </c>
      <c r="P67" s="297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/>
      <c r="AP67" s="239"/>
      <c r="AQ67" s="239"/>
      <c r="AR67" s="239"/>
      <c r="AS67" s="239"/>
    </row>
    <row r="68" spans="1:45">
      <c r="A68" s="182">
        <v>14</v>
      </c>
      <c r="B68" s="179">
        <v>6</v>
      </c>
      <c r="C68" s="361">
        <v>3176.3655150792301</v>
      </c>
      <c r="D68" s="361">
        <v>3931.8289719378399</v>
      </c>
      <c r="E68" s="361">
        <v>4335.7636450445198</v>
      </c>
      <c r="F68" s="361">
        <v>5043.16105882173</v>
      </c>
      <c r="G68" s="361">
        <v>6132.6022802940197</v>
      </c>
      <c r="H68" s="361">
        <v>7070.0225562917904</v>
      </c>
      <c r="I68" s="361">
        <v>8521.2178703560003</v>
      </c>
      <c r="J68" s="361">
        <v>9823.7649630279302</v>
      </c>
      <c r="K68" s="361">
        <v>11426.5481623633</v>
      </c>
      <c r="L68" s="361">
        <v>13173.197437834</v>
      </c>
      <c r="M68" s="361">
        <v>14919.1872058192</v>
      </c>
      <c r="N68" s="361">
        <v>18966.722541009101</v>
      </c>
      <c r="O68" s="361">
        <v>21672.416859702302</v>
      </c>
      <c r="P68" s="295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83"/>
      <c r="AB68" s="283"/>
      <c r="AC68" s="283"/>
      <c r="AD68" s="283"/>
      <c r="AE68" s="283"/>
      <c r="AF68" s="283"/>
      <c r="AG68" s="283"/>
      <c r="AH68" s="283"/>
      <c r="AI68" s="283"/>
      <c r="AJ68" s="283"/>
      <c r="AK68" s="283"/>
      <c r="AL68" s="283"/>
      <c r="AM68" s="283"/>
      <c r="AN68" s="283"/>
      <c r="AO68" s="283"/>
      <c r="AP68" s="283"/>
      <c r="AQ68" s="283"/>
      <c r="AR68" s="283"/>
      <c r="AS68" s="283"/>
    </row>
    <row r="69" spans="1:45">
      <c r="A69" s="182">
        <v>14</v>
      </c>
      <c r="B69" s="179">
        <v>7</v>
      </c>
      <c r="C69" s="362">
        <v>2411.2343319032002</v>
      </c>
      <c r="D69" s="362">
        <v>2706.6530127698202</v>
      </c>
      <c r="E69" s="362">
        <v>2588.9732638646401</v>
      </c>
      <c r="F69" s="362">
        <v>2804.6350848154302</v>
      </c>
      <c r="G69" s="362">
        <v>3120.3878839213198</v>
      </c>
      <c r="H69" s="362">
        <v>3597.3656394762402</v>
      </c>
      <c r="I69" s="362">
        <v>4038.1062998707598</v>
      </c>
      <c r="J69" s="362">
        <v>4781.1963643028203</v>
      </c>
      <c r="K69" s="362">
        <v>5865.9692493604398</v>
      </c>
      <c r="L69" s="362">
        <v>7196.8563813365399</v>
      </c>
      <c r="M69" s="362">
        <v>8988.1006474373207</v>
      </c>
      <c r="N69" s="362">
        <v>11225.1723485776</v>
      </c>
      <c r="O69" s="362">
        <v>14019.034632327701</v>
      </c>
      <c r="P69" s="297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</row>
    <row r="70" spans="1:45">
      <c r="A70" s="182">
        <v>14</v>
      </c>
      <c r="B70" s="179">
        <v>8</v>
      </c>
      <c r="C70" s="361">
        <v>4413.5472823130003</v>
      </c>
      <c r="D70" s="361">
        <v>4335.7636450445198</v>
      </c>
      <c r="E70" s="361">
        <v>4335.7636450445198</v>
      </c>
      <c r="F70" s="361">
        <v>4413.5472823130003</v>
      </c>
      <c r="G70" s="361">
        <v>4374.4810975475102</v>
      </c>
      <c r="H70" s="361">
        <v>4413.5472823130003</v>
      </c>
      <c r="I70" s="361">
        <v>4910.4320908685804</v>
      </c>
      <c r="J70" s="361">
        <v>5661.0332868211999</v>
      </c>
      <c r="K70" s="361">
        <v>6132.6022802940197</v>
      </c>
      <c r="L70" s="361">
        <v>6762.6324049672503</v>
      </c>
      <c r="M70" s="361">
        <v>7391.3873925235403</v>
      </c>
      <c r="N70" s="361">
        <v>8988.1006474373207</v>
      </c>
      <c r="O70" s="361">
        <v>10929.745169051699</v>
      </c>
      <c r="P70" s="295"/>
      <c r="Q70" s="283"/>
      <c r="R70" s="283"/>
      <c r="S70" s="283"/>
      <c r="T70" s="283"/>
      <c r="U70" s="283"/>
      <c r="V70" s="283"/>
      <c r="W70" s="283"/>
      <c r="X70" s="283"/>
      <c r="Y70" s="283"/>
      <c r="Z70" s="283"/>
      <c r="AA70" s="283"/>
      <c r="AB70" s="283"/>
      <c r="AC70" s="283"/>
      <c r="AD70" s="283"/>
      <c r="AE70" s="283"/>
      <c r="AF70" s="283"/>
      <c r="AG70" s="283"/>
      <c r="AH70" s="283"/>
      <c r="AI70" s="283"/>
      <c r="AJ70" s="283"/>
      <c r="AK70" s="283"/>
      <c r="AL70" s="283"/>
      <c r="AM70" s="283"/>
      <c r="AN70" s="283"/>
      <c r="AO70" s="283"/>
      <c r="AP70" s="283"/>
      <c r="AQ70" s="283"/>
      <c r="AR70" s="283"/>
      <c r="AS70" s="283"/>
    </row>
    <row r="71" spans="1:45">
      <c r="A71" s="182">
        <v>14</v>
      </c>
      <c r="B71" s="179">
        <v>9</v>
      </c>
      <c r="C71" s="371">
        <v>5463.2570530422699</v>
      </c>
      <c r="D71" s="371">
        <v>5661.0332868211999</v>
      </c>
      <c r="E71" s="371">
        <v>5414.9031132843902</v>
      </c>
      <c r="F71" s="371">
        <v>5463.2570530422699</v>
      </c>
      <c r="G71" s="371">
        <v>5762.5922729181802</v>
      </c>
      <c r="H71" s="371">
        <v>6468.6069500604399</v>
      </c>
      <c r="I71" s="371">
        <v>7133.1539435603199</v>
      </c>
      <c r="J71" s="371">
        <v>7936.2248617426803</v>
      </c>
      <c r="K71" s="371">
        <v>9231.0489869555095</v>
      </c>
      <c r="L71" s="371">
        <v>10270.2964936111</v>
      </c>
      <c r="M71" s="371">
        <v>11426.5481623633</v>
      </c>
      <c r="N71" s="371">
        <v>13771.974794247701</v>
      </c>
      <c r="O71" s="371">
        <v>17047.4811150608</v>
      </c>
      <c r="P71" s="297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39"/>
      <c r="AO71" s="239"/>
      <c r="AP71" s="239"/>
      <c r="AQ71" s="239"/>
      <c r="AR71" s="239"/>
      <c r="AS71" s="239"/>
    </row>
    <row r="72" spans="1:45">
      <c r="A72" s="182">
        <v>14</v>
      </c>
      <c r="B72" s="179">
        <v>10</v>
      </c>
      <c r="C72" s="361">
        <v>10089.3013070457</v>
      </c>
      <c r="D72" s="361">
        <v>10270.2964936111</v>
      </c>
      <c r="E72" s="361">
        <v>10642.085905190401</v>
      </c>
      <c r="F72" s="361">
        <v>9823.7649630279302</v>
      </c>
      <c r="G72" s="361">
        <v>10547.9025838582</v>
      </c>
      <c r="H72" s="361">
        <v>10642.085905190401</v>
      </c>
      <c r="I72" s="361">
        <v>11631.528701088901</v>
      </c>
      <c r="J72" s="361">
        <v>11945.932946041001</v>
      </c>
      <c r="K72" s="361">
        <v>14270.5313951309</v>
      </c>
      <c r="L72" s="361">
        <v>14656.2588549381</v>
      </c>
      <c r="M72" s="361">
        <v>15597.3271575734</v>
      </c>
      <c r="N72" s="361">
        <v>19136.091362568</v>
      </c>
      <c r="O72" s="361">
        <v>22258.214688227999</v>
      </c>
      <c r="P72" s="295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83"/>
      <c r="AB72" s="283"/>
      <c r="AC72" s="283"/>
      <c r="AD72" s="283"/>
      <c r="AE72" s="283"/>
      <c r="AF72" s="283"/>
      <c r="AG72" s="283"/>
      <c r="AH72" s="283"/>
      <c r="AI72" s="283"/>
      <c r="AJ72" s="283"/>
      <c r="AK72" s="283"/>
      <c r="AL72" s="283"/>
      <c r="AM72" s="283"/>
      <c r="AN72" s="283"/>
      <c r="AO72" s="283"/>
      <c r="AP72" s="283"/>
      <c r="AQ72" s="283"/>
      <c r="AR72" s="283"/>
      <c r="AS72" s="283"/>
    </row>
    <row r="73" spans="1:45">
      <c r="A73" s="181">
        <v>15</v>
      </c>
      <c r="B73" s="178">
        <v>1</v>
      </c>
      <c r="C73" s="360"/>
      <c r="D73" s="306"/>
      <c r="E73" s="306"/>
      <c r="F73" s="306"/>
      <c r="G73" s="360"/>
      <c r="H73" s="360"/>
      <c r="I73" s="360"/>
      <c r="J73" s="360"/>
      <c r="K73" s="226"/>
      <c r="L73" s="226"/>
      <c r="M73" s="226"/>
      <c r="N73" s="226"/>
      <c r="O73" s="226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</row>
    <row r="74" spans="1:45">
      <c r="A74" s="182">
        <v>15</v>
      </c>
      <c r="B74" s="179">
        <v>2</v>
      </c>
      <c r="C74" s="361"/>
      <c r="D74" s="301"/>
      <c r="E74" s="301"/>
      <c r="F74" s="301"/>
      <c r="G74" s="361"/>
      <c r="H74" s="361"/>
      <c r="I74" s="361"/>
      <c r="J74" s="361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  <c r="AO74" s="326"/>
      <c r="AP74" s="326"/>
      <c r="AQ74" s="326"/>
      <c r="AR74" s="326"/>
      <c r="AS74" s="326"/>
    </row>
    <row r="75" spans="1:45">
      <c r="A75" s="182">
        <v>15</v>
      </c>
      <c r="B75" s="179">
        <v>3</v>
      </c>
      <c r="C75" s="228"/>
      <c r="D75" s="362"/>
      <c r="E75" s="362"/>
      <c r="F75" s="362"/>
      <c r="G75" s="362"/>
      <c r="H75" s="362"/>
      <c r="I75" s="362"/>
      <c r="J75" s="362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</row>
    <row r="76" spans="1:45">
      <c r="A76" s="182">
        <v>15</v>
      </c>
      <c r="B76" s="179">
        <v>4</v>
      </c>
      <c r="C76" s="326"/>
      <c r="D76" s="361"/>
      <c r="E76" s="361"/>
      <c r="F76" s="361"/>
      <c r="G76" s="361"/>
      <c r="H76" s="361"/>
      <c r="I76" s="361"/>
      <c r="J76" s="361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  <c r="AO76" s="326"/>
      <c r="AP76" s="326"/>
      <c r="AQ76" s="326"/>
      <c r="AR76" s="326"/>
      <c r="AS76" s="326"/>
    </row>
    <row r="77" spans="1:45">
      <c r="A77" s="182">
        <v>15</v>
      </c>
      <c r="B77" s="179">
        <v>5</v>
      </c>
      <c r="C77" s="228"/>
      <c r="D77" s="362"/>
      <c r="E77" s="362"/>
      <c r="F77" s="362"/>
      <c r="G77" s="362"/>
      <c r="H77" s="362"/>
      <c r="I77" s="362"/>
      <c r="J77" s="362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8"/>
      <c r="AM77" s="228"/>
      <c r="AN77" s="228"/>
      <c r="AO77" s="228"/>
      <c r="AP77" s="228"/>
      <c r="AQ77" s="228"/>
      <c r="AR77" s="228"/>
      <c r="AS77" s="228"/>
    </row>
    <row r="78" spans="1:45">
      <c r="A78" s="182">
        <v>15</v>
      </c>
      <c r="B78" s="179">
        <v>6</v>
      </c>
      <c r="C78" s="326"/>
      <c r="D78" s="361"/>
      <c r="E78" s="361"/>
      <c r="F78" s="361"/>
      <c r="G78" s="361"/>
      <c r="H78" s="361"/>
      <c r="I78" s="361"/>
      <c r="J78" s="361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  <c r="AO78" s="326"/>
      <c r="AP78" s="326"/>
      <c r="AQ78" s="326"/>
      <c r="AR78" s="326"/>
      <c r="AS78" s="326"/>
    </row>
    <row r="79" spans="1:45">
      <c r="A79" s="181">
        <v>16</v>
      </c>
      <c r="B79" s="178">
        <v>1</v>
      </c>
      <c r="C79" s="228"/>
      <c r="D79" s="362"/>
      <c r="E79" s="362"/>
      <c r="F79" s="362"/>
      <c r="G79" s="362"/>
      <c r="H79" s="362"/>
      <c r="I79" s="362"/>
      <c r="J79" s="362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  <c r="AI79" s="228"/>
      <c r="AJ79" s="228"/>
      <c r="AK79" s="228"/>
      <c r="AL79" s="228"/>
      <c r="AM79" s="228"/>
      <c r="AN79" s="228"/>
      <c r="AO79" s="228"/>
      <c r="AP79" s="228"/>
      <c r="AQ79" s="228"/>
      <c r="AR79" s="228"/>
      <c r="AS79" s="228"/>
    </row>
    <row r="80" spans="1:45">
      <c r="A80" s="182">
        <v>16</v>
      </c>
      <c r="B80" s="179">
        <v>2</v>
      </c>
      <c r="C80" s="326"/>
      <c r="D80" s="361"/>
      <c r="E80" s="361"/>
      <c r="F80" s="361"/>
      <c r="G80" s="361"/>
      <c r="H80" s="361"/>
      <c r="I80" s="361"/>
      <c r="J80" s="361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  <c r="AB80" s="326"/>
      <c r="AC80" s="326"/>
      <c r="AD80" s="326"/>
      <c r="AE80" s="326"/>
      <c r="AF80" s="326"/>
      <c r="AG80" s="326"/>
      <c r="AH80" s="326"/>
      <c r="AI80" s="326"/>
      <c r="AJ80" s="326"/>
      <c r="AK80" s="326"/>
      <c r="AL80" s="326"/>
      <c r="AM80" s="326"/>
      <c r="AN80" s="326"/>
      <c r="AO80" s="326"/>
      <c r="AP80" s="326"/>
      <c r="AQ80" s="326"/>
      <c r="AR80" s="326"/>
      <c r="AS80" s="326"/>
    </row>
    <row r="81" spans="1:45">
      <c r="A81" s="182">
        <v>16</v>
      </c>
      <c r="B81" s="179">
        <v>3</v>
      </c>
      <c r="C81" s="228"/>
      <c r="D81" s="362"/>
      <c r="E81" s="362"/>
      <c r="F81" s="362"/>
      <c r="G81" s="362"/>
      <c r="H81" s="362"/>
      <c r="I81" s="362"/>
      <c r="J81" s="362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  <c r="AK81" s="228"/>
      <c r="AL81" s="228"/>
      <c r="AM81" s="228"/>
      <c r="AN81" s="228"/>
      <c r="AO81" s="228"/>
      <c r="AP81" s="228"/>
      <c r="AQ81" s="228"/>
      <c r="AR81" s="228"/>
      <c r="AS81" s="228"/>
    </row>
    <row r="82" spans="1:45">
      <c r="A82" s="201">
        <v>17</v>
      </c>
      <c r="B82" s="58">
        <v>1</v>
      </c>
      <c r="C82" s="326"/>
      <c r="D82" s="361"/>
      <c r="E82" s="361"/>
      <c r="F82" s="361"/>
      <c r="G82" s="361"/>
      <c r="H82" s="361"/>
      <c r="I82" s="361"/>
      <c r="J82" s="361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  <c r="AO82" s="326"/>
      <c r="AP82" s="326"/>
      <c r="AQ82" s="326"/>
      <c r="AR82" s="326"/>
      <c r="AS82" s="326"/>
    </row>
    <row r="83" spans="1:45">
      <c r="A83" s="200">
        <v>17</v>
      </c>
      <c r="B83" s="59">
        <v>2</v>
      </c>
      <c r="C83" s="228"/>
      <c r="D83" s="362"/>
      <c r="E83" s="362"/>
      <c r="F83" s="362"/>
      <c r="G83" s="362"/>
      <c r="H83" s="362"/>
      <c r="I83" s="362"/>
      <c r="J83" s="362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8"/>
      <c r="AK83" s="228"/>
      <c r="AL83" s="228"/>
      <c r="AM83" s="228"/>
      <c r="AN83" s="228"/>
      <c r="AO83" s="228"/>
      <c r="AP83" s="228"/>
      <c r="AQ83" s="228"/>
      <c r="AR83" s="228"/>
      <c r="AS83" s="228"/>
    </row>
    <row r="84" spans="1:45">
      <c r="A84" s="200">
        <v>17</v>
      </c>
      <c r="B84" s="59">
        <v>3</v>
      </c>
      <c r="C84" s="326"/>
      <c r="D84" s="361"/>
      <c r="E84" s="361"/>
      <c r="F84" s="361"/>
      <c r="G84" s="361"/>
      <c r="H84" s="361"/>
      <c r="I84" s="361"/>
      <c r="J84" s="361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  <c r="AO84" s="326"/>
      <c r="AP84" s="326"/>
      <c r="AQ84" s="326"/>
      <c r="AR84" s="326"/>
      <c r="AS84" s="326"/>
    </row>
    <row r="85" spans="1:45">
      <c r="A85" s="200">
        <v>17</v>
      </c>
      <c r="B85" s="59">
        <v>4</v>
      </c>
      <c r="C85" s="228"/>
      <c r="D85" s="362"/>
      <c r="E85" s="362"/>
      <c r="F85" s="362"/>
      <c r="G85" s="362"/>
      <c r="H85" s="362"/>
      <c r="I85" s="362"/>
      <c r="J85" s="362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  <c r="AI85" s="228"/>
      <c r="AJ85" s="228"/>
      <c r="AK85" s="228"/>
      <c r="AL85" s="228"/>
      <c r="AM85" s="228"/>
      <c r="AN85" s="228"/>
      <c r="AO85" s="228"/>
      <c r="AP85" s="228"/>
      <c r="AQ85" s="228"/>
      <c r="AR85" s="228"/>
      <c r="AS85" s="228"/>
    </row>
    <row r="86" spans="1:45">
      <c r="A86" s="201">
        <v>18</v>
      </c>
      <c r="B86" s="58">
        <v>1</v>
      </c>
      <c r="C86" s="331">
        <v>805.67</v>
      </c>
      <c r="D86" s="331">
        <v>805.67</v>
      </c>
      <c r="E86" s="331">
        <v>873.67</v>
      </c>
      <c r="F86" s="331">
        <v>928.41</v>
      </c>
      <c r="G86" s="331">
        <v>928.41</v>
      </c>
      <c r="H86" s="331">
        <v>1006.78</v>
      </c>
      <c r="I86" s="331">
        <v>1048.4000000000001</v>
      </c>
      <c r="J86" s="331">
        <v>1091.75</v>
      </c>
      <c r="K86" s="331">
        <v>1114.0899999999999</v>
      </c>
      <c r="L86" s="331">
        <v>1183.9000000000001</v>
      </c>
      <c r="M86" s="331">
        <v>1283.82</v>
      </c>
      <c r="N86" s="331">
        <v>1509.68</v>
      </c>
      <c r="O86" s="331">
        <v>1479.41</v>
      </c>
      <c r="P86" s="331">
        <v>1637.1</v>
      </c>
      <c r="Q86" s="331">
        <v>1739.68</v>
      </c>
      <c r="R86" s="331">
        <v>2087.6</v>
      </c>
      <c r="S86" s="331">
        <v>2310.13</v>
      </c>
      <c r="T86" s="331">
        <v>2716.55</v>
      </c>
      <c r="U86" s="331">
        <v>2886.76</v>
      </c>
      <c r="V86" s="331">
        <v>2886.76</v>
      </c>
      <c r="W86" s="327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  <c r="AO86" s="326"/>
      <c r="AP86" s="326"/>
      <c r="AQ86" s="326"/>
      <c r="AR86" s="326"/>
      <c r="AS86" s="326"/>
    </row>
    <row r="87" spans="1:45">
      <c r="A87" s="200">
        <v>18</v>
      </c>
      <c r="B87" s="59">
        <v>2</v>
      </c>
      <c r="C87" s="228">
        <v>1115.1600000000001</v>
      </c>
      <c r="D87" s="228">
        <v>1484.56</v>
      </c>
      <c r="E87" s="228">
        <v>2017.13</v>
      </c>
      <c r="F87" s="228">
        <v>2577.7600000000002</v>
      </c>
      <c r="G87" s="228">
        <v>3431.65</v>
      </c>
      <c r="H87" s="228">
        <v>4758.99</v>
      </c>
      <c r="I87" s="228">
        <v>6207.25</v>
      </c>
      <c r="J87" s="228">
        <v>7932.47</v>
      </c>
      <c r="K87" s="228">
        <v>10346.49</v>
      </c>
      <c r="L87" s="228">
        <v>13495.14</v>
      </c>
      <c r="M87" s="228">
        <v>16897.04</v>
      </c>
      <c r="N87" s="228">
        <v>21156.5</v>
      </c>
      <c r="O87" s="228">
        <v>25953.81</v>
      </c>
      <c r="P87" s="228">
        <v>30563.78</v>
      </c>
      <c r="Q87" s="228">
        <v>35264.46</v>
      </c>
      <c r="R87" s="228">
        <v>41528.21</v>
      </c>
      <c r="S87" s="228">
        <v>44154.04</v>
      </c>
      <c r="T87" s="228"/>
      <c r="U87" s="228"/>
      <c r="V87" s="228"/>
      <c r="W87" s="3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  <c r="AI87" s="228"/>
      <c r="AJ87" s="228"/>
      <c r="AK87" s="228"/>
      <c r="AL87" s="228"/>
      <c r="AM87" s="228"/>
      <c r="AN87" s="228"/>
      <c r="AO87" s="228"/>
      <c r="AP87" s="228"/>
      <c r="AQ87" s="228"/>
      <c r="AR87" s="228"/>
      <c r="AS87" s="228"/>
    </row>
    <row r="88" spans="1:45">
      <c r="A88" s="201">
        <v>19</v>
      </c>
      <c r="B88" s="58">
        <v>1</v>
      </c>
      <c r="C88" s="221">
        <v>234.94</v>
      </c>
      <c r="D88" s="221">
        <v>234.1</v>
      </c>
      <c r="E88" s="221">
        <v>243.31</v>
      </c>
      <c r="F88" s="221">
        <v>243.72</v>
      </c>
      <c r="G88" s="221">
        <v>215.69</v>
      </c>
      <c r="H88" s="221">
        <v>165.48</v>
      </c>
      <c r="I88" s="221">
        <v>147.49</v>
      </c>
      <c r="J88" s="221">
        <v>148.33000000000001</v>
      </c>
      <c r="K88" s="221">
        <v>146.22999999999999</v>
      </c>
      <c r="L88" s="221">
        <v>141.63</v>
      </c>
      <c r="M88" s="221">
        <v>132.85</v>
      </c>
      <c r="N88" s="221">
        <v>117.78</v>
      </c>
      <c r="O88" s="221"/>
      <c r="P88" s="221"/>
      <c r="Q88" s="221"/>
      <c r="R88" s="221"/>
      <c r="S88" s="221"/>
      <c r="T88" s="221"/>
      <c r="U88" s="221"/>
      <c r="V88" s="221"/>
      <c r="W88" s="327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  <c r="AO88" s="326"/>
      <c r="AP88" s="326"/>
      <c r="AQ88" s="326"/>
      <c r="AR88" s="326"/>
      <c r="AS88" s="326"/>
    </row>
    <row r="89" spans="1:45">
      <c r="A89" s="200">
        <v>19</v>
      </c>
      <c r="B89" s="59">
        <v>2</v>
      </c>
      <c r="C89" s="239">
        <v>208.16</v>
      </c>
      <c r="D89" s="239">
        <v>209</v>
      </c>
      <c r="E89" s="239">
        <v>219.87</v>
      </c>
      <c r="F89" s="239">
        <v>211.09</v>
      </c>
      <c r="G89" s="239">
        <v>176.78</v>
      </c>
      <c r="H89" s="239">
        <v>126.15</v>
      </c>
      <c r="I89" s="239">
        <v>106.49</v>
      </c>
      <c r="J89" s="239">
        <v>102.72</v>
      </c>
      <c r="K89" s="239">
        <v>98.95</v>
      </c>
      <c r="L89" s="239">
        <v>93.1</v>
      </c>
      <c r="M89" s="239">
        <v>81.38</v>
      </c>
      <c r="N89" s="239">
        <v>66.319999999999993</v>
      </c>
      <c r="O89" s="239"/>
      <c r="P89" s="239"/>
      <c r="Q89" s="239"/>
      <c r="R89" s="239"/>
      <c r="S89" s="239"/>
      <c r="T89" s="239"/>
      <c r="U89" s="239"/>
      <c r="V89" s="239"/>
      <c r="W89" s="3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  <c r="AI89" s="228"/>
      <c r="AJ89" s="228"/>
      <c r="AK89" s="228"/>
      <c r="AL89" s="228"/>
      <c r="AM89" s="228"/>
      <c r="AN89" s="228"/>
      <c r="AO89" s="228"/>
      <c r="AP89" s="228"/>
      <c r="AQ89" s="228"/>
      <c r="AR89" s="228"/>
      <c r="AS89" s="228"/>
    </row>
    <row r="90" spans="1:45">
      <c r="A90" s="200">
        <v>19</v>
      </c>
      <c r="B90" s="59">
        <v>3</v>
      </c>
      <c r="C90" s="283">
        <v>200.21</v>
      </c>
      <c r="D90" s="283">
        <v>203.97</v>
      </c>
      <c r="E90" s="283">
        <v>211.51</v>
      </c>
      <c r="F90" s="283">
        <v>201.46</v>
      </c>
      <c r="G90" s="283">
        <v>164.64</v>
      </c>
      <c r="H90" s="283">
        <v>114.02</v>
      </c>
      <c r="I90" s="283">
        <v>93.1</v>
      </c>
      <c r="J90" s="283">
        <v>85.15</v>
      </c>
      <c r="K90" s="283">
        <v>80.540000000000006</v>
      </c>
      <c r="L90" s="283">
        <v>74.69</v>
      </c>
      <c r="M90" s="283">
        <v>63.39</v>
      </c>
      <c r="N90" s="283">
        <v>50.84</v>
      </c>
      <c r="O90" s="283"/>
      <c r="P90" s="283"/>
      <c r="Q90" s="283"/>
      <c r="R90" s="283"/>
      <c r="S90" s="283"/>
      <c r="T90" s="283"/>
      <c r="U90" s="283"/>
      <c r="V90" s="283"/>
      <c r="W90" s="327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  <c r="AO90" s="326"/>
      <c r="AP90" s="326"/>
      <c r="AQ90" s="326"/>
      <c r="AR90" s="326"/>
      <c r="AS90" s="326"/>
    </row>
    <row r="91" spans="1:45">
      <c r="A91" s="200">
        <v>19</v>
      </c>
      <c r="B91" s="59">
        <v>4</v>
      </c>
      <c r="C91" s="239">
        <v>197.7</v>
      </c>
      <c r="D91" s="239">
        <v>206.07</v>
      </c>
      <c r="E91" s="239">
        <v>215.69</v>
      </c>
      <c r="F91" s="239">
        <v>187.24</v>
      </c>
      <c r="G91" s="239">
        <v>140.38</v>
      </c>
      <c r="H91" s="239">
        <v>79.709999999999994</v>
      </c>
      <c r="I91" s="239">
        <v>66.319999999999993</v>
      </c>
      <c r="J91" s="239">
        <v>58.37</v>
      </c>
      <c r="K91" s="239">
        <v>55.02</v>
      </c>
      <c r="L91" s="239">
        <v>51.67</v>
      </c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3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  <c r="AI91" s="228"/>
      <c r="AJ91" s="228"/>
      <c r="AK91" s="228"/>
      <c r="AL91" s="228"/>
      <c r="AM91" s="228"/>
      <c r="AN91" s="228"/>
      <c r="AO91" s="228"/>
      <c r="AP91" s="228"/>
      <c r="AQ91" s="228"/>
      <c r="AR91" s="228"/>
      <c r="AS91" s="228"/>
    </row>
    <row r="92" spans="1:45">
      <c r="A92" s="202">
        <v>19</v>
      </c>
      <c r="B92" s="203">
        <v>5</v>
      </c>
      <c r="C92" s="284">
        <v>170.5</v>
      </c>
      <c r="D92" s="284">
        <v>162.97</v>
      </c>
      <c r="E92" s="284">
        <v>166.74</v>
      </c>
      <c r="F92" s="284">
        <v>149.58000000000001</v>
      </c>
      <c r="G92" s="284">
        <v>110.67</v>
      </c>
      <c r="H92" s="284">
        <v>73.010000000000005</v>
      </c>
      <c r="I92" s="284">
        <v>54.18</v>
      </c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327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  <c r="AO92" s="326"/>
      <c r="AP92" s="326"/>
      <c r="AQ92" s="326"/>
      <c r="AR92" s="326"/>
      <c r="AS92" s="326"/>
    </row>
    <row r="93" spans="1:45">
      <c r="A93" s="237">
        <v>20</v>
      </c>
      <c r="B93" s="178" t="s">
        <v>220</v>
      </c>
      <c r="C93" s="2"/>
      <c r="D93" s="2"/>
      <c r="E93" s="74"/>
      <c r="F93" s="74"/>
      <c r="G93" s="74"/>
      <c r="H93" s="7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45">
      <c r="A94" s="205">
        <v>20</v>
      </c>
      <c r="B94" s="179" t="s">
        <v>221</v>
      </c>
      <c r="E94" s="74"/>
      <c r="F94" s="74"/>
      <c r="G94" s="74"/>
      <c r="H94" s="74"/>
    </row>
    <row r="95" spans="1:45">
      <c r="A95" s="205">
        <v>20</v>
      </c>
      <c r="B95" s="179" t="s">
        <v>222</v>
      </c>
      <c r="E95" s="74"/>
      <c r="F95" s="74"/>
      <c r="G95" s="74"/>
      <c r="H95" s="74"/>
    </row>
    <row r="96" spans="1:45">
      <c r="A96" s="205">
        <v>20</v>
      </c>
      <c r="B96" s="179" t="s">
        <v>223</v>
      </c>
      <c r="G96" s="74"/>
      <c r="H96" s="74"/>
    </row>
    <row r="97" spans="1:16">
      <c r="A97" s="205">
        <v>20</v>
      </c>
      <c r="B97" s="179" t="s">
        <v>224</v>
      </c>
      <c r="G97" s="74"/>
      <c r="H97" s="74"/>
    </row>
    <row r="98" spans="1:16">
      <c r="A98" s="205">
        <v>20</v>
      </c>
      <c r="B98" s="179" t="s">
        <v>225</v>
      </c>
      <c r="G98" s="74"/>
      <c r="H98" s="74"/>
    </row>
    <row r="99" spans="1:16">
      <c r="A99" s="205">
        <v>20</v>
      </c>
      <c r="B99" s="179" t="s">
        <v>226</v>
      </c>
      <c r="G99" s="74"/>
      <c r="H99" s="74"/>
    </row>
    <row r="100" spans="1:16">
      <c r="A100" s="205">
        <v>20</v>
      </c>
      <c r="B100" s="179" t="s">
        <v>227</v>
      </c>
      <c r="G100" s="74"/>
      <c r="H100" s="74"/>
    </row>
    <row r="101" spans="1:16">
      <c r="A101" s="205">
        <v>20</v>
      </c>
      <c r="B101" s="179" t="s">
        <v>230</v>
      </c>
      <c r="G101" s="74"/>
      <c r="H101" s="74"/>
    </row>
    <row r="102" spans="1:16">
      <c r="A102" s="205">
        <v>20</v>
      </c>
      <c r="B102" s="179" t="s">
        <v>231</v>
      </c>
      <c r="G102" s="74"/>
      <c r="H102" s="74"/>
    </row>
    <row r="103" spans="1:16">
      <c r="A103" s="205">
        <v>20</v>
      </c>
      <c r="B103" s="179" t="s">
        <v>232</v>
      </c>
      <c r="G103" s="74"/>
      <c r="H103" s="74"/>
    </row>
    <row r="104" spans="1:16">
      <c r="A104" s="205">
        <v>20</v>
      </c>
      <c r="B104" s="179" t="s">
        <v>233</v>
      </c>
      <c r="G104" s="74"/>
      <c r="H104" s="74"/>
    </row>
    <row r="105" spans="1:16">
      <c r="A105" s="200">
        <v>20</v>
      </c>
      <c r="B105" s="59" t="s">
        <v>234</v>
      </c>
      <c r="G105" s="74"/>
      <c r="H105" s="74"/>
    </row>
    <row r="106" spans="1:16">
      <c r="A106" s="200">
        <v>20</v>
      </c>
      <c r="B106" s="59" t="s">
        <v>235</v>
      </c>
      <c r="G106" s="74"/>
      <c r="H106" s="74"/>
    </row>
    <row r="107" spans="1:16">
      <c r="A107" s="200">
        <v>20</v>
      </c>
      <c r="B107" s="59" t="s">
        <v>236</v>
      </c>
      <c r="G107" s="74"/>
      <c r="H107" s="74"/>
    </row>
    <row r="108" spans="1:16">
      <c r="A108" s="200">
        <v>20</v>
      </c>
      <c r="B108" s="59" t="s">
        <v>237</v>
      </c>
      <c r="G108" s="74"/>
      <c r="H108" s="74"/>
    </row>
    <row r="109" spans="1:16">
      <c r="A109" s="205">
        <v>20</v>
      </c>
      <c r="B109" s="59" t="s">
        <v>238</v>
      </c>
      <c r="C109" s="2"/>
      <c r="G109" s="74"/>
      <c r="H109" s="74"/>
    </row>
    <row r="110" spans="1:16">
      <c r="A110" s="200">
        <v>20</v>
      </c>
      <c r="B110" s="59" t="s">
        <v>239</v>
      </c>
      <c r="G110" s="74"/>
      <c r="H110" s="74"/>
    </row>
    <row r="111" spans="1:16">
      <c r="A111" s="200">
        <v>20</v>
      </c>
      <c r="B111" s="59" t="s">
        <v>240</v>
      </c>
      <c r="G111" s="74"/>
      <c r="H111" s="74"/>
    </row>
    <row r="112" spans="1:16">
      <c r="A112" s="202">
        <v>20</v>
      </c>
      <c r="B112" s="203" t="s">
        <v>241</v>
      </c>
      <c r="C112" s="30"/>
      <c r="D112" s="30"/>
      <c r="E112" s="30"/>
      <c r="F112" s="30"/>
      <c r="G112" s="81"/>
      <c r="H112" s="81"/>
      <c r="I112" s="30"/>
      <c r="J112" s="30"/>
      <c r="K112" s="30"/>
      <c r="L112" s="30"/>
      <c r="M112" s="30"/>
      <c r="N112" s="30"/>
      <c r="O112" s="30"/>
      <c r="P112" s="30"/>
    </row>
    <row r="113" spans="1:16">
      <c r="A113" s="205">
        <v>21</v>
      </c>
      <c r="B113" s="59" t="s">
        <v>220</v>
      </c>
      <c r="C113" s="2">
        <v>57.31</v>
      </c>
      <c r="D113" s="2">
        <v>53.72</v>
      </c>
      <c r="E113" s="2">
        <v>68.77</v>
      </c>
      <c r="F113" s="2">
        <v>113.9</v>
      </c>
      <c r="G113" s="2">
        <v>108.88</v>
      </c>
      <c r="H113" s="2">
        <v>59.46</v>
      </c>
      <c r="I113" s="2">
        <v>57.31</v>
      </c>
      <c r="J113" s="2">
        <v>80.95</v>
      </c>
      <c r="K113" s="2"/>
      <c r="L113" s="2"/>
      <c r="M113" s="2"/>
      <c r="N113" s="2"/>
      <c r="O113" s="2"/>
      <c r="P113" s="2"/>
    </row>
    <row r="114" spans="1:16">
      <c r="A114" s="205">
        <v>21</v>
      </c>
      <c r="B114" s="59" t="s">
        <v>221</v>
      </c>
      <c r="C114" s="8">
        <v>76.650000000000006</v>
      </c>
      <c r="D114" s="8">
        <v>74.5</v>
      </c>
      <c r="E114" s="8">
        <v>89.54</v>
      </c>
      <c r="F114" s="8">
        <v>105.3</v>
      </c>
      <c r="G114" s="8">
        <v>95.99</v>
      </c>
      <c r="H114" s="8">
        <v>52.29</v>
      </c>
      <c r="I114" s="8">
        <v>51.58</v>
      </c>
      <c r="J114" s="8">
        <v>66.62</v>
      </c>
    </row>
    <row r="115" spans="1:16">
      <c r="A115" s="205">
        <v>21</v>
      </c>
      <c r="B115" s="59" t="s">
        <v>222</v>
      </c>
      <c r="C115" s="8">
        <v>83.09</v>
      </c>
      <c r="D115" s="8">
        <v>88.83</v>
      </c>
      <c r="E115" s="8">
        <v>84.53</v>
      </c>
      <c r="F115" s="8">
        <v>85.96</v>
      </c>
      <c r="G115" s="8">
        <v>68.77</v>
      </c>
      <c r="H115" s="8">
        <v>43.7</v>
      </c>
      <c r="I115" s="8">
        <v>44.41</v>
      </c>
      <c r="J115" s="8">
        <v>53.72</v>
      </c>
    </row>
    <row r="116" spans="1:16">
      <c r="A116" s="205">
        <v>21</v>
      </c>
      <c r="B116" s="59" t="s">
        <v>223</v>
      </c>
      <c r="C116" s="8">
        <v>121.06</v>
      </c>
      <c r="D116" s="8">
        <v>135.38999999999999</v>
      </c>
      <c r="E116" s="8">
        <v>115.33</v>
      </c>
      <c r="F116" s="8">
        <v>81.66</v>
      </c>
      <c r="G116" s="8">
        <v>53.01</v>
      </c>
      <c r="H116" s="8">
        <v>34.380000000000003</v>
      </c>
      <c r="I116" s="8">
        <v>37.25</v>
      </c>
      <c r="J116" s="8">
        <v>45.85</v>
      </c>
    </row>
    <row r="117" spans="1:16">
      <c r="A117" s="205">
        <v>21</v>
      </c>
      <c r="B117" s="59" t="s">
        <v>228</v>
      </c>
      <c r="C117" s="8">
        <v>51.49</v>
      </c>
      <c r="D117" s="8">
        <v>52.24</v>
      </c>
      <c r="E117" s="8">
        <v>64.180000000000007</v>
      </c>
      <c r="F117" s="8">
        <v>84.33</v>
      </c>
      <c r="G117" s="8">
        <v>97.01</v>
      </c>
      <c r="H117" s="8">
        <v>49.25</v>
      </c>
      <c r="I117" s="8">
        <v>47.01</v>
      </c>
      <c r="J117" s="8">
        <v>63.43</v>
      </c>
    </row>
    <row r="118" spans="1:16">
      <c r="A118" s="205">
        <v>21</v>
      </c>
      <c r="B118" s="59" t="s">
        <v>242</v>
      </c>
      <c r="C118" s="8">
        <v>75.37</v>
      </c>
      <c r="D118" s="8">
        <v>85.07</v>
      </c>
      <c r="E118" s="8">
        <v>102.99</v>
      </c>
      <c r="F118" s="8">
        <v>118.66</v>
      </c>
      <c r="G118" s="8">
        <v>108.21</v>
      </c>
      <c r="H118" s="8">
        <v>61.19</v>
      </c>
      <c r="I118" s="8">
        <v>62.69</v>
      </c>
      <c r="J118" s="8">
        <v>77.61</v>
      </c>
    </row>
    <row r="119" spans="1:16">
      <c r="A119" s="205">
        <v>21</v>
      </c>
      <c r="B119" s="59" t="s">
        <v>243</v>
      </c>
      <c r="C119" s="8">
        <v>81.34</v>
      </c>
      <c r="D119" s="8">
        <v>98.51</v>
      </c>
      <c r="E119" s="8">
        <v>93.28</v>
      </c>
      <c r="F119" s="8">
        <v>89.55</v>
      </c>
      <c r="G119" s="8">
        <v>64.930000000000007</v>
      </c>
      <c r="H119" s="8">
        <v>42.54</v>
      </c>
      <c r="I119" s="8">
        <v>42.54</v>
      </c>
      <c r="J119" s="8">
        <v>57.46</v>
      </c>
    </row>
    <row r="120" spans="1:16">
      <c r="A120" s="205">
        <v>21</v>
      </c>
      <c r="B120" s="59" t="s">
        <v>244</v>
      </c>
      <c r="C120" s="8">
        <v>115.67</v>
      </c>
      <c r="D120" s="8">
        <v>125.37</v>
      </c>
      <c r="E120" s="8">
        <v>97.76</v>
      </c>
      <c r="F120" s="8">
        <v>72.39</v>
      </c>
      <c r="G120" s="8">
        <v>40.299999999999997</v>
      </c>
      <c r="H120" s="8">
        <v>28.36</v>
      </c>
      <c r="I120" s="8">
        <v>35.82</v>
      </c>
      <c r="J120" s="8">
        <v>43.28</v>
      </c>
    </row>
    <row r="121" spans="1:16">
      <c r="A121" s="201">
        <v>21</v>
      </c>
      <c r="B121" s="58" t="s">
        <v>224</v>
      </c>
      <c r="G121" s="74"/>
      <c r="H121" s="74"/>
    </row>
    <row r="122" spans="1:16" ht="15" customHeight="1">
      <c r="A122" s="200">
        <v>21</v>
      </c>
      <c r="B122" s="59" t="s">
        <v>225</v>
      </c>
    </row>
    <row r="123" spans="1:16" ht="15" customHeight="1">
      <c r="A123" s="200">
        <v>21</v>
      </c>
      <c r="B123" s="59" t="s">
        <v>226</v>
      </c>
    </row>
    <row r="124" spans="1:16" ht="15" customHeight="1">
      <c r="A124" s="200">
        <v>21</v>
      </c>
      <c r="B124" s="59" t="s">
        <v>227</v>
      </c>
    </row>
    <row r="125" spans="1:16" ht="15" customHeight="1">
      <c r="A125" s="200">
        <v>21</v>
      </c>
      <c r="B125" s="59" t="s">
        <v>229</v>
      </c>
    </row>
    <row r="126" spans="1:16" ht="15" customHeight="1">
      <c r="A126" s="200">
        <v>21</v>
      </c>
      <c r="B126" s="59" t="s">
        <v>245</v>
      </c>
    </row>
    <row r="127" spans="1:16" ht="15" customHeight="1">
      <c r="A127" s="200">
        <v>21</v>
      </c>
      <c r="B127" s="59" t="s">
        <v>246</v>
      </c>
    </row>
    <row r="128" spans="1:16" ht="15" customHeight="1">
      <c r="A128" s="202">
        <v>21</v>
      </c>
      <c r="B128" s="203" t="s">
        <v>247</v>
      </c>
    </row>
    <row r="129" spans="1:10" ht="15" customHeight="1">
      <c r="A129" s="200">
        <v>22</v>
      </c>
      <c r="B129" s="59">
        <v>1</v>
      </c>
    </row>
    <row r="130" spans="1:10" ht="15" customHeight="1">
      <c r="A130" s="200">
        <v>22</v>
      </c>
      <c r="B130" s="59">
        <v>2</v>
      </c>
    </row>
    <row r="131" spans="1:10" ht="15" customHeight="1">
      <c r="A131" s="200">
        <v>22</v>
      </c>
      <c r="B131" s="59">
        <v>3</v>
      </c>
    </row>
    <row r="132" spans="1:10" ht="15" customHeight="1">
      <c r="A132" s="200">
        <v>22</v>
      </c>
      <c r="B132" s="59">
        <v>4</v>
      </c>
    </row>
    <row r="133" spans="1:10" ht="15" customHeight="1">
      <c r="A133" s="200">
        <v>22</v>
      </c>
      <c r="B133" s="59">
        <v>5</v>
      </c>
    </row>
    <row r="134" spans="1:10" ht="15" customHeight="1">
      <c r="A134" s="200">
        <v>22</v>
      </c>
      <c r="B134" s="59">
        <v>6</v>
      </c>
    </row>
    <row r="135" spans="1:10" ht="15" customHeight="1">
      <c r="A135" s="200">
        <v>22</v>
      </c>
      <c r="B135" s="59">
        <v>7</v>
      </c>
    </row>
    <row r="136" spans="1:10" ht="15" customHeight="1">
      <c r="A136" s="200">
        <v>22</v>
      </c>
      <c r="B136" s="59">
        <v>8</v>
      </c>
      <c r="C136" s="2"/>
      <c r="D136" s="2"/>
      <c r="E136" s="2"/>
      <c r="F136" s="2"/>
      <c r="G136" s="2"/>
      <c r="H136" s="2"/>
      <c r="I136" s="2"/>
    </row>
    <row r="137" spans="1:10" ht="15" customHeight="1">
      <c r="A137" s="201">
        <v>23</v>
      </c>
      <c r="B137" s="58">
        <v>1</v>
      </c>
      <c r="C137" s="206">
        <v>0.09</v>
      </c>
      <c r="D137" s="206">
        <v>0.11</v>
      </c>
      <c r="E137" s="206">
        <v>0.14000000000000001</v>
      </c>
      <c r="F137" s="206">
        <v>0.12</v>
      </c>
      <c r="G137" s="206">
        <v>0.1</v>
      </c>
      <c r="H137" s="206">
        <v>0.1</v>
      </c>
      <c r="I137" s="207">
        <v>0.11</v>
      </c>
      <c r="J137" s="2"/>
    </row>
    <row r="138" spans="1:10" ht="15" customHeight="1">
      <c r="A138" s="200">
        <v>23</v>
      </c>
      <c r="B138" s="59">
        <v>2</v>
      </c>
      <c r="C138" s="2">
        <v>0.1</v>
      </c>
      <c r="D138" s="2">
        <v>0.14000000000000001</v>
      </c>
      <c r="E138" s="2">
        <v>0.19</v>
      </c>
      <c r="F138" s="2">
        <v>0.11</v>
      </c>
      <c r="G138" s="2">
        <v>0.1</v>
      </c>
      <c r="H138" s="2">
        <v>0.11</v>
      </c>
      <c r="I138" s="208">
        <v>0.13</v>
      </c>
      <c r="J138" s="2"/>
    </row>
    <row r="139" spans="1:10" ht="15" customHeight="1">
      <c r="A139" s="200">
        <v>23</v>
      </c>
      <c r="B139" s="59">
        <v>3</v>
      </c>
      <c r="C139" s="2">
        <v>0.14000000000000001</v>
      </c>
      <c r="D139" s="2">
        <v>0.19</v>
      </c>
      <c r="E139" s="2">
        <v>0.3</v>
      </c>
      <c r="F139" s="2">
        <v>0.15</v>
      </c>
      <c r="G139" s="2">
        <v>0.12</v>
      </c>
      <c r="H139" s="2">
        <v>0.13</v>
      </c>
      <c r="I139" s="208">
        <v>0.15</v>
      </c>
      <c r="J139" s="2"/>
    </row>
    <row r="140" spans="1:10" ht="15" customHeight="1">
      <c r="A140" s="200">
        <v>23</v>
      </c>
      <c r="B140" s="59">
        <v>4</v>
      </c>
      <c r="C140" s="2">
        <v>0.16</v>
      </c>
      <c r="D140" s="2">
        <v>0.2</v>
      </c>
      <c r="E140" s="2">
        <v>0.32</v>
      </c>
      <c r="F140" s="2">
        <v>0.18</v>
      </c>
      <c r="G140" s="2">
        <v>0.15</v>
      </c>
      <c r="H140" s="2">
        <v>0.15</v>
      </c>
      <c r="I140" s="208">
        <v>0.18</v>
      </c>
      <c r="J140" s="2"/>
    </row>
    <row r="141" spans="1:10" ht="15" customHeight="1">
      <c r="A141" s="202">
        <v>23</v>
      </c>
      <c r="B141" s="203">
        <v>5</v>
      </c>
      <c r="C141" s="30">
        <v>0.12</v>
      </c>
      <c r="D141" s="30">
        <v>0.15</v>
      </c>
      <c r="E141" s="30">
        <v>0.22</v>
      </c>
      <c r="F141" s="30">
        <v>0.14000000000000001</v>
      </c>
      <c r="G141" s="30">
        <v>0.11</v>
      </c>
      <c r="H141" s="30">
        <v>0.12</v>
      </c>
      <c r="I141" s="209">
        <v>0.13</v>
      </c>
      <c r="J141" s="2"/>
    </row>
    <row r="142" spans="1:10" ht="15" customHeight="1">
      <c r="A142" s="210">
        <v>24</v>
      </c>
      <c r="B142" s="211">
        <v>1</v>
      </c>
      <c r="C142" s="2"/>
      <c r="D142" s="2"/>
      <c r="E142" s="2"/>
      <c r="F142" s="2"/>
      <c r="G142" s="2"/>
      <c r="H142" s="2"/>
      <c r="I142" s="2"/>
    </row>
    <row r="143" spans="1:10" ht="15" customHeight="1">
      <c r="A143" s="210">
        <v>24</v>
      </c>
      <c r="B143" s="211">
        <v>2</v>
      </c>
    </row>
    <row r="144" spans="1:10" ht="15" customHeight="1">
      <c r="A144" s="210">
        <v>24</v>
      </c>
      <c r="B144" s="211">
        <v>3</v>
      </c>
    </row>
    <row r="145" spans="1:4" ht="15" customHeight="1">
      <c r="A145" s="210">
        <v>24</v>
      </c>
      <c r="B145" s="211">
        <v>4</v>
      </c>
    </row>
    <row r="146" spans="1:4" ht="15" customHeight="1">
      <c r="A146" s="210">
        <v>24</v>
      </c>
      <c r="B146" s="211">
        <v>5</v>
      </c>
    </row>
    <row r="147" spans="1:4" ht="15" customHeight="1">
      <c r="A147" s="210">
        <v>24</v>
      </c>
      <c r="B147" s="211">
        <v>6</v>
      </c>
    </row>
    <row r="148" spans="1:4" ht="15" customHeight="1">
      <c r="A148" s="210">
        <v>24</v>
      </c>
      <c r="B148" s="211">
        <v>7</v>
      </c>
    </row>
    <row r="149" spans="1:4" ht="15" customHeight="1">
      <c r="A149" s="201">
        <v>25</v>
      </c>
      <c r="B149" s="58">
        <v>1</v>
      </c>
    </row>
    <row r="150" spans="1:4" ht="15" customHeight="1">
      <c r="A150" s="200">
        <v>25</v>
      </c>
      <c r="B150" s="59">
        <v>2</v>
      </c>
    </row>
    <row r="151" spans="1:4" ht="15" customHeight="1">
      <c r="A151" s="200">
        <v>25</v>
      </c>
      <c r="B151" s="59">
        <v>3</v>
      </c>
    </row>
    <row r="152" spans="1:4" ht="15" customHeight="1">
      <c r="A152" s="202">
        <v>25</v>
      </c>
      <c r="B152" s="203">
        <v>4</v>
      </c>
      <c r="D152" s="8" t="s">
        <v>383</v>
      </c>
    </row>
    <row r="153" spans="1:4" ht="15" customHeight="1">
      <c r="A153" s="200">
        <v>26</v>
      </c>
      <c r="B153" s="178" t="s">
        <v>220</v>
      </c>
    </row>
    <row r="154" spans="1:4" ht="15" customHeight="1">
      <c r="A154" s="200">
        <v>26</v>
      </c>
      <c r="B154" s="179" t="s">
        <v>221</v>
      </c>
    </row>
    <row r="155" spans="1:4" ht="15" customHeight="1">
      <c r="A155" s="200">
        <v>26</v>
      </c>
      <c r="B155" s="179" t="s">
        <v>222</v>
      </c>
    </row>
    <row r="156" spans="1:4" ht="15" customHeight="1">
      <c r="A156" s="200">
        <v>26</v>
      </c>
      <c r="B156" s="179" t="s">
        <v>223</v>
      </c>
    </row>
    <row r="157" spans="1:4" ht="15" customHeight="1">
      <c r="A157" s="200">
        <v>26</v>
      </c>
      <c r="B157" s="179" t="s">
        <v>228</v>
      </c>
    </row>
    <row r="158" spans="1:4" ht="15" customHeight="1">
      <c r="A158" s="200">
        <v>26</v>
      </c>
      <c r="B158" s="179" t="s">
        <v>224</v>
      </c>
    </row>
    <row r="159" spans="1:4" ht="15" customHeight="1">
      <c r="A159" s="200">
        <v>26</v>
      </c>
      <c r="B159" s="179" t="s">
        <v>225</v>
      </c>
    </row>
    <row r="160" spans="1:4" ht="15" customHeight="1">
      <c r="A160" s="200">
        <v>26</v>
      </c>
      <c r="B160" s="179" t="s">
        <v>226</v>
      </c>
    </row>
    <row r="161" spans="1:2" ht="15" customHeight="1">
      <c r="A161" s="200">
        <v>26</v>
      </c>
      <c r="B161" s="179" t="s">
        <v>227</v>
      </c>
    </row>
    <row r="162" spans="1:2" ht="15" customHeight="1">
      <c r="A162" s="202">
        <v>26</v>
      </c>
      <c r="B162" s="203" t="s">
        <v>229</v>
      </c>
    </row>
    <row r="163" spans="1:2" ht="15" customHeight="1">
      <c r="A163" s="177">
        <v>27</v>
      </c>
      <c r="B163" s="178">
        <v>1</v>
      </c>
    </row>
    <row r="164" spans="1:2" ht="15" customHeight="1">
      <c r="A164" s="174">
        <v>27</v>
      </c>
      <c r="B164" s="179">
        <v>2</v>
      </c>
    </row>
    <row r="165" spans="1:2" ht="15" customHeight="1">
      <c r="A165" s="174">
        <v>27</v>
      </c>
      <c r="B165" s="179">
        <v>3</v>
      </c>
    </row>
    <row r="166" spans="1:2" ht="15" customHeight="1">
      <c r="A166" s="175">
        <v>27</v>
      </c>
      <c r="B166" s="180">
        <v>4</v>
      </c>
    </row>
    <row r="167" spans="1:2" ht="15" customHeight="1">
      <c r="A167" s="201">
        <v>28</v>
      </c>
      <c r="B167" s="58">
        <v>1</v>
      </c>
    </row>
    <row r="168" spans="1:2" ht="15" customHeight="1">
      <c r="A168" s="200">
        <v>28</v>
      </c>
      <c r="B168" s="59">
        <v>2</v>
      </c>
    </row>
    <row r="169" spans="1:2" ht="15" customHeight="1">
      <c r="A169" s="200">
        <v>28</v>
      </c>
      <c r="B169" s="59">
        <v>3</v>
      </c>
    </row>
    <row r="170" spans="1:2" ht="15" customHeight="1">
      <c r="A170" s="200">
        <v>28</v>
      </c>
      <c r="B170" s="59">
        <v>4</v>
      </c>
    </row>
    <row r="171" spans="1:2" ht="15" customHeight="1">
      <c r="A171" s="200">
        <v>28</v>
      </c>
      <c r="B171" s="59">
        <v>5</v>
      </c>
    </row>
    <row r="172" spans="1:2" ht="15" customHeight="1">
      <c r="A172" s="202">
        <v>28</v>
      </c>
      <c r="B172" s="203">
        <v>6</v>
      </c>
    </row>
    <row r="173" spans="1:2" ht="15" customHeight="1">
      <c r="A173" s="205">
        <v>29</v>
      </c>
      <c r="B173" s="59">
        <v>1</v>
      </c>
    </row>
    <row r="174" spans="1:2" ht="15" customHeight="1">
      <c r="A174" s="205">
        <v>29</v>
      </c>
      <c r="B174" s="59">
        <v>2</v>
      </c>
    </row>
    <row r="175" spans="1:2" ht="15" customHeight="1">
      <c r="A175" s="205">
        <v>29</v>
      </c>
      <c r="B175" s="59">
        <v>3</v>
      </c>
    </row>
    <row r="176" spans="1:2" ht="15" customHeight="1">
      <c r="A176" s="205">
        <v>29</v>
      </c>
      <c r="B176" s="59">
        <v>4</v>
      </c>
    </row>
    <row r="177" spans="1:28" ht="15" customHeight="1">
      <c r="A177" s="205">
        <v>29</v>
      </c>
      <c r="B177" s="59">
        <v>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28" ht="15" customHeight="1">
      <c r="A178" s="201">
        <v>30</v>
      </c>
      <c r="B178" s="58">
        <v>1</v>
      </c>
      <c r="C178" s="206">
        <v>172.2</v>
      </c>
      <c r="D178" s="206">
        <v>164.08</v>
      </c>
      <c r="E178" s="206">
        <v>166.79</v>
      </c>
      <c r="F178" s="206">
        <v>149.46</v>
      </c>
      <c r="G178" s="206">
        <v>114.8</v>
      </c>
      <c r="H178" s="206">
        <v>72.02</v>
      </c>
      <c r="I178" s="206">
        <v>53.07</v>
      </c>
      <c r="J178" s="206">
        <v>46.03</v>
      </c>
      <c r="K178" s="206">
        <v>40.07</v>
      </c>
      <c r="L178" s="206">
        <v>36.28</v>
      </c>
      <c r="M178" s="206">
        <v>30.32</v>
      </c>
      <c r="N178" s="206">
        <v>24.91</v>
      </c>
      <c r="O178" s="207">
        <v>17.329999999999998</v>
      </c>
      <c r="P178" s="2"/>
    </row>
    <row r="179" spans="1:28" ht="15" customHeight="1">
      <c r="A179" s="200">
        <v>30</v>
      </c>
      <c r="B179" s="59">
        <v>2</v>
      </c>
      <c r="C179" s="2">
        <v>237.18</v>
      </c>
      <c r="D179" s="2">
        <v>237.18</v>
      </c>
      <c r="E179" s="2">
        <v>252.35</v>
      </c>
      <c r="F179" s="2">
        <v>235.56</v>
      </c>
      <c r="G179" s="2">
        <v>187.36</v>
      </c>
      <c r="H179" s="2">
        <v>150</v>
      </c>
      <c r="I179" s="2">
        <v>148.38</v>
      </c>
      <c r="J179" s="2">
        <v>145.13</v>
      </c>
      <c r="K179" s="2">
        <v>136.46</v>
      </c>
      <c r="L179" s="2">
        <v>131.05000000000001</v>
      </c>
      <c r="M179" s="2">
        <v>119.68</v>
      </c>
      <c r="N179" s="2">
        <v>104.51</v>
      </c>
      <c r="O179" s="208">
        <v>87.18</v>
      </c>
      <c r="P179" s="2"/>
    </row>
    <row r="180" spans="1:28" ht="15" customHeight="1">
      <c r="A180" s="202">
        <v>30</v>
      </c>
      <c r="B180" s="203">
        <v>3</v>
      </c>
      <c r="C180" s="30">
        <v>224.19</v>
      </c>
      <c r="D180" s="30">
        <v>227.44</v>
      </c>
      <c r="E180" s="30">
        <v>244.77</v>
      </c>
      <c r="F180" s="30">
        <v>232.85</v>
      </c>
      <c r="G180" s="30">
        <v>194.95</v>
      </c>
      <c r="H180" s="30">
        <v>165.7</v>
      </c>
      <c r="I180" s="30">
        <v>168.95</v>
      </c>
      <c r="J180" s="30">
        <v>164.08</v>
      </c>
      <c r="K180" s="30">
        <v>160.83000000000001</v>
      </c>
      <c r="L180" s="30">
        <v>153.79</v>
      </c>
      <c r="M180" s="30">
        <v>141.88</v>
      </c>
      <c r="N180" s="30">
        <v>124.55</v>
      </c>
      <c r="O180" s="209">
        <v>103.43</v>
      </c>
      <c r="P180" s="2"/>
    </row>
    <row r="181" spans="1:28" ht="15" customHeight="1">
      <c r="A181" s="200">
        <v>31</v>
      </c>
      <c r="B181" s="59">
        <v>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28" ht="15" customHeight="1">
      <c r="A182" s="200">
        <v>31</v>
      </c>
      <c r="B182" s="59">
        <v>2</v>
      </c>
    </row>
    <row r="183" spans="1:28" ht="15" customHeight="1">
      <c r="A183" s="200">
        <v>31</v>
      </c>
      <c r="B183" s="59">
        <v>3</v>
      </c>
    </row>
    <row r="184" spans="1:28" ht="15" customHeight="1">
      <c r="A184" s="200">
        <v>31</v>
      </c>
      <c r="B184" s="59">
        <v>4</v>
      </c>
    </row>
    <row r="185" spans="1:28" ht="15" customHeight="1">
      <c r="A185" s="200">
        <v>31</v>
      </c>
      <c r="B185" s="59">
        <v>5</v>
      </c>
      <c r="C185" s="2"/>
      <c r="D185" s="2"/>
      <c r="E185" s="2"/>
      <c r="F185" s="2"/>
      <c r="G185" s="2"/>
      <c r="H185" s="2"/>
      <c r="I185" s="2"/>
      <c r="J185" s="2"/>
    </row>
    <row r="186" spans="1:28" ht="15" customHeight="1">
      <c r="A186" s="177">
        <v>32</v>
      </c>
      <c r="B186" s="178">
        <v>1</v>
      </c>
      <c r="C186" s="206"/>
      <c r="D186" s="206"/>
      <c r="E186" s="206"/>
      <c r="F186" s="206"/>
      <c r="G186" s="346">
        <v>157.6</v>
      </c>
      <c r="H186" s="206"/>
      <c r="I186" s="206"/>
      <c r="J186" s="207"/>
      <c r="K186" s="2"/>
    </row>
    <row r="187" spans="1:28" ht="15" customHeight="1">
      <c r="A187" s="174">
        <v>32</v>
      </c>
      <c r="B187" s="179">
        <v>2</v>
      </c>
      <c r="C187" s="2">
        <v>130.548</v>
      </c>
      <c r="D187" s="2">
        <v>130.548</v>
      </c>
      <c r="E187" s="2">
        <v>156.28299999999999</v>
      </c>
      <c r="F187" s="2">
        <v>196.72499999999999</v>
      </c>
      <c r="G187" s="2">
        <v>233.155</v>
      </c>
      <c r="H187" s="2">
        <v>70.721999999999994</v>
      </c>
      <c r="I187" s="2">
        <v>52.673999999999999</v>
      </c>
      <c r="J187" s="208">
        <v>62.366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8" ht="15" customHeight="1">
      <c r="A188" s="201">
        <v>33</v>
      </c>
      <c r="B188" s="178">
        <v>1</v>
      </c>
      <c r="C188" s="206">
        <v>2.7909999999999999</v>
      </c>
      <c r="D188" s="206">
        <v>6.415</v>
      </c>
      <c r="E188" s="206">
        <v>13.795999999999999</v>
      </c>
      <c r="F188" s="206">
        <v>27.757000000000001</v>
      </c>
      <c r="G188" s="206">
        <v>45.734000000000002</v>
      </c>
      <c r="H188" s="206">
        <v>80.542000000000002</v>
      </c>
      <c r="I188" s="206">
        <v>120.093</v>
      </c>
      <c r="J188" s="206">
        <v>185.12700000000001</v>
      </c>
      <c r="K188" s="206">
        <v>295.03899999999999</v>
      </c>
      <c r="L188" s="206">
        <v>439.92</v>
      </c>
      <c r="M188" s="206">
        <v>678.149</v>
      </c>
      <c r="N188" s="206">
        <v>1011.159</v>
      </c>
      <c r="O188" s="206">
        <v>1507.694</v>
      </c>
      <c r="P188" s="206">
        <v>2174.4499999999998</v>
      </c>
      <c r="Q188" s="206">
        <v>3242.2269999999999</v>
      </c>
      <c r="R188" s="206">
        <v>4834.3419999999996</v>
      </c>
      <c r="S188" s="206">
        <v>6523.1570000000002</v>
      </c>
      <c r="T188" s="206">
        <v>9407.9279999999999</v>
      </c>
      <c r="U188" s="206">
        <v>13124.183000000001</v>
      </c>
      <c r="V188" s="206">
        <v>17129.116000000002</v>
      </c>
      <c r="W188" s="206">
        <v>23112.952000000001</v>
      </c>
      <c r="X188" s="206">
        <v>30166.024000000001</v>
      </c>
      <c r="Y188" s="206">
        <v>44979.233</v>
      </c>
      <c r="Z188" s="206">
        <v>56782.807999999997</v>
      </c>
      <c r="AA188" s="207">
        <v>81894.175000000003</v>
      </c>
      <c r="AB188" s="2"/>
    </row>
    <row r="189" spans="1:28" ht="15" customHeight="1">
      <c r="A189" s="200">
        <v>33</v>
      </c>
      <c r="B189" s="179">
        <v>2</v>
      </c>
      <c r="C189" s="2">
        <v>12.076000000000001</v>
      </c>
      <c r="D189" s="2">
        <v>28.696999999999999</v>
      </c>
      <c r="E189" s="2">
        <v>65.959000000000003</v>
      </c>
      <c r="F189" s="2">
        <v>132.70599999999999</v>
      </c>
      <c r="G189" s="2">
        <v>258.255</v>
      </c>
      <c r="H189" s="2">
        <v>398.10700000000003</v>
      </c>
      <c r="I189" s="2">
        <v>678.149</v>
      </c>
      <c r="J189" s="2">
        <v>1045.3869999999999</v>
      </c>
      <c r="K189" s="2">
        <v>1666.0450000000001</v>
      </c>
      <c r="L189" s="2">
        <v>2484.1669999999999</v>
      </c>
      <c r="M189" s="2">
        <v>3582.7530000000002</v>
      </c>
      <c r="N189" s="2">
        <v>4997.9880000000003</v>
      </c>
      <c r="O189" s="2">
        <v>7208.2749999999996</v>
      </c>
      <c r="P189" s="2">
        <v>10396.029</v>
      </c>
      <c r="Q189" s="2">
        <v>13124.183000000001</v>
      </c>
      <c r="R189" s="2">
        <v>17129.116000000002</v>
      </c>
      <c r="S189" s="2">
        <v>21624.186000000002</v>
      </c>
      <c r="T189" s="2">
        <v>29178.316999999999</v>
      </c>
      <c r="U189" s="2">
        <v>36835.372000000003</v>
      </c>
      <c r="V189" s="2">
        <v>43506.506999999998</v>
      </c>
      <c r="W189" s="2">
        <v>43506.506999999998</v>
      </c>
      <c r="X189" s="2">
        <v>71683.91</v>
      </c>
      <c r="Y189" s="2">
        <v>71683.91</v>
      </c>
      <c r="Z189" s="2">
        <v>90495.4</v>
      </c>
      <c r="AA189" s="208">
        <v>106884.73</v>
      </c>
      <c r="AB189" s="2"/>
    </row>
    <row r="190" spans="1:28" ht="15" customHeight="1">
      <c r="A190" s="200">
        <v>33</v>
      </c>
      <c r="B190" s="179">
        <v>3</v>
      </c>
      <c r="C190" s="2">
        <v>16.295000000000002</v>
      </c>
      <c r="D190" s="2">
        <v>40.031999999999996</v>
      </c>
      <c r="E190" s="2">
        <v>95.129000000000005</v>
      </c>
      <c r="F190" s="2">
        <v>179.066</v>
      </c>
      <c r="G190" s="2">
        <v>326.02699999999999</v>
      </c>
      <c r="H190" s="2">
        <v>593.6</v>
      </c>
      <c r="I190" s="2">
        <v>1011.159</v>
      </c>
      <c r="J190" s="2">
        <v>1507.694</v>
      </c>
      <c r="K190" s="2">
        <v>2402.8290000000002</v>
      </c>
      <c r="L190" s="2">
        <v>3582.7530000000002</v>
      </c>
      <c r="M190" s="2">
        <v>5167.1729999999998</v>
      </c>
      <c r="N190" s="2">
        <v>7452.28</v>
      </c>
      <c r="O190" s="2">
        <v>10747.941999999999</v>
      </c>
      <c r="P190" s="2">
        <v>14502.597</v>
      </c>
      <c r="Q190" s="2">
        <v>18308.409</v>
      </c>
      <c r="R190" s="2">
        <v>28222.95</v>
      </c>
      <c r="S190" s="2">
        <v>35629.294999999998</v>
      </c>
      <c r="T190" s="2">
        <v>36835.372000000003</v>
      </c>
      <c r="U190" s="2">
        <v>42082.000999999997</v>
      </c>
      <c r="V190" s="2">
        <v>64870.642</v>
      </c>
      <c r="W190" s="2">
        <v>74110.462</v>
      </c>
      <c r="X190" s="2">
        <v>74110.462</v>
      </c>
      <c r="Y190" s="2">
        <v>84666.350999999995</v>
      </c>
      <c r="Z190" s="2">
        <v>90495.4</v>
      </c>
      <c r="AA190" s="208">
        <v>90495.4</v>
      </c>
      <c r="AB190" s="2"/>
    </row>
    <row r="191" spans="1:28" ht="15" customHeight="1">
      <c r="A191" s="200">
        <v>33</v>
      </c>
      <c r="B191" s="179">
        <v>4</v>
      </c>
      <c r="C191" s="2">
        <v>537.18100000000004</v>
      </c>
      <c r="D191" s="2">
        <v>749.37400000000002</v>
      </c>
      <c r="E191" s="2">
        <v>1011.159</v>
      </c>
      <c r="F191" s="2">
        <v>1194.2860000000001</v>
      </c>
      <c r="G191" s="2">
        <v>1558.731</v>
      </c>
      <c r="H191" s="2">
        <v>2034.3879999999999</v>
      </c>
      <c r="I191" s="2">
        <v>2568.2570000000001</v>
      </c>
      <c r="J191" s="2">
        <v>3582.7530000000002</v>
      </c>
      <c r="K191" s="2">
        <v>4676.0540000000001</v>
      </c>
      <c r="L191" s="2">
        <v>6309.5730000000003</v>
      </c>
      <c r="M191" s="2">
        <v>8801.9380000000001</v>
      </c>
      <c r="N191" s="2">
        <v>11111.767</v>
      </c>
      <c r="O191" s="2">
        <v>16025.784</v>
      </c>
      <c r="P191" s="2">
        <v>21624.186000000002</v>
      </c>
      <c r="Q191" s="2">
        <v>26405.035</v>
      </c>
      <c r="R191" s="2">
        <v>36835.372000000003</v>
      </c>
      <c r="S191" s="2">
        <v>46501.811999999998</v>
      </c>
      <c r="T191" s="2">
        <v>53125.277000000002</v>
      </c>
      <c r="U191" s="2">
        <v>58704.947</v>
      </c>
      <c r="V191" s="2">
        <v>87532.366999999998</v>
      </c>
      <c r="W191" s="2">
        <v>96725.763999999996</v>
      </c>
      <c r="X191" s="30">
        <v>110502.85400000001</v>
      </c>
      <c r="Y191" s="30">
        <v>139501.31899999999</v>
      </c>
      <c r="Z191" s="30">
        <v>159371.125</v>
      </c>
      <c r="AA191" s="209">
        <v>229850.67499999999</v>
      </c>
      <c r="AB191" s="2"/>
    </row>
    <row r="192" spans="1:28" ht="15" customHeight="1">
      <c r="A192" s="177">
        <v>34</v>
      </c>
      <c r="B192" s="178">
        <v>1</v>
      </c>
      <c r="C192" s="206">
        <v>83.941000000000003</v>
      </c>
      <c r="D192" s="206">
        <v>120.746</v>
      </c>
      <c r="E192" s="206">
        <v>185.78299999999999</v>
      </c>
      <c r="F192" s="206">
        <v>267.23899999999998</v>
      </c>
      <c r="G192" s="206">
        <v>411.18299999999999</v>
      </c>
      <c r="H192" s="206">
        <v>632.65899999999999</v>
      </c>
      <c r="I192" s="206">
        <v>960.40899999999999</v>
      </c>
      <c r="J192" s="206">
        <v>1419.21</v>
      </c>
      <c r="K192" s="206">
        <v>2154.4349999999999</v>
      </c>
      <c r="L192" s="206">
        <v>3270.5430000000001</v>
      </c>
      <c r="M192" s="206">
        <v>4768.2889999999998</v>
      </c>
      <c r="N192" s="206">
        <v>7046.1719999999996</v>
      </c>
      <c r="O192" s="206">
        <v>9734.2860000000001</v>
      </c>
      <c r="P192" s="206">
        <v>14002.281999999999</v>
      </c>
      <c r="Q192" s="206">
        <v>18329.807000000001</v>
      </c>
      <c r="R192" s="206">
        <v>24320.075000000001</v>
      </c>
      <c r="S192" s="206">
        <v>30575.960999999999</v>
      </c>
      <c r="T192" s="206">
        <v>38441.057000000001</v>
      </c>
      <c r="U192" s="206">
        <v>45182.552000000003</v>
      </c>
      <c r="V192" s="207">
        <v>51003.777000000002</v>
      </c>
      <c r="W192" s="206"/>
      <c r="X192" s="2"/>
      <c r="Y192" s="2"/>
      <c r="Z192" s="2"/>
      <c r="AA192" s="2"/>
    </row>
    <row r="193" spans="1:24" ht="15" customHeight="1">
      <c r="A193" s="174">
        <v>34</v>
      </c>
      <c r="B193" s="179">
        <v>2</v>
      </c>
      <c r="C193" s="2">
        <v>129.518</v>
      </c>
      <c r="D193" s="2">
        <v>179.80199999999999</v>
      </c>
      <c r="E193" s="2">
        <v>255.988</v>
      </c>
      <c r="F193" s="2">
        <v>369.08199999999999</v>
      </c>
      <c r="G193" s="2">
        <v>545.74099999999999</v>
      </c>
      <c r="H193" s="2">
        <v>796.83799999999997</v>
      </c>
      <c r="I193" s="2">
        <v>1239.2260000000001</v>
      </c>
      <c r="J193" s="2">
        <v>1855.6379999999999</v>
      </c>
      <c r="K193" s="2">
        <v>2709.422</v>
      </c>
      <c r="L193" s="2">
        <v>3761.3389999999999</v>
      </c>
      <c r="M193" s="2">
        <v>5156.1880000000001</v>
      </c>
      <c r="N193" s="2">
        <v>7068.3019999999997</v>
      </c>
      <c r="O193" s="2">
        <v>8649.4060000000009</v>
      </c>
      <c r="P193" s="2">
        <v>9937.1139999999996</v>
      </c>
      <c r="Q193" s="2">
        <v>10992.485000000001</v>
      </c>
      <c r="R193" s="2">
        <v>11856.939</v>
      </c>
      <c r="S193" s="2">
        <v>12789.375</v>
      </c>
      <c r="T193" s="2">
        <v>14327.300999999999</v>
      </c>
      <c r="U193" s="2">
        <v>14509.212</v>
      </c>
      <c r="V193" s="208">
        <v>14693.433000000001</v>
      </c>
      <c r="W193" s="2"/>
      <c r="X193" s="2"/>
    </row>
    <row r="194" spans="1:24" ht="15" customHeight="1">
      <c r="A194" s="174">
        <v>34</v>
      </c>
      <c r="B194" s="179">
        <v>3</v>
      </c>
      <c r="C194" s="2">
        <v>212.67099999999999</v>
      </c>
      <c r="D194" s="2">
        <v>286.48599999999999</v>
      </c>
      <c r="E194" s="2">
        <v>401.21300000000002</v>
      </c>
      <c r="F194" s="2">
        <v>576.63400000000001</v>
      </c>
      <c r="G194" s="2">
        <v>786.90300000000002</v>
      </c>
      <c r="H194" s="2">
        <v>1160.6400000000001</v>
      </c>
      <c r="I194" s="2">
        <v>1689.85</v>
      </c>
      <c r="J194" s="2">
        <v>2366.5790000000002</v>
      </c>
      <c r="K194" s="2">
        <v>3445.652</v>
      </c>
      <c r="L194" s="2">
        <v>4952.1760000000004</v>
      </c>
      <c r="M194" s="2">
        <v>6935.3590000000004</v>
      </c>
      <c r="N194" s="2">
        <v>9464.3330000000005</v>
      </c>
      <c r="O194" s="2">
        <v>12423.2</v>
      </c>
      <c r="P194" s="2">
        <v>16097.226000000001</v>
      </c>
      <c r="Q194" s="2">
        <v>19804.556</v>
      </c>
      <c r="R194" s="2">
        <v>25005.235000000001</v>
      </c>
      <c r="S194" s="2">
        <v>30764.155999999999</v>
      </c>
      <c r="T194" s="2">
        <v>32822.707000000002</v>
      </c>
      <c r="U194" s="2">
        <v>37362.264999999999</v>
      </c>
      <c r="V194" s="208"/>
      <c r="W194" s="2"/>
      <c r="X194" s="2"/>
    </row>
    <row r="195" spans="1:24" ht="15" customHeight="1">
      <c r="A195" s="175">
        <v>34</v>
      </c>
      <c r="B195" s="180">
        <v>4</v>
      </c>
      <c r="C195" s="30">
        <v>1948.645</v>
      </c>
      <c r="D195" s="30">
        <v>2133.605</v>
      </c>
      <c r="E195" s="30">
        <v>2428.694</v>
      </c>
      <c r="F195" s="30">
        <v>2693.8890000000001</v>
      </c>
      <c r="G195" s="30">
        <v>3027.002</v>
      </c>
      <c r="H195" s="30">
        <v>3490.578</v>
      </c>
      <c r="I195" s="30">
        <v>3922.2049999999999</v>
      </c>
      <c r="J195" s="30">
        <v>4464.6670000000004</v>
      </c>
      <c r="K195" s="30">
        <v>5148.4170000000004</v>
      </c>
      <c r="L195" s="30">
        <v>5785.0429999999997</v>
      </c>
      <c r="M195" s="30">
        <v>6500.3919999999998</v>
      </c>
      <c r="N195" s="30">
        <v>7304.1959999999999</v>
      </c>
      <c r="O195" s="30">
        <v>8101.7619999999997</v>
      </c>
      <c r="P195" s="30">
        <v>9342.5220000000008</v>
      </c>
      <c r="Q195" s="30">
        <v>10634.643</v>
      </c>
      <c r="R195" s="30">
        <v>11494.184999999999</v>
      </c>
      <c r="S195" s="30">
        <v>12585.178</v>
      </c>
      <c r="T195" s="30">
        <v>14141.395</v>
      </c>
      <c r="U195" s="30">
        <v>15685.534</v>
      </c>
      <c r="V195" s="209">
        <v>30368.205000000002</v>
      </c>
      <c r="W195" s="2"/>
      <c r="X195" s="2"/>
    </row>
    <row r="196" spans="1:24" ht="15" customHeight="1">
      <c r="A196" s="205">
        <v>35</v>
      </c>
      <c r="B196" s="59">
        <v>1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4" ht="15" customHeight="1">
      <c r="A197" s="205">
        <v>35</v>
      </c>
      <c r="B197" s="59">
        <v>2</v>
      </c>
    </row>
    <row r="198" spans="1:24" ht="15" customHeight="1">
      <c r="A198" s="205">
        <v>35</v>
      </c>
      <c r="B198" s="59">
        <v>3</v>
      </c>
    </row>
    <row r="199" spans="1:24" ht="15" customHeight="1">
      <c r="A199" s="213">
        <v>35</v>
      </c>
      <c r="B199" s="203">
        <v>4</v>
      </c>
    </row>
    <row r="200" spans="1:24" ht="15" customHeight="1">
      <c r="A200" s="205">
        <v>36</v>
      </c>
      <c r="B200" s="59">
        <v>1</v>
      </c>
    </row>
    <row r="201" spans="1:24" ht="15" customHeight="1">
      <c r="A201" s="205">
        <v>36</v>
      </c>
      <c r="B201" s="59">
        <v>2</v>
      </c>
    </row>
    <row r="202" spans="1:24" ht="15" customHeight="1">
      <c r="A202" s="205">
        <v>36</v>
      </c>
      <c r="B202" s="59">
        <v>3</v>
      </c>
    </row>
    <row r="203" spans="1:24" ht="15" customHeight="1">
      <c r="A203" s="213">
        <v>36</v>
      </c>
      <c r="B203" s="203">
        <v>4</v>
      </c>
    </row>
    <row r="204" spans="1:24" ht="15" customHeight="1">
      <c r="A204" s="205">
        <v>37</v>
      </c>
      <c r="B204" s="179">
        <v>1</v>
      </c>
    </row>
    <row r="205" spans="1:24" ht="15" customHeight="1">
      <c r="A205" s="205">
        <v>37</v>
      </c>
      <c r="B205" s="179">
        <v>2</v>
      </c>
    </row>
    <row r="206" spans="1:24" ht="15" customHeight="1">
      <c r="A206" s="205">
        <v>37</v>
      </c>
      <c r="B206" s="179">
        <v>3</v>
      </c>
    </row>
    <row r="207" spans="1:24" ht="15" customHeight="1">
      <c r="A207" s="205">
        <v>37</v>
      </c>
      <c r="B207" s="179">
        <v>4</v>
      </c>
    </row>
    <row r="208" spans="1:24" ht="15" customHeight="1">
      <c r="A208" s="205">
        <v>37</v>
      </c>
      <c r="B208" s="179">
        <v>5</v>
      </c>
    </row>
    <row r="209" spans="1:2" ht="15" customHeight="1">
      <c r="A209" s="205">
        <v>37</v>
      </c>
      <c r="B209" s="179">
        <v>6</v>
      </c>
    </row>
    <row r="210" spans="1:2" ht="15" customHeight="1">
      <c r="A210" s="213">
        <v>37</v>
      </c>
      <c r="B210" s="180">
        <v>7</v>
      </c>
    </row>
    <row r="211" spans="1:2" ht="15" customHeight="1">
      <c r="A211" s="201">
        <v>38</v>
      </c>
      <c r="B211" s="58">
        <v>1</v>
      </c>
    </row>
    <row r="212" spans="1:2" ht="15" customHeight="1">
      <c r="A212" s="200">
        <v>38</v>
      </c>
      <c r="B212" s="59">
        <v>2</v>
      </c>
    </row>
    <row r="213" spans="1:2" ht="15" customHeight="1">
      <c r="A213" s="200">
        <v>38</v>
      </c>
      <c r="B213" s="59">
        <v>3</v>
      </c>
    </row>
    <row r="214" spans="1:2" ht="15" customHeight="1">
      <c r="A214" s="200">
        <v>38</v>
      </c>
      <c r="B214" s="59">
        <v>4</v>
      </c>
    </row>
    <row r="215" spans="1:2" ht="15" customHeight="1">
      <c r="A215" s="200">
        <v>38</v>
      </c>
      <c r="B215" s="59">
        <v>5</v>
      </c>
    </row>
    <row r="216" spans="1:2" ht="15" customHeight="1">
      <c r="A216" s="200">
        <v>38</v>
      </c>
      <c r="B216" s="59">
        <v>6</v>
      </c>
    </row>
    <row r="217" spans="1:2" ht="15" customHeight="1">
      <c r="A217" s="201">
        <v>39</v>
      </c>
      <c r="B217" s="58">
        <v>1</v>
      </c>
    </row>
    <row r="218" spans="1:2" ht="15" customHeight="1">
      <c r="A218" s="200">
        <v>39</v>
      </c>
      <c r="B218" s="59">
        <v>2</v>
      </c>
    </row>
    <row r="219" spans="1:2" ht="15" customHeight="1">
      <c r="A219" s="200">
        <v>39</v>
      </c>
      <c r="B219" s="59">
        <v>3</v>
      </c>
    </row>
    <row r="220" spans="1:2" ht="15" customHeight="1">
      <c r="A220" s="200">
        <v>39</v>
      </c>
      <c r="B220" s="59">
        <v>4</v>
      </c>
    </row>
    <row r="221" spans="1:2" ht="15" customHeight="1">
      <c r="A221" s="200">
        <v>39</v>
      </c>
      <c r="B221" s="59">
        <v>5</v>
      </c>
    </row>
    <row r="222" spans="1:2" ht="15" customHeight="1">
      <c r="A222" s="200">
        <v>39</v>
      </c>
      <c r="B222" s="59">
        <v>6</v>
      </c>
    </row>
    <row r="223" spans="1:2" ht="15" customHeight="1">
      <c r="A223" s="200">
        <v>39</v>
      </c>
      <c r="B223" s="59">
        <v>7</v>
      </c>
    </row>
    <row r="224" spans="1:2" ht="15" customHeight="1">
      <c r="A224" s="200">
        <v>39</v>
      </c>
      <c r="B224" s="59">
        <v>8</v>
      </c>
    </row>
    <row r="225" spans="1:27" ht="15" customHeight="1">
      <c r="A225" s="177">
        <v>41</v>
      </c>
      <c r="B225" s="178">
        <v>1</v>
      </c>
      <c r="C225" s="206">
        <v>16.030999999999999</v>
      </c>
      <c r="D225" s="206">
        <v>18.495999999999999</v>
      </c>
      <c r="E225" s="206">
        <v>23.587</v>
      </c>
      <c r="F225" s="206">
        <v>33.725000000000001</v>
      </c>
      <c r="G225" s="206">
        <v>49.619</v>
      </c>
      <c r="H225" s="206">
        <v>69.938999999999993</v>
      </c>
      <c r="I225" s="206">
        <v>100</v>
      </c>
      <c r="J225" s="206">
        <v>145.041</v>
      </c>
      <c r="K225" s="206">
        <v>201.53399999999999</v>
      </c>
      <c r="L225" s="206">
        <v>284.06400000000002</v>
      </c>
      <c r="M225" s="206">
        <v>394.70600000000002</v>
      </c>
      <c r="N225" s="206">
        <v>548.44200000000001</v>
      </c>
      <c r="O225" s="206">
        <v>762.05700000000002</v>
      </c>
      <c r="P225" s="206">
        <v>1074.1279999999999</v>
      </c>
      <c r="Q225" s="206">
        <v>1471.3019999999999</v>
      </c>
      <c r="R225" s="206">
        <v>1958.509</v>
      </c>
      <c r="S225" s="206">
        <v>2760.538</v>
      </c>
      <c r="T225" s="206">
        <v>3727.5940000000001</v>
      </c>
      <c r="U225" s="206">
        <v>5105.9260000000004</v>
      </c>
      <c r="V225" s="206">
        <v>6700.1880000000001</v>
      </c>
      <c r="W225" s="206">
        <v>9047.357</v>
      </c>
      <c r="X225" s="206">
        <v>11703.695</v>
      </c>
      <c r="Y225" s="206">
        <v>15358.026</v>
      </c>
      <c r="Z225" s="207">
        <v>17719.326000000001</v>
      </c>
      <c r="AA225" s="2"/>
    </row>
    <row r="226" spans="1:27" ht="15" customHeight="1">
      <c r="A226" s="174">
        <v>41</v>
      </c>
      <c r="B226" s="179">
        <v>2</v>
      </c>
      <c r="C226" s="2">
        <v>102.902</v>
      </c>
      <c r="D226" s="2">
        <v>151.399</v>
      </c>
      <c r="E226" s="2">
        <v>213.399</v>
      </c>
      <c r="F226" s="2">
        <v>305.12099999999998</v>
      </c>
      <c r="G226" s="2">
        <v>436.26600000000002</v>
      </c>
      <c r="H226" s="2">
        <v>597.58199999999999</v>
      </c>
      <c r="I226" s="2">
        <v>806.923</v>
      </c>
      <c r="J226" s="2">
        <v>1153.75</v>
      </c>
      <c r="K226" s="2">
        <v>1513.9939999999999</v>
      </c>
      <c r="L226" s="2">
        <v>2015.338</v>
      </c>
      <c r="M226" s="2">
        <v>2682.6959999999999</v>
      </c>
      <c r="N226" s="2">
        <v>3520.3339999999998</v>
      </c>
      <c r="O226" s="2">
        <v>4553.9170000000004</v>
      </c>
      <c r="P226" s="2">
        <v>6061.8990000000003</v>
      </c>
      <c r="Q226" s="2">
        <v>8069.2340000000004</v>
      </c>
      <c r="R226" s="2">
        <v>10588.751</v>
      </c>
      <c r="S226" s="2">
        <v>13503.14</v>
      </c>
      <c r="T226" s="2">
        <v>17719.326000000001</v>
      </c>
      <c r="U226" s="2">
        <v>22596.296999999999</v>
      </c>
      <c r="V226" s="2">
        <v>28406.397000000001</v>
      </c>
      <c r="W226" s="2">
        <v>35710.425999999999</v>
      </c>
      <c r="X226" s="2">
        <v>45539.167999999998</v>
      </c>
      <c r="Y226" s="2">
        <v>55634.17</v>
      </c>
      <c r="Z226" s="208">
        <v>61492.178</v>
      </c>
      <c r="AA226" s="2"/>
    </row>
    <row r="227" spans="1:27" ht="15" customHeight="1">
      <c r="A227" s="174">
        <v>41</v>
      </c>
      <c r="B227" s="179">
        <v>3</v>
      </c>
      <c r="C227" s="2">
        <v>1014.405</v>
      </c>
      <c r="D227" s="2">
        <v>1239.2750000000001</v>
      </c>
      <c r="E227" s="2">
        <v>1513.9939999999999</v>
      </c>
      <c r="F227" s="2">
        <v>1797.4559999999999</v>
      </c>
      <c r="G227" s="2">
        <v>2259.63</v>
      </c>
      <c r="H227" s="2">
        <v>3051.21</v>
      </c>
      <c r="I227" s="2">
        <v>3891.0079999999998</v>
      </c>
      <c r="J227" s="2">
        <v>5033.4219999999996</v>
      </c>
      <c r="K227" s="2">
        <v>6418.7939999999999</v>
      </c>
      <c r="L227" s="2">
        <v>8069.2340000000004</v>
      </c>
      <c r="M227" s="2">
        <v>10438.391</v>
      </c>
      <c r="N227" s="2">
        <v>13122.374</v>
      </c>
      <c r="O227" s="2">
        <v>16734.105</v>
      </c>
      <c r="P227" s="2">
        <v>20738.157999999999</v>
      </c>
      <c r="Q227" s="2">
        <v>26826.957999999999</v>
      </c>
      <c r="R227" s="2">
        <v>34210.663</v>
      </c>
      <c r="S227" s="2">
        <v>43007.120999999999</v>
      </c>
      <c r="T227" s="2">
        <v>54065.379000000001</v>
      </c>
      <c r="U227" s="2">
        <v>67001.875</v>
      </c>
      <c r="V227" s="2">
        <v>77303.429000000004</v>
      </c>
      <c r="W227" s="2">
        <v>87922.369000000006</v>
      </c>
      <c r="X227" s="2">
        <v>105887.50599999999</v>
      </c>
      <c r="Y227" s="2">
        <v>133113.96</v>
      </c>
      <c r="Z227" s="208">
        <v>210368.818</v>
      </c>
      <c r="AA227" s="2"/>
    </row>
    <row r="228" spans="1:27" ht="15" customHeight="1">
      <c r="A228" s="174">
        <v>41</v>
      </c>
      <c r="B228" s="179">
        <v>4</v>
      </c>
      <c r="C228" s="2">
        <v>10144.045</v>
      </c>
      <c r="D228" s="2">
        <v>10290.165999999999</v>
      </c>
      <c r="E228" s="2">
        <v>10588.751</v>
      </c>
      <c r="F228" s="2">
        <v>10896</v>
      </c>
      <c r="G228" s="2">
        <v>11052.950999999999</v>
      </c>
      <c r="H228" s="2">
        <v>11703.695</v>
      </c>
      <c r="I228" s="2">
        <v>12216.772999999999</v>
      </c>
      <c r="J228" s="2">
        <v>12936.037</v>
      </c>
      <c r="K228" s="2">
        <v>14095.105</v>
      </c>
      <c r="L228" s="2">
        <v>15358.026</v>
      </c>
      <c r="M228" s="2">
        <v>17467.712</v>
      </c>
      <c r="N228" s="2">
        <v>19585.084999999999</v>
      </c>
      <c r="O228" s="2">
        <v>22596.296999999999</v>
      </c>
      <c r="P228" s="2">
        <v>27213.387999999999</v>
      </c>
      <c r="Q228" s="2">
        <v>30951.609</v>
      </c>
      <c r="R228" s="2">
        <v>35203.338000000003</v>
      </c>
      <c r="S228" s="2">
        <v>42396.421000000002</v>
      </c>
      <c r="T228" s="2">
        <v>51794.747000000003</v>
      </c>
      <c r="U228" s="2">
        <v>62377.944000000003</v>
      </c>
      <c r="V228" s="2">
        <v>71968.566999999995</v>
      </c>
      <c r="W228" s="2">
        <v>85443.104000000007</v>
      </c>
      <c r="X228" s="2">
        <v>105887.50599999999</v>
      </c>
      <c r="Y228" s="2">
        <v>133113.96</v>
      </c>
      <c r="Z228" s="208">
        <v>195850.85200000001</v>
      </c>
      <c r="AA228" s="2"/>
    </row>
    <row r="229" spans="1:27" ht="15" customHeight="1">
      <c r="A229" s="174">
        <v>41</v>
      </c>
      <c r="B229" s="179">
        <v>5</v>
      </c>
      <c r="C229" s="2">
        <v>23926.654999999999</v>
      </c>
      <c r="D229" s="2">
        <v>22596.296999999999</v>
      </c>
      <c r="E229" s="2">
        <v>21339.907999999999</v>
      </c>
      <c r="F229" s="2">
        <v>21339.907999999999</v>
      </c>
      <c r="G229" s="2">
        <v>21339.907999999999</v>
      </c>
      <c r="H229" s="2">
        <v>20443.677</v>
      </c>
      <c r="I229" s="2">
        <v>22596.296999999999</v>
      </c>
      <c r="J229" s="2">
        <v>22596.296999999999</v>
      </c>
      <c r="K229" s="2">
        <v>22921.786</v>
      </c>
      <c r="L229" s="2">
        <v>24620.923999999999</v>
      </c>
      <c r="M229" s="2">
        <v>27213.387999999999</v>
      </c>
      <c r="N229" s="2">
        <v>29230.651999999998</v>
      </c>
      <c r="O229" s="2">
        <v>33245.978999999999</v>
      </c>
      <c r="P229" s="2">
        <v>36746.618999999999</v>
      </c>
      <c r="Q229" s="2">
        <v>41794.392</v>
      </c>
      <c r="R229" s="2">
        <v>48220.29</v>
      </c>
      <c r="S229" s="2">
        <v>54844.165999999997</v>
      </c>
      <c r="T229" s="2">
        <v>64187.936999999998</v>
      </c>
      <c r="U229" s="2">
        <v>71968.566999999995</v>
      </c>
      <c r="V229" s="2">
        <v>85443.104000000007</v>
      </c>
      <c r="W229" s="2">
        <v>102901.655</v>
      </c>
      <c r="X229" s="2">
        <v>122167.735</v>
      </c>
      <c r="Y229" s="2">
        <v>222754.29500000001</v>
      </c>
      <c r="Z229" s="208">
        <v>347034.51500000001</v>
      </c>
      <c r="AA229" s="2"/>
    </row>
    <row r="230" spans="1:27" ht="15" customHeight="1">
      <c r="A230" s="174">
        <v>41</v>
      </c>
      <c r="B230" s="179">
        <v>6</v>
      </c>
      <c r="C230" s="2">
        <v>147130.21299999999</v>
      </c>
      <c r="D230" s="2">
        <v>125712.621</v>
      </c>
      <c r="E230" s="2">
        <v>110529.514</v>
      </c>
      <c r="F230" s="2">
        <v>97180.167000000001</v>
      </c>
      <c r="G230" s="2">
        <v>94439.847999999998</v>
      </c>
      <c r="H230" s="2">
        <v>86673.872000000003</v>
      </c>
      <c r="I230" s="2">
        <v>84229.812999999995</v>
      </c>
      <c r="J230" s="2">
        <v>77303.429000000004</v>
      </c>
      <c r="K230" s="2">
        <v>74056.846999999994</v>
      </c>
      <c r="L230" s="2">
        <v>70946.615000000005</v>
      </c>
      <c r="M230" s="2">
        <v>68946.038</v>
      </c>
      <c r="N230" s="2">
        <v>66050.448999999993</v>
      </c>
      <c r="O230" s="2">
        <v>67967.005999999994</v>
      </c>
      <c r="P230" s="2">
        <v>67967.005999999994</v>
      </c>
      <c r="Q230" s="2">
        <v>69939.173999999999</v>
      </c>
      <c r="R230" s="2">
        <v>67967.005999999994</v>
      </c>
      <c r="S230" s="2">
        <v>76205.721000000005</v>
      </c>
      <c r="T230" s="2">
        <v>78416.948000000004</v>
      </c>
      <c r="U230" s="2">
        <v>83033.751000000004</v>
      </c>
      <c r="V230" s="2">
        <v>85443.104000000007</v>
      </c>
      <c r="W230" s="2">
        <v>102901.655</v>
      </c>
      <c r="X230" s="30">
        <v>85443.104000000007</v>
      </c>
      <c r="Y230" s="30">
        <v>158036.63099999999</v>
      </c>
      <c r="Z230" s="209">
        <v>296517.06300000002</v>
      </c>
      <c r="AA230" s="2"/>
    </row>
    <row r="231" spans="1:27" ht="15" customHeight="1">
      <c r="A231" s="177">
        <v>42</v>
      </c>
      <c r="B231" s="178" t="s">
        <v>220</v>
      </c>
      <c r="C231" s="206">
        <v>60.701000000000001</v>
      </c>
      <c r="D231" s="206">
        <v>108.46599999999999</v>
      </c>
      <c r="E231" s="206">
        <v>176.62799999999999</v>
      </c>
      <c r="F231" s="206">
        <v>294.37900000000002</v>
      </c>
      <c r="G231" s="206">
        <v>447.11599999999999</v>
      </c>
      <c r="H231" s="206">
        <v>711.37900000000002</v>
      </c>
      <c r="I231" s="206">
        <v>1105.8530000000001</v>
      </c>
      <c r="J231" s="206">
        <v>1641.066</v>
      </c>
      <c r="K231" s="206">
        <v>2492.52</v>
      </c>
      <c r="L231" s="206">
        <v>3449.9679999999998</v>
      </c>
      <c r="M231" s="206">
        <v>5363.049</v>
      </c>
      <c r="N231" s="206">
        <v>7958.6670000000004</v>
      </c>
      <c r="O231" s="206">
        <v>11274.592000000001</v>
      </c>
      <c r="P231" s="206">
        <v>15972.075000000001</v>
      </c>
      <c r="Q231" s="206">
        <v>23702.269</v>
      </c>
      <c r="R231" s="206">
        <v>31318.31</v>
      </c>
      <c r="S231" s="206">
        <v>43348.571000000004</v>
      </c>
      <c r="T231" s="206">
        <v>48684.976000000002</v>
      </c>
      <c r="U231" s="206">
        <v>64328.491000000002</v>
      </c>
      <c r="V231" s="206">
        <v>62852.033000000003</v>
      </c>
      <c r="W231" s="207">
        <v>57277.385999999999</v>
      </c>
      <c r="X231" s="2"/>
      <c r="Y231" s="2"/>
      <c r="Z231" s="2"/>
    </row>
    <row r="232" spans="1:27" ht="15" customHeight="1">
      <c r="A232" s="174">
        <v>42</v>
      </c>
      <c r="B232" s="179" t="s">
        <v>221</v>
      </c>
      <c r="C232" s="2">
        <v>101.16800000000001</v>
      </c>
      <c r="D232" s="2">
        <v>176.62799999999999</v>
      </c>
      <c r="E232" s="2">
        <v>287.62299999999999</v>
      </c>
      <c r="F232" s="2">
        <v>468.36900000000003</v>
      </c>
      <c r="G232" s="2">
        <v>663.51199999999994</v>
      </c>
      <c r="H232" s="2">
        <v>962.04</v>
      </c>
      <c r="I232" s="2">
        <v>1603.4010000000001</v>
      </c>
      <c r="J232" s="2">
        <v>2168.375</v>
      </c>
      <c r="K232" s="2">
        <v>3217.8290000000002</v>
      </c>
      <c r="L232" s="2">
        <v>4558.5159999999996</v>
      </c>
      <c r="M232" s="2">
        <v>6609.4920000000002</v>
      </c>
      <c r="N232" s="2">
        <v>9363.2919999999995</v>
      </c>
      <c r="O232" s="2">
        <v>14221.361999999999</v>
      </c>
      <c r="P232" s="2">
        <v>19684.194</v>
      </c>
      <c r="Q232" s="2">
        <v>27885.482</v>
      </c>
      <c r="R232" s="2">
        <v>40431.764000000003</v>
      </c>
      <c r="S232" s="2">
        <v>52197.182000000001</v>
      </c>
      <c r="T232" s="2">
        <v>70589.400999999998</v>
      </c>
      <c r="U232" s="2">
        <v>64328.491000000002</v>
      </c>
      <c r="V232" s="2">
        <v>75681.824999999997</v>
      </c>
      <c r="W232" s="208">
        <v>79279.274000000005</v>
      </c>
      <c r="X232" s="2"/>
    </row>
    <row r="233" spans="1:27" ht="15" customHeight="1">
      <c r="A233" s="174">
        <v>42</v>
      </c>
      <c r="B233" s="179" t="s">
        <v>222</v>
      </c>
      <c r="C233" s="2">
        <v>468.36900000000003</v>
      </c>
      <c r="D233" s="2">
        <v>633.404</v>
      </c>
      <c r="E233" s="2">
        <v>876.71199999999999</v>
      </c>
      <c r="F233" s="2">
        <v>1158.4190000000001</v>
      </c>
      <c r="G233" s="2">
        <v>1719.0719999999999</v>
      </c>
      <c r="H233" s="2">
        <v>2324.8049999999998</v>
      </c>
      <c r="I233" s="2">
        <v>3217.8290000000002</v>
      </c>
      <c r="J233" s="2">
        <v>4887.375</v>
      </c>
      <c r="K233" s="2">
        <v>6764.7550000000001</v>
      </c>
      <c r="L233" s="2">
        <v>9148.3870000000006</v>
      </c>
      <c r="M233" s="2">
        <v>13264.445</v>
      </c>
      <c r="N233" s="2">
        <v>18359.699000000001</v>
      </c>
      <c r="O233" s="2">
        <v>24259.059000000001</v>
      </c>
      <c r="P233" s="2">
        <v>35173.735000000001</v>
      </c>
      <c r="Q233" s="2">
        <v>48684.976000000002</v>
      </c>
      <c r="R233" s="2">
        <v>55962.764000000003</v>
      </c>
      <c r="S233" s="2">
        <v>64328.491000000002</v>
      </c>
      <c r="T233" s="2">
        <v>64328.491000000002</v>
      </c>
      <c r="U233" s="2">
        <v>62852.033000000003</v>
      </c>
      <c r="V233" s="2">
        <v>67386.271999999997</v>
      </c>
      <c r="W233" s="208">
        <v>68969.243000000002</v>
      </c>
      <c r="X233" s="2"/>
    </row>
    <row r="234" spans="1:27" ht="15" customHeight="1">
      <c r="A234" s="174">
        <v>42</v>
      </c>
      <c r="B234" s="179" t="s">
        <v>224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08"/>
      <c r="X234" s="2"/>
    </row>
    <row r="235" spans="1:27" ht="15" customHeight="1">
      <c r="A235" s="174">
        <v>42</v>
      </c>
      <c r="B235" s="179" t="s">
        <v>225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08"/>
      <c r="X235" s="2"/>
    </row>
    <row r="236" spans="1:27" ht="15" customHeight="1">
      <c r="A236" s="175">
        <v>42</v>
      </c>
      <c r="B236" s="180" t="s">
        <v>226</v>
      </c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209"/>
      <c r="X236" s="2"/>
    </row>
    <row r="237" spans="1:27" ht="15" customHeight="1">
      <c r="A237" s="201">
        <v>43</v>
      </c>
      <c r="B237" s="58">
        <v>1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7" ht="15" customHeight="1">
      <c r="A238" s="200">
        <v>43</v>
      </c>
      <c r="B238" s="59">
        <v>2</v>
      </c>
    </row>
    <row r="239" spans="1:27" ht="15" customHeight="1">
      <c r="A239" s="200">
        <v>43</v>
      </c>
      <c r="B239" s="59">
        <v>3</v>
      </c>
    </row>
    <row r="240" spans="1:27" ht="15" customHeight="1">
      <c r="A240" s="201">
        <v>44</v>
      </c>
      <c r="B240" s="58" t="s">
        <v>220</v>
      </c>
    </row>
    <row r="241" spans="1:19" ht="15" customHeight="1">
      <c r="A241" s="200">
        <v>44</v>
      </c>
      <c r="B241" s="59" t="s">
        <v>221</v>
      </c>
    </row>
    <row r="242" spans="1:19" ht="15" customHeight="1">
      <c r="A242" s="200">
        <v>44</v>
      </c>
      <c r="B242" s="59" t="s">
        <v>222</v>
      </c>
    </row>
    <row r="243" spans="1:19" ht="15" customHeight="1">
      <c r="A243" s="200">
        <v>44</v>
      </c>
      <c r="B243" s="59" t="s">
        <v>223</v>
      </c>
    </row>
    <row r="244" spans="1:19" ht="15" customHeight="1">
      <c r="A244" s="200">
        <v>44</v>
      </c>
      <c r="B244" s="59" t="s">
        <v>228</v>
      </c>
    </row>
    <row r="245" spans="1:19" ht="15" customHeight="1">
      <c r="A245" s="200">
        <v>44</v>
      </c>
      <c r="B245" s="59" t="s">
        <v>224</v>
      </c>
    </row>
    <row r="246" spans="1:19" ht="15" customHeight="1">
      <c r="A246" s="200">
        <v>44</v>
      </c>
      <c r="B246" s="59" t="s">
        <v>225</v>
      </c>
    </row>
    <row r="247" spans="1:19" ht="15" customHeight="1">
      <c r="A247" s="200">
        <v>44</v>
      </c>
      <c r="B247" s="59" t="s">
        <v>226</v>
      </c>
    </row>
    <row r="248" spans="1:19" ht="15" customHeight="1">
      <c r="A248" s="200">
        <v>44</v>
      </c>
      <c r="B248" s="59" t="s">
        <v>227</v>
      </c>
    </row>
    <row r="249" spans="1:19" ht="15" customHeight="1">
      <c r="A249" s="200">
        <v>44</v>
      </c>
      <c r="B249" s="59" t="s">
        <v>229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9" ht="15" customHeight="1">
      <c r="A250" s="177">
        <v>45</v>
      </c>
      <c r="B250" s="178" t="s">
        <v>220</v>
      </c>
      <c r="C250" s="206">
        <v>1.9570000000000001</v>
      </c>
      <c r="D250" s="206">
        <v>4.3540000000000001</v>
      </c>
      <c r="E250" s="206">
        <v>8.7989999999999995</v>
      </c>
      <c r="F250" s="206">
        <v>16.681000000000001</v>
      </c>
      <c r="G250" s="206">
        <v>33.177</v>
      </c>
      <c r="H250" s="206">
        <v>70.343000000000004</v>
      </c>
      <c r="I250" s="206">
        <v>151.55000000000001</v>
      </c>
      <c r="J250" s="206">
        <v>359.38099999999997</v>
      </c>
      <c r="K250" s="206">
        <v>812.31100000000004</v>
      </c>
      <c r="L250" s="206">
        <v>1000</v>
      </c>
      <c r="M250" s="206"/>
      <c r="N250" s="206"/>
      <c r="O250" s="206"/>
      <c r="P250" s="206"/>
      <c r="Q250" s="206"/>
      <c r="R250" s="207"/>
      <c r="S250" s="2"/>
    </row>
    <row r="251" spans="1:19" ht="15" customHeight="1">
      <c r="A251" s="174">
        <v>45</v>
      </c>
      <c r="B251" s="179" t="s">
        <v>221</v>
      </c>
      <c r="C251" s="2">
        <v>7.38</v>
      </c>
      <c r="D251" s="2">
        <v>13.769</v>
      </c>
      <c r="E251" s="2">
        <v>28.274000000000001</v>
      </c>
      <c r="F251" s="2">
        <v>56.234000000000002</v>
      </c>
      <c r="G251" s="2">
        <v>119.23099999999999</v>
      </c>
      <c r="H251" s="2">
        <v>261.01600000000002</v>
      </c>
      <c r="I251" s="2">
        <v>571.40599999999995</v>
      </c>
      <c r="J251" s="2">
        <v>1049.1400000000001</v>
      </c>
      <c r="K251" s="2">
        <v>1988.8920000000001</v>
      </c>
      <c r="L251" s="2">
        <v>3213.2489999999998</v>
      </c>
      <c r="M251" s="2"/>
      <c r="N251" s="2"/>
      <c r="O251" s="2"/>
      <c r="P251" s="2"/>
      <c r="Q251" s="2"/>
      <c r="R251" s="208"/>
      <c r="S251" s="2"/>
    </row>
    <row r="252" spans="1:19" ht="15" customHeight="1">
      <c r="A252" s="174">
        <v>45</v>
      </c>
      <c r="B252" s="179" t="s">
        <v>222</v>
      </c>
      <c r="C252" s="2">
        <v>21.202999999999999</v>
      </c>
      <c r="D252" s="2">
        <v>42.17</v>
      </c>
      <c r="E252" s="2">
        <v>79.942999999999998</v>
      </c>
      <c r="F252" s="2">
        <v>166.81</v>
      </c>
      <c r="G252" s="2">
        <v>337.11500000000001</v>
      </c>
      <c r="H252" s="2">
        <v>714.77099999999996</v>
      </c>
      <c r="I252" s="2">
        <v>1589.97</v>
      </c>
      <c r="J252" s="2">
        <v>2333.7570000000001</v>
      </c>
      <c r="K252" s="2">
        <v>4084.239</v>
      </c>
      <c r="L252" s="2">
        <v>6289.4269999999997</v>
      </c>
      <c r="M252" s="2"/>
      <c r="N252" s="2"/>
      <c r="O252" s="2"/>
      <c r="P252" s="2"/>
      <c r="Q252" s="2"/>
      <c r="R252" s="208"/>
      <c r="S252" s="2"/>
    </row>
    <row r="253" spans="1:19" ht="15" customHeight="1">
      <c r="A253" s="174">
        <v>45</v>
      </c>
      <c r="B253" s="179" t="s">
        <v>223</v>
      </c>
      <c r="C253" s="2">
        <v>77.426000000000002</v>
      </c>
      <c r="D253" s="2">
        <v>139.905</v>
      </c>
      <c r="E253" s="2">
        <v>256.875</v>
      </c>
      <c r="F253" s="2">
        <v>471.64100000000002</v>
      </c>
      <c r="G253" s="2">
        <v>865.96400000000006</v>
      </c>
      <c r="H253" s="2">
        <v>1694.9880000000001</v>
      </c>
      <c r="I253" s="2">
        <v>3162.2779999999998</v>
      </c>
      <c r="J253" s="2">
        <v>5274.9970000000003</v>
      </c>
      <c r="K253" s="2">
        <v>8941.0580000000009</v>
      </c>
      <c r="L253" s="2">
        <v>15647.481</v>
      </c>
      <c r="M253" s="2"/>
      <c r="N253" s="2"/>
      <c r="O253" s="2"/>
      <c r="P253" s="2"/>
      <c r="Q253" s="2"/>
      <c r="R253" s="208"/>
      <c r="S253" s="2"/>
    </row>
    <row r="254" spans="1:19" ht="15" customHeight="1">
      <c r="A254" s="174">
        <v>45</v>
      </c>
      <c r="B254" s="179" t="s">
        <v>224</v>
      </c>
      <c r="C254" s="2">
        <v>273.56299999999999</v>
      </c>
      <c r="D254" s="2">
        <v>187.06899999999999</v>
      </c>
      <c r="E254" s="2">
        <v>179.023</v>
      </c>
      <c r="F254" s="2">
        <v>197.126</v>
      </c>
      <c r="G254" s="2">
        <v>227.29900000000001</v>
      </c>
      <c r="H254" s="2">
        <v>287.64400000000001</v>
      </c>
      <c r="I254" s="2">
        <v>329.88499999999999</v>
      </c>
      <c r="J254" s="2">
        <v>237.35599999999999</v>
      </c>
      <c r="K254" s="2">
        <v>128.73599999999999</v>
      </c>
      <c r="L254" s="2">
        <v>82.471000000000004</v>
      </c>
      <c r="M254" s="2">
        <v>76.436999999999998</v>
      </c>
      <c r="N254" s="2">
        <v>82.471000000000004</v>
      </c>
      <c r="O254" s="2">
        <v>94.54</v>
      </c>
      <c r="P254" s="2">
        <v>90.516999999999996</v>
      </c>
      <c r="Q254" s="2">
        <v>88.506</v>
      </c>
      <c r="R254" s="208">
        <v>72.414000000000001</v>
      </c>
      <c r="S254" s="2"/>
    </row>
    <row r="255" spans="1:19" ht="15" customHeight="1">
      <c r="A255" s="174">
        <v>45</v>
      </c>
      <c r="B255" s="179" t="s">
        <v>225</v>
      </c>
      <c r="C255" s="2">
        <v>323.851</v>
      </c>
      <c r="D255" s="2">
        <v>247.41399999999999</v>
      </c>
      <c r="E255" s="2">
        <v>239.36799999999999</v>
      </c>
      <c r="F255" s="2">
        <v>259.483</v>
      </c>
      <c r="G255" s="2">
        <v>378.161</v>
      </c>
      <c r="H255" s="2">
        <v>579.30999999999995</v>
      </c>
      <c r="I255" s="2">
        <v>607.471</v>
      </c>
      <c r="J255" s="2">
        <v>283.62099999999998</v>
      </c>
      <c r="K255" s="2">
        <v>106.60899999999999</v>
      </c>
      <c r="L255" s="2">
        <v>60.344999999999999</v>
      </c>
      <c r="M255" s="2">
        <v>56.322000000000003</v>
      </c>
      <c r="N255" s="2">
        <v>62.356000000000002</v>
      </c>
      <c r="O255" s="2">
        <v>74.424999999999997</v>
      </c>
      <c r="P255" s="2">
        <v>74.424999999999997</v>
      </c>
      <c r="Q255" s="2">
        <v>66.379000000000005</v>
      </c>
      <c r="R255" s="208">
        <v>48.276000000000003</v>
      </c>
      <c r="S255" s="2"/>
    </row>
    <row r="256" spans="1:19" ht="15" customHeight="1">
      <c r="A256" s="174">
        <v>45</v>
      </c>
      <c r="B256" s="179" t="s">
        <v>226</v>
      </c>
      <c r="C256" s="2">
        <v>1013.793</v>
      </c>
      <c r="D256" s="2">
        <v>716.09199999999998</v>
      </c>
      <c r="E256" s="2">
        <v>603.44799999999998</v>
      </c>
      <c r="F256" s="2">
        <v>726.149</v>
      </c>
      <c r="G256" s="2">
        <v>812.64400000000001</v>
      </c>
      <c r="H256" s="2">
        <v>885.05700000000002</v>
      </c>
      <c r="I256" s="2">
        <v>804.59799999999996</v>
      </c>
      <c r="J256" s="2">
        <v>448.56299999999999</v>
      </c>
      <c r="K256" s="2">
        <v>191.09200000000001</v>
      </c>
      <c r="L256" s="2">
        <v>120.69</v>
      </c>
      <c r="M256" s="2">
        <v>92.528999999999996</v>
      </c>
      <c r="N256" s="2">
        <v>76.436999999999998</v>
      </c>
      <c r="O256" s="2">
        <v>70.402000000000001</v>
      </c>
      <c r="P256" s="2">
        <v>64.367999999999995</v>
      </c>
      <c r="Q256" s="2">
        <v>60.344999999999999</v>
      </c>
      <c r="R256" s="208">
        <v>50.286999999999999</v>
      </c>
      <c r="S256" s="2"/>
    </row>
    <row r="257" spans="1:19" ht="15" customHeight="1">
      <c r="A257" s="175">
        <v>45</v>
      </c>
      <c r="B257" s="180" t="s">
        <v>227</v>
      </c>
      <c r="C257" s="30">
        <v>1287.356</v>
      </c>
      <c r="D257" s="30">
        <v>820.69</v>
      </c>
      <c r="E257" s="30">
        <v>683.90800000000002</v>
      </c>
      <c r="F257" s="30">
        <v>627.58600000000001</v>
      </c>
      <c r="G257" s="30">
        <v>887.06899999999996</v>
      </c>
      <c r="H257" s="30">
        <v>1315.5170000000001</v>
      </c>
      <c r="I257" s="30">
        <v>975.57500000000005</v>
      </c>
      <c r="J257" s="30">
        <v>364.08</v>
      </c>
      <c r="K257" s="30">
        <v>150.86199999999999</v>
      </c>
      <c r="L257" s="30">
        <v>80.459999999999994</v>
      </c>
      <c r="M257" s="30">
        <v>66.379000000000005</v>
      </c>
      <c r="N257" s="30">
        <v>66.379000000000005</v>
      </c>
      <c r="O257" s="30">
        <v>80.459999999999994</v>
      </c>
      <c r="P257" s="30">
        <v>72.414000000000001</v>
      </c>
      <c r="Q257" s="30">
        <v>60.344999999999999</v>
      </c>
      <c r="R257" s="209">
        <v>50.286999999999999</v>
      </c>
      <c r="S257" s="2"/>
    </row>
    <row r="258" spans="1:19" ht="15" customHeight="1">
      <c r="A258" s="177">
        <v>46</v>
      </c>
      <c r="B258" s="178">
        <v>1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9" ht="15" customHeight="1">
      <c r="A259" s="174">
        <v>46</v>
      </c>
      <c r="B259" s="179">
        <v>2</v>
      </c>
    </row>
    <row r="260" spans="1:19" ht="15" customHeight="1">
      <c r="A260" s="174">
        <v>46</v>
      </c>
      <c r="B260" s="179">
        <v>3</v>
      </c>
    </row>
    <row r="261" spans="1:19" ht="15" customHeight="1">
      <c r="A261" s="174">
        <v>46</v>
      </c>
      <c r="B261" s="179">
        <v>4</v>
      </c>
    </row>
    <row r="262" spans="1:19" ht="15" customHeight="1">
      <c r="A262" s="174">
        <v>46</v>
      </c>
      <c r="B262" s="179">
        <v>5</v>
      </c>
    </row>
    <row r="263" spans="1:19" ht="15" customHeight="1">
      <c r="A263" s="175">
        <v>46</v>
      </c>
      <c r="B263" s="180">
        <v>6</v>
      </c>
    </row>
    <row r="264" spans="1:19" ht="15" customHeight="1">
      <c r="A264" s="177">
        <v>47</v>
      </c>
      <c r="B264" s="178" t="s">
        <v>220</v>
      </c>
    </row>
    <row r="265" spans="1:19" ht="15" customHeight="1">
      <c r="A265" s="174">
        <v>47</v>
      </c>
      <c r="B265" s="179">
        <v>2</v>
      </c>
    </row>
    <row r="266" spans="1:19" ht="15" customHeight="1">
      <c r="A266" s="174">
        <v>47</v>
      </c>
      <c r="B266" s="179">
        <v>3</v>
      </c>
    </row>
    <row r="267" spans="1:19" ht="15" customHeight="1">
      <c r="A267" s="174">
        <v>47</v>
      </c>
      <c r="B267" s="179" t="s">
        <v>223</v>
      </c>
    </row>
    <row r="268" spans="1:19" ht="15" customHeight="1">
      <c r="A268" s="174">
        <v>47</v>
      </c>
      <c r="B268" s="179">
        <v>5</v>
      </c>
    </row>
    <row r="269" spans="1:19" ht="15" customHeight="1">
      <c r="A269" s="174">
        <v>47</v>
      </c>
      <c r="B269" s="179" t="s">
        <v>224</v>
      </c>
    </row>
    <row r="270" spans="1:19" ht="15" customHeight="1">
      <c r="A270" s="175">
        <v>47</v>
      </c>
      <c r="B270" s="180" t="s">
        <v>227</v>
      </c>
    </row>
    <row r="271" spans="1:19" ht="15" customHeight="1">
      <c r="A271" s="177">
        <v>48</v>
      </c>
      <c r="B271" s="178">
        <v>1</v>
      </c>
    </row>
    <row r="272" spans="1:19" ht="15" customHeight="1">
      <c r="A272" s="174">
        <v>48</v>
      </c>
      <c r="B272" s="179">
        <v>2</v>
      </c>
    </row>
    <row r="273" spans="1:2" ht="15" customHeight="1">
      <c r="A273" s="174">
        <v>48</v>
      </c>
      <c r="B273" s="179">
        <v>3</v>
      </c>
    </row>
    <row r="274" spans="1:2" ht="15" customHeight="1">
      <c r="A274" s="174">
        <v>48</v>
      </c>
      <c r="B274" s="179">
        <v>4</v>
      </c>
    </row>
    <row r="275" spans="1:2" ht="15" customHeight="1">
      <c r="A275" s="174">
        <v>48</v>
      </c>
      <c r="B275" s="179">
        <v>5</v>
      </c>
    </row>
    <row r="276" spans="1:2" ht="15" customHeight="1">
      <c r="A276" s="174">
        <v>48</v>
      </c>
      <c r="B276" s="179">
        <v>6</v>
      </c>
    </row>
    <row r="277" spans="1:2" ht="15" customHeight="1">
      <c r="A277" s="174">
        <v>48</v>
      </c>
      <c r="B277" s="179">
        <v>7</v>
      </c>
    </row>
    <row r="278" spans="1:2" ht="15" customHeight="1">
      <c r="A278" s="174">
        <v>48</v>
      </c>
      <c r="B278" s="179">
        <v>8</v>
      </c>
    </row>
    <row r="279" spans="1:2" ht="15" customHeight="1">
      <c r="A279" s="174">
        <v>48</v>
      </c>
      <c r="B279" s="179">
        <v>9</v>
      </c>
    </row>
    <row r="280" spans="1:2" ht="15" customHeight="1">
      <c r="A280" s="174">
        <v>48</v>
      </c>
      <c r="B280" s="179">
        <v>10</v>
      </c>
    </row>
    <row r="281" spans="1:2" ht="15" customHeight="1">
      <c r="A281" s="174">
        <v>48</v>
      </c>
      <c r="B281" s="179">
        <v>11</v>
      </c>
    </row>
    <row r="282" spans="1:2" ht="15" customHeight="1">
      <c r="A282" s="174">
        <v>48</v>
      </c>
      <c r="B282" s="179">
        <v>12</v>
      </c>
    </row>
    <row r="283" spans="1:2" ht="15" customHeight="1">
      <c r="A283" s="266">
        <v>49</v>
      </c>
      <c r="B283" s="58">
        <v>1</v>
      </c>
    </row>
    <row r="284" spans="1:2" ht="15" customHeight="1">
      <c r="A284" s="210">
        <v>49</v>
      </c>
      <c r="B284" s="59">
        <v>2</v>
      </c>
    </row>
    <row r="285" spans="1:2" ht="15" customHeight="1">
      <c r="A285" s="210">
        <v>49</v>
      </c>
      <c r="B285" s="59">
        <v>3</v>
      </c>
    </row>
    <row r="286" spans="1:2" ht="15" customHeight="1">
      <c r="A286" s="205">
        <v>50</v>
      </c>
      <c r="B286" s="59">
        <v>1</v>
      </c>
    </row>
    <row r="287" spans="1:2" ht="15" customHeight="1">
      <c r="A287" s="205">
        <v>50</v>
      </c>
      <c r="B287" s="59">
        <v>2</v>
      </c>
    </row>
    <row r="288" spans="1:2" ht="15" customHeight="1">
      <c r="A288" s="205">
        <v>50</v>
      </c>
      <c r="B288" s="59">
        <v>3</v>
      </c>
    </row>
    <row r="289" spans="1:16" ht="15" customHeight="1">
      <c r="A289" s="205">
        <v>50</v>
      </c>
      <c r="B289" s="59">
        <v>4</v>
      </c>
    </row>
    <row r="290" spans="1:16" ht="15" customHeight="1">
      <c r="A290" s="201">
        <v>51</v>
      </c>
      <c r="B290" s="58">
        <v>1</v>
      </c>
    </row>
    <row r="291" spans="1:16" ht="15" customHeight="1">
      <c r="A291" s="200">
        <v>51</v>
      </c>
      <c r="B291" s="59">
        <v>2</v>
      </c>
    </row>
    <row r="292" spans="1:16" ht="15" customHeight="1">
      <c r="A292" s="200">
        <v>51</v>
      </c>
      <c r="B292" s="59">
        <v>3</v>
      </c>
    </row>
    <row r="293" spans="1:16" ht="15" customHeight="1">
      <c r="A293" s="200">
        <v>51</v>
      </c>
      <c r="B293" s="59">
        <v>4</v>
      </c>
    </row>
    <row r="294" spans="1:16" ht="15" customHeight="1">
      <c r="A294" s="200">
        <v>51</v>
      </c>
      <c r="B294" s="59">
        <v>5</v>
      </c>
    </row>
    <row r="295" spans="1:16" ht="15" customHeight="1">
      <c r="A295" s="200">
        <v>51</v>
      </c>
      <c r="B295" s="59">
        <v>6</v>
      </c>
    </row>
    <row r="296" spans="1:16" ht="15" customHeight="1">
      <c r="A296" s="200">
        <v>51</v>
      </c>
      <c r="B296" s="59">
        <v>7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6" ht="15" customHeight="1">
      <c r="A297" s="201">
        <v>52</v>
      </c>
      <c r="B297" s="178">
        <v>1</v>
      </c>
      <c r="C297" s="206">
        <v>30926.641</v>
      </c>
      <c r="D297" s="206">
        <v>32548.262999999999</v>
      </c>
      <c r="E297" s="206">
        <v>34401.544000000002</v>
      </c>
      <c r="F297" s="206">
        <v>40193.050000000003</v>
      </c>
      <c r="G297" s="206">
        <v>50849.421000000002</v>
      </c>
      <c r="H297" s="206">
        <v>66138.995999999999</v>
      </c>
      <c r="I297" s="206">
        <v>72162.161999999997</v>
      </c>
      <c r="J297" s="206">
        <v>58262.548000000003</v>
      </c>
      <c r="K297" s="206">
        <v>47606.178</v>
      </c>
      <c r="L297" s="206">
        <v>38339.767999999996</v>
      </c>
      <c r="M297" s="206">
        <v>33706.563999999998</v>
      </c>
      <c r="N297" s="206">
        <v>34169.883999999998</v>
      </c>
      <c r="O297" s="207">
        <v>42046.332000000002</v>
      </c>
      <c r="P297" s="2"/>
    </row>
    <row r="298" spans="1:16" ht="15" customHeight="1">
      <c r="A298" s="200">
        <v>52</v>
      </c>
      <c r="B298" s="179">
        <v>2</v>
      </c>
      <c r="C298" s="2">
        <v>95096.524999999994</v>
      </c>
      <c r="D298" s="2">
        <v>110849.421</v>
      </c>
      <c r="E298" s="2">
        <v>147683.39799999999</v>
      </c>
      <c r="F298" s="2">
        <v>108301.158</v>
      </c>
      <c r="G298" s="2">
        <v>94633.205000000002</v>
      </c>
      <c r="H298" s="2">
        <v>85830.115999999995</v>
      </c>
      <c r="I298" s="2">
        <v>79111.968999999997</v>
      </c>
      <c r="J298" s="2">
        <v>72393.822</v>
      </c>
      <c r="K298" s="2">
        <v>61042.470999999998</v>
      </c>
      <c r="L298" s="2">
        <v>52471.042000000001</v>
      </c>
      <c r="M298" s="2">
        <v>52007.722000000002</v>
      </c>
      <c r="N298" s="2">
        <v>52934.362999999998</v>
      </c>
      <c r="O298" s="208">
        <v>53861.004000000001</v>
      </c>
      <c r="P298" s="2"/>
    </row>
    <row r="299" spans="1:16" ht="15" customHeight="1">
      <c r="A299" s="200">
        <v>52</v>
      </c>
      <c r="B299" s="179">
        <v>3</v>
      </c>
      <c r="C299" s="2"/>
      <c r="D299" s="2">
        <v>132625.48300000001</v>
      </c>
      <c r="E299" s="2">
        <v>133320.46299999999</v>
      </c>
      <c r="F299" s="2">
        <v>81891.892000000007</v>
      </c>
      <c r="G299" s="2">
        <v>46911.197</v>
      </c>
      <c r="H299" s="2">
        <v>34401.544000000002</v>
      </c>
      <c r="I299" s="2">
        <v>26525.097000000002</v>
      </c>
      <c r="J299" s="2">
        <v>22123.552</v>
      </c>
      <c r="K299" s="2">
        <v>19575.29</v>
      </c>
      <c r="L299" s="2">
        <v>18648.649000000001</v>
      </c>
      <c r="M299" s="2">
        <v>18416.988000000001</v>
      </c>
      <c r="N299" s="2">
        <v>17490.347000000002</v>
      </c>
      <c r="O299" s="208">
        <v>15405.405000000001</v>
      </c>
      <c r="P299" s="2"/>
    </row>
    <row r="300" spans="1:16" ht="15" customHeight="1">
      <c r="A300" s="202">
        <v>52</v>
      </c>
      <c r="B300" s="180">
        <v>4</v>
      </c>
      <c r="C300" s="30"/>
      <c r="D300" s="30">
        <v>132625.48300000001</v>
      </c>
      <c r="E300" s="30">
        <v>126138.996</v>
      </c>
      <c r="F300" s="30">
        <v>60579.150999999998</v>
      </c>
      <c r="G300" s="30">
        <v>35328.184999999998</v>
      </c>
      <c r="H300" s="30">
        <v>25366.794999999998</v>
      </c>
      <c r="I300" s="30">
        <v>20501.931</v>
      </c>
      <c r="J300" s="30">
        <v>16100.386</v>
      </c>
      <c r="K300" s="30">
        <v>15405.405000000001</v>
      </c>
      <c r="L300" s="30">
        <v>14247.103999999999</v>
      </c>
      <c r="M300" s="30">
        <v>13320.463</v>
      </c>
      <c r="N300" s="30">
        <v>12625.483</v>
      </c>
      <c r="O300" s="209">
        <v>11235.521000000001</v>
      </c>
      <c r="P300" s="2"/>
    </row>
    <row r="301" spans="1:16" ht="15" customHeight="1">
      <c r="A301" s="205">
        <v>53</v>
      </c>
      <c r="B301" s="179">
        <v>1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6" ht="15" customHeight="1">
      <c r="A302" s="205">
        <v>53</v>
      </c>
      <c r="B302" s="179">
        <v>2</v>
      </c>
    </row>
    <row r="303" spans="1:16" ht="15" customHeight="1">
      <c r="A303" s="205">
        <v>53</v>
      </c>
      <c r="B303" s="179">
        <v>3</v>
      </c>
    </row>
    <row r="304" spans="1:16" ht="15" customHeight="1">
      <c r="A304" s="205">
        <v>53</v>
      </c>
      <c r="B304" s="179">
        <v>4</v>
      </c>
    </row>
    <row r="305" spans="1:18" ht="15" customHeight="1">
      <c r="A305" s="213">
        <v>53</v>
      </c>
      <c r="B305" s="180">
        <v>5</v>
      </c>
    </row>
    <row r="306" spans="1:18" ht="15" customHeight="1">
      <c r="A306" s="201">
        <v>54</v>
      </c>
      <c r="B306" s="178">
        <v>1</v>
      </c>
    </row>
    <row r="307" spans="1:18" ht="15" customHeight="1">
      <c r="A307" s="200">
        <v>54</v>
      </c>
      <c r="B307" s="179">
        <v>2</v>
      </c>
    </row>
    <row r="308" spans="1:18" ht="15" customHeight="1">
      <c r="A308" s="200">
        <v>54</v>
      </c>
      <c r="B308" s="179">
        <v>3</v>
      </c>
    </row>
    <row r="309" spans="1:18" ht="15" customHeight="1">
      <c r="A309" s="200">
        <v>54</v>
      </c>
      <c r="B309" s="179">
        <v>4</v>
      </c>
    </row>
    <row r="310" spans="1:18" ht="15" customHeight="1">
      <c r="A310" s="201">
        <v>55</v>
      </c>
      <c r="B310" s="178" t="s">
        <v>220</v>
      </c>
    </row>
    <row r="311" spans="1:18" ht="15" customHeight="1">
      <c r="A311" s="200">
        <v>55</v>
      </c>
      <c r="B311" s="179" t="s">
        <v>221</v>
      </c>
    </row>
    <row r="312" spans="1:18" ht="15" customHeight="1">
      <c r="A312" s="200">
        <v>55</v>
      </c>
      <c r="B312" s="179" t="s">
        <v>222</v>
      </c>
    </row>
    <row r="313" spans="1:18" ht="15" customHeight="1">
      <c r="A313" s="200">
        <v>55</v>
      </c>
      <c r="B313" s="179" t="s">
        <v>224</v>
      </c>
    </row>
    <row r="314" spans="1:18" ht="15" customHeight="1">
      <c r="A314" s="200">
        <v>55</v>
      </c>
      <c r="B314" s="179" t="s">
        <v>225</v>
      </c>
    </row>
    <row r="315" spans="1:18" ht="15" customHeight="1">
      <c r="A315" s="200">
        <v>55</v>
      </c>
      <c r="B315" s="179" t="s">
        <v>226</v>
      </c>
    </row>
    <row r="316" spans="1:18" ht="15" customHeight="1">
      <c r="A316" s="200">
        <v>55</v>
      </c>
      <c r="B316" s="179" t="s">
        <v>230</v>
      </c>
    </row>
    <row r="317" spans="1:18" ht="15" customHeight="1">
      <c r="A317" s="200">
        <v>55</v>
      </c>
      <c r="B317" s="179" t="s">
        <v>231</v>
      </c>
    </row>
    <row r="318" spans="1:18" ht="15" customHeight="1">
      <c r="A318" s="200">
        <v>55</v>
      </c>
      <c r="B318" s="179" t="s">
        <v>232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8" ht="15" customHeight="1">
      <c r="A319" s="177">
        <v>56</v>
      </c>
      <c r="B319" s="178" t="s">
        <v>220</v>
      </c>
      <c r="C319" s="206">
        <v>102343860.287</v>
      </c>
      <c r="D319" s="206">
        <v>105005027.432</v>
      </c>
      <c r="E319" s="206">
        <v>101558740.066</v>
      </c>
      <c r="F319" s="206">
        <v>87960326.263999999</v>
      </c>
      <c r="G319" s="206">
        <v>70536103.107999995</v>
      </c>
      <c r="H319" s="206">
        <v>55271674.848999999</v>
      </c>
      <c r="I319" s="206">
        <v>47139304.737999998</v>
      </c>
      <c r="J319" s="206">
        <v>43870030.502999999</v>
      </c>
      <c r="K319" s="206">
        <v>40410421.511</v>
      </c>
      <c r="L319" s="206">
        <v>39285316.096000001</v>
      </c>
      <c r="M319" s="206">
        <v>38289699.075999998</v>
      </c>
      <c r="N319" s="206">
        <v>37128208.538000003</v>
      </c>
      <c r="O319" s="206">
        <v>35817591.294</v>
      </c>
      <c r="P319" s="206">
        <v>33677547.674000002</v>
      </c>
      <c r="Q319" s="207">
        <v>30080700.475000001</v>
      </c>
      <c r="R319" s="2"/>
    </row>
    <row r="320" spans="1:18" ht="15" customHeight="1">
      <c r="A320" s="175">
        <v>56</v>
      </c>
      <c r="B320" s="180" t="s">
        <v>224</v>
      </c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209"/>
      <c r="R320" s="2"/>
    </row>
    <row r="321" spans="1:17" ht="15" customHeight="1">
      <c r="A321" s="177">
        <v>57</v>
      </c>
      <c r="B321" s="178">
        <v>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" customHeight="1">
      <c r="A322" s="174">
        <v>57</v>
      </c>
      <c r="B322" s="179">
        <v>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7" ht="15" customHeight="1">
      <c r="A323" s="201">
        <v>58</v>
      </c>
      <c r="B323" s="58">
        <v>1</v>
      </c>
      <c r="C323" s="206">
        <v>51707.15</v>
      </c>
      <c r="D323" s="206">
        <v>61764.305999999997</v>
      </c>
      <c r="E323" s="206">
        <v>76749.788</v>
      </c>
      <c r="F323" s="206">
        <v>91677.793000000005</v>
      </c>
      <c r="G323" s="206">
        <v>118510.391</v>
      </c>
      <c r="H323" s="206">
        <v>147263.818</v>
      </c>
      <c r="I323" s="206">
        <v>186643.12899999999</v>
      </c>
      <c r="J323" s="206">
        <v>236552.72700000001</v>
      </c>
      <c r="K323" s="206">
        <v>282562.75900000002</v>
      </c>
      <c r="L323" s="206">
        <v>337521.84499999997</v>
      </c>
      <c r="M323" s="207">
        <v>395286.99099999998</v>
      </c>
      <c r="N323" s="2"/>
    </row>
    <row r="324" spans="1:17" ht="15" customHeight="1">
      <c r="A324" s="200">
        <v>58</v>
      </c>
      <c r="B324" s="59">
        <v>2</v>
      </c>
      <c r="C324" s="2">
        <v>25904.73</v>
      </c>
      <c r="D324" s="2">
        <v>33486.623</v>
      </c>
      <c r="E324" s="2">
        <v>41611.271000000001</v>
      </c>
      <c r="F324" s="2">
        <v>51707.15</v>
      </c>
      <c r="G324" s="2">
        <v>64252.529000000002</v>
      </c>
      <c r="H324" s="2">
        <v>81434.076000000001</v>
      </c>
      <c r="I324" s="2">
        <v>101191.91099999999</v>
      </c>
      <c r="J324" s="2">
        <v>123284.674</v>
      </c>
      <c r="K324" s="2">
        <v>156251.80499999999</v>
      </c>
      <c r="L324" s="2">
        <v>194162.19200000001</v>
      </c>
      <c r="M324" s="208">
        <v>227392.06200000001</v>
      </c>
      <c r="N324" s="2"/>
    </row>
    <row r="325" spans="1:17" ht="15" customHeight="1">
      <c r="A325" s="200">
        <v>58</v>
      </c>
      <c r="B325" s="59">
        <v>3</v>
      </c>
      <c r="C325" s="2">
        <v>1036.1849999999999</v>
      </c>
      <c r="D325" s="2">
        <v>1478.4659999999999</v>
      </c>
      <c r="E325" s="2">
        <v>2027.835</v>
      </c>
      <c r="F325" s="2">
        <v>2951.0929999999998</v>
      </c>
      <c r="G325" s="2">
        <v>4294.7030000000004</v>
      </c>
      <c r="H325" s="2">
        <v>6250.0479999999998</v>
      </c>
      <c r="I325" s="2">
        <v>9095.6470000000008</v>
      </c>
      <c r="J325" s="2">
        <v>12724.221</v>
      </c>
      <c r="K325" s="2">
        <v>18517.463</v>
      </c>
      <c r="L325" s="2">
        <v>24414.627</v>
      </c>
      <c r="M325" s="208">
        <v>30943.258000000002</v>
      </c>
      <c r="N325" s="2"/>
    </row>
    <row r="326" spans="1:17" ht="15" customHeight="1">
      <c r="A326" s="201">
        <v>59</v>
      </c>
      <c r="B326" s="58">
        <v>1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7" ht="15" customHeight="1">
      <c r="A327" s="200">
        <v>59</v>
      </c>
      <c r="B327" s="59">
        <v>2</v>
      </c>
    </row>
    <row r="328" spans="1:17" ht="15" customHeight="1">
      <c r="A328" s="200">
        <v>59</v>
      </c>
      <c r="B328" s="59">
        <v>3</v>
      </c>
    </row>
    <row r="329" spans="1:17" ht="15" customHeight="1">
      <c r="A329" s="200">
        <v>59</v>
      </c>
      <c r="B329" s="59">
        <v>4</v>
      </c>
    </row>
    <row r="330" spans="1:17" ht="15" customHeight="1">
      <c r="A330" s="200">
        <v>59</v>
      </c>
      <c r="B330" s="59">
        <v>5</v>
      </c>
    </row>
    <row r="331" spans="1:17" ht="15" customHeight="1">
      <c r="A331" s="200">
        <v>59</v>
      </c>
      <c r="B331" s="59">
        <v>6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7" ht="15" customHeight="1">
      <c r="A332" s="201">
        <v>60</v>
      </c>
      <c r="B332" s="58">
        <v>1</v>
      </c>
      <c r="C332" s="206">
        <v>524807460249773.38</v>
      </c>
      <c r="D332" s="206">
        <v>399944749761099.13</v>
      </c>
      <c r="E332" s="206">
        <v>474241985260247.56</v>
      </c>
      <c r="F332" s="206">
        <v>601173737483280.25</v>
      </c>
      <c r="G332" s="206">
        <v>736207097494742</v>
      </c>
      <c r="H332" s="206">
        <v>543250331492433.94</v>
      </c>
      <c r="I332" s="206">
        <v>506990708274705.19</v>
      </c>
      <c r="J332" s="206">
        <v>443608643931434.13</v>
      </c>
      <c r="K332" s="206">
        <v>665273156201745.5</v>
      </c>
      <c r="L332" s="206">
        <v>490907876152606.06</v>
      </c>
      <c r="M332" s="207">
        <v>17100153150902.938</v>
      </c>
      <c r="N332" s="2"/>
    </row>
    <row r="333" spans="1:17" ht="15" customHeight="1">
      <c r="A333" s="200">
        <v>60</v>
      </c>
      <c r="B333" s="59">
        <v>2</v>
      </c>
      <c r="C333" s="2">
        <v>45708818961487.711</v>
      </c>
      <c r="D333" s="2">
        <v>39902490236214.438</v>
      </c>
      <c r="E333" s="2">
        <v>44157044735331.297</v>
      </c>
      <c r="F333" s="2">
        <v>52360043658575.195</v>
      </c>
      <c r="G333" s="2">
        <v>81283051616410.094</v>
      </c>
      <c r="H333" s="2">
        <v>48865235934283.531</v>
      </c>
      <c r="I333" s="2">
        <v>45708818961487.711</v>
      </c>
      <c r="J333" s="2">
        <v>37239170625456.945</v>
      </c>
      <c r="K333" s="2">
        <v>36057864302164.359</v>
      </c>
      <c r="L333" s="2">
        <v>20230191786782.746</v>
      </c>
      <c r="M333" s="208">
        <v>2157744409152.6714</v>
      </c>
      <c r="N333" s="2"/>
    </row>
    <row r="334" spans="1:17" ht="15" customHeight="1">
      <c r="A334" s="200">
        <v>60</v>
      </c>
      <c r="B334" s="59">
        <v>3</v>
      </c>
      <c r="C334" s="2">
        <v>2735268726306.7119</v>
      </c>
      <c r="D334" s="2">
        <v>3243396173493.499</v>
      </c>
      <c r="E334" s="2">
        <v>4549880601500.4951</v>
      </c>
      <c r="F334" s="2">
        <v>3715352290971.7412</v>
      </c>
      <c r="G334" s="2">
        <v>5046612975635.291</v>
      </c>
      <c r="H334" s="2">
        <v>3033891184194.2686</v>
      </c>
      <c r="I334" s="2">
        <v>2471724145016.1416</v>
      </c>
      <c r="J334" s="2">
        <v>2648500138606.7119</v>
      </c>
      <c r="K334" s="2">
        <v>3589219346450.0552</v>
      </c>
      <c r="L334" s="2">
        <v>2648500138606.7119</v>
      </c>
      <c r="M334" s="208">
        <v>125025903021.77226</v>
      </c>
      <c r="N334" s="2"/>
    </row>
    <row r="335" spans="1:17" ht="15" customHeight="1">
      <c r="A335" s="200">
        <v>60</v>
      </c>
      <c r="B335" s="59">
        <v>4</v>
      </c>
      <c r="C335" s="2">
        <v>133967668742.59421</v>
      </c>
      <c r="D335" s="2">
        <v>164058977319.95441</v>
      </c>
      <c r="E335" s="2">
        <v>312607936712.39557</v>
      </c>
      <c r="F335" s="2">
        <v>659173895244.32373</v>
      </c>
      <c r="G335" s="2">
        <v>369828179780.26685</v>
      </c>
      <c r="H335" s="2">
        <v>215278173472.43814</v>
      </c>
      <c r="I335" s="2">
        <v>143218789927.35495</v>
      </c>
      <c r="J335" s="2">
        <v>164058977319.95441</v>
      </c>
      <c r="K335" s="2">
        <v>215278173472.43814</v>
      </c>
      <c r="L335" s="2">
        <v>200909281260.87366</v>
      </c>
      <c r="M335" s="208">
        <v>18113400926.196026</v>
      </c>
      <c r="N335" s="2"/>
    </row>
    <row r="336" spans="1:17" ht="15" customHeight="1">
      <c r="A336" s="200">
        <v>60</v>
      </c>
      <c r="B336" s="59">
        <v>5</v>
      </c>
      <c r="C336" s="2">
        <v>27164392688.3908</v>
      </c>
      <c r="D336" s="2">
        <v>31117163371.060219</v>
      </c>
      <c r="E336" s="2">
        <v>63533093185.174721</v>
      </c>
      <c r="F336" s="2">
        <v>102093948370.76843</v>
      </c>
      <c r="G336" s="2">
        <v>18113400926.196026</v>
      </c>
      <c r="H336" s="2">
        <v>16368165214.278164</v>
      </c>
      <c r="I336" s="2">
        <v>13803842646.028885</v>
      </c>
      <c r="J336" s="2">
        <v>12882495516.931332</v>
      </c>
      <c r="K336" s="2">
        <v>14757065332.758968</v>
      </c>
      <c r="L336" s="2">
        <v>12882495516.931332</v>
      </c>
      <c r="M336" s="208">
        <v>1995262314.9688866</v>
      </c>
      <c r="N336" s="2"/>
    </row>
    <row r="337" spans="1:14" ht="15" customHeight="1">
      <c r="A337" s="102">
        <v>61</v>
      </c>
      <c r="B337" s="246">
        <v>1</v>
      </c>
      <c r="C337" s="105">
        <v>44645.373</v>
      </c>
      <c r="D337" s="105">
        <v>24912.841</v>
      </c>
      <c r="E337" s="105">
        <v>7495.7259999999997</v>
      </c>
      <c r="F337" s="105">
        <v>3463.3249999999998</v>
      </c>
      <c r="G337" s="105">
        <v>1804.404</v>
      </c>
      <c r="H337" s="105">
        <v>924.10799999999995</v>
      </c>
      <c r="I337" s="105">
        <v>278.04399999999998</v>
      </c>
      <c r="J337" s="105">
        <v>14.536</v>
      </c>
      <c r="K337" s="105">
        <v>11.045999999999999</v>
      </c>
      <c r="L337" s="105">
        <v>7.0709999999999997</v>
      </c>
      <c r="M337" s="132">
        <v>4.1539999999999999</v>
      </c>
      <c r="N337" s="2"/>
    </row>
    <row r="338" spans="1:14" ht="1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988"/>
  <sheetViews>
    <sheetView topLeftCell="A322" workbookViewId="0">
      <selection activeCell="C332" sqref="C332:M336"/>
    </sheetView>
  </sheetViews>
  <sheetFormatPr defaultColWidth="12.5703125" defaultRowHeight="15" customHeight="1"/>
  <cols>
    <col min="1" max="10" width="8.5703125" customWidth="1"/>
    <col min="11" max="11" width="11" customWidth="1"/>
    <col min="12" max="46" width="8.5703125" customWidth="1"/>
  </cols>
  <sheetData>
    <row r="1" spans="1:45">
      <c r="A1" s="16" t="s">
        <v>218</v>
      </c>
      <c r="B1" s="15" t="s">
        <v>219</v>
      </c>
    </row>
    <row r="2" spans="1:45">
      <c r="A2" s="170">
        <v>1</v>
      </c>
      <c r="B2" s="171">
        <v>1</v>
      </c>
    </row>
    <row r="3" spans="1:45">
      <c r="A3" s="172">
        <v>1</v>
      </c>
      <c r="B3" s="173">
        <v>2</v>
      </c>
    </row>
    <row r="4" spans="1:45">
      <c r="A4" s="174">
        <v>1</v>
      </c>
      <c r="B4" s="173">
        <v>3</v>
      </c>
    </row>
    <row r="5" spans="1:45">
      <c r="A5" s="174">
        <v>1</v>
      </c>
      <c r="B5" s="173">
        <v>4</v>
      </c>
    </row>
    <row r="6" spans="1:45">
      <c r="A6" s="174">
        <v>1</v>
      </c>
      <c r="B6" s="173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45">
      <c r="A7" s="177">
        <v>2</v>
      </c>
      <c r="B7" s="178">
        <v>1</v>
      </c>
      <c r="C7" s="206">
        <v>2.6282830311377898E-4</v>
      </c>
      <c r="D7" s="206">
        <v>3.7761495033489202E-4</v>
      </c>
      <c r="E7" s="206">
        <v>5.5496078407263696E-4</v>
      </c>
      <c r="F7" s="206">
        <v>7.7947695277198498E-4</v>
      </c>
      <c r="G7" s="206">
        <v>1.0948238818676099E-3</v>
      </c>
      <c r="H7" s="206">
        <v>1.4696472784789401E-3</v>
      </c>
      <c r="I7" s="206">
        <v>1.9727950393776199E-3</v>
      </c>
      <c r="J7" s="206">
        <v>2.4742445535888401E-3</v>
      </c>
      <c r="K7" s="206">
        <v>2.77091338680335E-3</v>
      </c>
      <c r="L7" s="206">
        <v>3.4752304314022999E-3</v>
      </c>
      <c r="M7" s="207">
        <v>3.4752304314022999E-3</v>
      </c>
      <c r="N7" s="2"/>
    </row>
    <row r="8" spans="1:45">
      <c r="A8" s="174">
        <v>2</v>
      </c>
      <c r="B8" s="179">
        <v>2</v>
      </c>
      <c r="C8" s="2">
        <v>3.5015658260911697E-5</v>
      </c>
      <c r="D8" s="2">
        <v>4.9181670820452405E-5</v>
      </c>
      <c r="E8" s="2">
        <v>6.7531779958544203E-5</v>
      </c>
      <c r="F8" s="2">
        <v>9.0651928835906406E-5</v>
      </c>
      <c r="G8" s="2">
        <v>1.36278150061747E-4</v>
      </c>
      <c r="H8" s="2">
        <v>2.0956148891540098E-4</v>
      </c>
      <c r="I8" s="2">
        <v>3.0108458750973299E-4</v>
      </c>
      <c r="J8" s="2">
        <v>4.3257914087689001E-4</v>
      </c>
      <c r="K8" s="2">
        <v>6.8043537700758895E-4</v>
      </c>
      <c r="L8" s="2">
        <v>1E-3</v>
      </c>
      <c r="M8" s="208">
        <v>1.4696472784789401E-3</v>
      </c>
      <c r="N8" s="2"/>
    </row>
    <row r="9" spans="1:45">
      <c r="A9" s="174">
        <v>2</v>
      </c>
      <c r="B9" s="179">
        <v>3</v>
      </c>
      <c r="C9" s="2">
        <v>1.1455561822784101E-3</v>
      </c>
      <c r="D9" s="2">
        <v>1.4696472784789401E-3</v>
      </c>
      <c r="E9" s="2">
        <v>2.2093386751530701E-3</v>
      </c>
      <c r="F9" s="2">
        <v>2.9657268396796098E-3</v>
      </c>
      <c r="G9" s="2">
        <v>4.3585723786471195E-3</v>
      </c>
      <c r="H9" s="2">
        <v>6.2621189300962193E-3</v>
      </c>
      <c r="I9" s="2">
        <v>8.5985699673633495E-3</v>
      </c>
      <c r="J9" s="2">
        <v>1.2353877161286501E-2</v>
      </c>
      <c r="K9" s="2">
        <v>1.6583344818690501E-2</v>
      </c>
      <c r="L9" s="2">
        <v>2.5501009735072501E-2</v>
      </c>
      <c r="M9" s="208">
        <v>4.0112403797335501E-2</v>
      </c>
      <c r="N9" s="2"/>
    </row>
    <row r="10" spans="1:45">
      <c r="A10" s="177">
        <v>3</v>
      </c>
      <c r="B10" s="178">
        <v>1</v>
      </c>
      <c r="C10" s="206">
        <v>1.81071975453401E-5</v>
      </c>
      <c r="D10" s="206">
        <v>2.2579743714184999E-5</v>
      </c>
      <c r="E10" s="206">
        <v>2.8157025675653699E-5</v>
      </c>
      <c r="F10" s="206">
        <v>3.6197425750983601E-5</v>
      </c>
      <c r="G10" s="206">
        <v>5.2560702000401004E-5</v>
      </c>
      <c r="H10" s="206">
        <v>6.4063633990005107E-5</v>
      </c>
      <c r="I10" s="206">
        <v>7.5742361764966407E-5</v>
      </c>
      <c r="J10" s="206">
        <v>8.8197148756035697E-5</v>
      </c>
      <c r="K10" s="206">
        <v>1.01921184626301E-4</v>
      </c>
      <c r="L10" s="206">
        <v>1.13382350121784E-4</v>
      </c>
      <c r="M10" s="206">
        <v>1.28067230110281E-4</v>
      </c>
      <c r="N10" s="206">
        <v>1.3819612567338201E-4</v>
      </c>
      <c r="O10" s="206">
        <v>1.5373645394747601E-4</v>
      </c>
      <c r="P10" s="206">
        <v>1.6716313057451299E-4</v>
      </c>
      <c r="Q10" s="206">
        <v>1.7631164267971599E-4</v>
      </c>
      <c r="R10" s="206">
        <v>1.80384138713225E-4</v>
      </c>
      <c r="S10" s="206">
        <v>1.87381742286038E-4</v>
      </c>
      <c r="T10" s="206">
        <v>1.9465080240770001E-4</v>
      </c>
      <c r="U10" s="206">
        <v>1.9914690152331301E-4</v>
      </c>
      <c r="V10" s="206">
        <v>2.0374685280397E-4</v>
      </c>
      <c r="W10" s="206">
        <v>1.9914690152331301E-4</v>
      </c>
      <c r="X10" s="206">
        <v>2.0374685280397E-4</v>
      </c>
      <c r="Y10" s="207">
        <v>2.0845305505626003E-4</v>
      </c>
      <c r="Z10" s="2"/>
    </row>
    <row r="11" spans="1:45">
      <c r="A11" s="174">
        <v>3</v>
      </c>
      <c r="B11" s="179">
        <v>2</v>
      </c>
      <c r="C11" s="2">
        <v>6.5543393870584293E-5</v>
      </c>
      <c r="D11" s="2">
        <v>6.2142458327544702E-5</v>
      </c>
      <c r="E11" s="2">
        <v>6.5543393870584293E-5</v>
      </c>
      <c r="F11" s="2">
        <v>7.0727250746341499E-5</v>
      </c>
      <c r="G11" s="2">
        <v>8.2357371883085305E-5</v>
      </c>
      <c r="H11" s="2">
        <v>9.3734793388480599E-5</v>
      </c>
      <c r="I11" s="2">
        <v>1.0668397121819299E-4</v>
      </c>
      <c r="J11" s="2">
        <v>1.2422667923417901E-4</v>
      </c>
      <c r="K11" s="2">
        <v>1.3819612567338201E-4</v>
      </c>
      <c r="L11" s="2">
        <v>1.56094797893609E-4</v>
      </c>
      <c r="M11" s="2">
        <v>1.69727442075686E-4</v>
      </c>
      <c r="N11" s="2">
        <v>1.8315126277905098E-4</v>
      </c>
      <c r="O11" s="2">
        <v>2.0687236496790999E-4</v>
      </c>
      <c r="P11" s="2">
        <v>2.1819408602348302E-4</v>
      </c>
      <c r="Q11" s="2">
        <v>2.3189386346913901E-4</v>
      </c>
      <c r="R11" s="2">
        <v>2.44584962336327E-4</v>
      </c>
      <c r="S11" s="2">
        <v>2.59941746801151E-4</v>
      </c>
      <c r="T11" s="2">
        <v>2.7002561176352901E-4</v>
      </c>
      <c r="U11" s="2">
        <v>2.7626273947749599E-4</v>
      </c>
      <c r="V11" s="2">
        <v>2.89172523407571E-4</v>
      </c>
      <c r="W11" s="2">
        <v>2.93608480218433E-4</v>
      </c>
      <c r="X11" s="2">
        <v>3.1442760027141102E-4</v>
      </c>
      <c r="Y11" s="208">
        <v>3.2169033763502998E-4</v>
      </c>
      <c r="Z11" s="2"/>
    </row>
    <row r="12" spans="1:45">
      <c r="A12" s="174">
        <v>3</v>
      </c>
      <c r="B12" s="179">
        <v>3</v>
      </c>
      <c r="C12" s="2">
        <v>1.51413740824685E-4</v>
      </c>
      <c r="D12" s="2">
        <v>1.51413740824685E-4</v>
      </c>
      <c r="E12" s="2">
        <v>1.5257067737055199E-4</v>
      </c>
      <c r="F12" s="2">
        <v>1.5257067737055199E-4</v>
      </c>
      <c r="G12" s="2">
        <v>1.6844040655904401E-4</v>
      </c>
      <c r="H12" s="2">
        <v>1.8455070240835201E-4</v>
      </c>
      <c r="I12" s="2">
        <v>1.91709938601457E-4</v>
      </c>
      <c r="J12" s="2">
        <v>2.0687236496790999E-4</v>
      </c>
      <c r="K12" s="2">
        <v>2.2154122125811799E-4</v>
      </c>
      <c r="L12" s="2">
        <v>2.3725021330979498E-4</v>
      </c>
      <c r="M12" s="2">
        <v>2.5214647003477702E-4</v>
      </c>
      <c r="N12" s="2">
        <v>2.7208884920068604E-4</v>
      </c>
      <c r="O12" s="2">
        <v>2.86979741241581E-4</v>
      </c>
      <c r="P12" s="2">
        <v>3.0732883225297297E-4</v>
      </c>
      <c r="Q12" s="2">
        <v>3.2169033763502998E-4</v>
      </c>
      <c r="R12" s="2">
        <v>3.3416960256393299E-4</v>
      </c>
      <c r="S12" s="2">
        <v>3.4188834626274199E-4</v>
      </c>
      <c r="T12" s="2">
        <v>3.5515114824953201E-4</v>
      </c>
      <c r="U12" s="2">
        <v>3.6335452960631397E-4</v>
      </c>
      <c r="V12" s="2">
        <v>3.7174739497860903E-4</v>
      </c>
      <c r="W12" s="2">
        <v>3.7174739497860903E-4</v>
      </c>
      <c r="X12" s="2">
        <v>3.8033412112163499E-4</v>
      </c>
      <c r="Y12" s="208">
        <v>3.8911918588613E-4</v>
      </c>
      <c r="Z12" s="2"/>
    </row>
    <row r="13" spans="1:45">
      <c r="A13" s="174">
        <v>3</v>
      </c>
      <c r="B13" s="179">
        <v>4</v>
      </c>
      <c r="C13" s="2">
        <v>4.2796175387416397E-5</v>
      </c>
      <c r="D13" s="2">
        <v>6.0278895942636E-5</v>
      </c>
      <c r="E13" s="2">
        <v>9.0234351365101298E-5</v>
      </c>
      <c r="F13" s="2">
        <v>1.0832052189444199E-4</v>
      </c>
      <c r="G13" s="2">
        <v>1.3003180369756899E-4</v>
      </c>
      <c r="H13" s="2">
        <v>1.57287501906596E-4</v>
      </c>
      <c r="I13" s="2">
        <v>1.6844040655904401E-4</v>
      </c>
      <c r="J13" s="2">
        <v>1.88813506566468E-4</v>
      </c>
      <c r="K13" s="2">
        <v>2.05303661181008E-4</v>
      </c>
      <c r="L13" s="2">
        <v>2.2323399454206002E-4</v>
      </c>
      <c r="M13" s="2">
        <v>2.3545115567287801E-4</v>
      </c>
      <c r="N13" s="2">
        <v>2.5214647003477702E-4</v>
      </c>
      <c r="O13" s="2">
        <v>2.7002561176352901E-4</v>
      </c>
      <c r="P13" s="2">
        <v>2.7837363415470401E-4</v>
      </c>
      <c r="Q13" s="2">
        <v>2.8480358684358E-4</v>
      </c>
      <c r="R13" s="2">
        <v>2.95851911885145E-4</v>
      </c>
      <c r="S13" s="2">
        <v>3.0268558276102099E-4</v>
      </c>
      <c r="T13" s="2">
        <v>3.0268558276102099E-4</v>
      </c>
      <c r="U13" s="2">
        <v>3.0732883225297297E-4</v>
      </c>
      <c r="V13" s="2">
        <v>3.1683010865540698E-4</v>
      </c>
      <c r="W13" s="2">
        <v>3.1683010865540698E-4</v>
      </c>
      <c r="X13" s="30">
        <v>3.1442760027141102E-4</v>
      </c>
      <c r="Y13" s="209">
        <v>3.3163560958187797E-4</v>
      </c>
      <c r="Z13" s="2"/>
    </row>
    <row r="14" spans="1:45">
      <c r="A14" s="177">
        <v>4</v>
      </c>
      <c r="B14" s="178">
        <v>1</v>
      </c>
      <c r="C14" s="206">
        <v>6.0388241190619601E-6</v>
      </c>
      <c r="D14" s="206">
        <v>9.7830931901782907E-6</v>
      </c>
      <c r="E14" s="206">
        <v>1.7301957388458898E-5</v>
      </c>
      <c r="F14" s="206">
        <v>2.9935772947204899E-5</v>
      </c>
      <c r="G14" s="206">
        <v>4.7445002755086595E-5</v>
      </c>
      <c r="H14" s="206">
        <v>7.0407520066064397E-5</v>
      </c>
      <c r="I14" s="206">
        <v>9.7830931901782904E-5</v>
      </c>
      <c r="J14" s="206">
        <v>1.5505157798326202E-4</v>
      </c>
      <c r="K14" s="206">
        <v>2.30093718077846E-4</v>
      </c>
      <c r="L14" s="206">
        <v>3.1971418455273E-4</v>
      </c>
      <c r="M14" s="206">
        <v>4.7445002755086601E-4</v>
      </c>
      <c r="N14" s="206">
        <v>7.3564225445964205E-4</v>
      </c>
      <c r="O14" s="206">
        <v>1.1158839925077501E-3</v>
      </c>
      <c r="P14" s="206">
        <v>1.51688403669445E-3</v>
      </c>
      <c r="Q14" s="206">
        <v>2.1544346900318799E-3</v>
      </c>
      <c r="R14" s="206">
        <v>2.8651202696637801E-3</v>
      </c>
      <c r="S14" s="206">
        <v>4.0693384271671502E-3</v>
      </c>
      <c r="T14" s="206">
        <v>4.9572188818532703E-3</v>
      </c>
      <c r="U14" s="206">
        <v>6.5924617558714002E-3</v>
      </c>
      <c r="V14" s="206">
        <v>7.6862461003977395E-3</v>
      </c>
      <c r="W14" s="207">
        <v>8.7671238729686799E-3</v>
      </c>
      <c r="X14" s="2"/>
      <c r="Y14" s="2"/>
    </row>
    <row r="15" spans="1:45">
      <c r="A15" s="174">
        <v>4</v>
      </c>
      <c r="B15" s="179">
        <v>2</v>
      </c>
      <c r="C15" s="2">
        <v>2.3519526350709501E-5</v>
      </c>
      <c r="D15" s="2">
        <v>3.4145488738336002E-5</v>
      </c>
      <c r="E15" s="2">
        <v>5.0671283463087695E-5</v>
      </c>
      <c r="F15" s="2">
        <v>7.6862461003977407E-5</v>
      </c>
      <c r="G15" s="2">
        <v>1.0916797088131499E-4</v>
      </c>
      <c r="H15" s="2">
        <v>1.6200328072641301E-4</v>
      </c>
      <c r="I15" s="2">
        <v>2.25102828643017E-4</v>
      </c>
      <c r="J15" s="2">
        <v>3.34048498351324E-4</v>
      </c>
      <c r="K15" s="2">
        <v>4.7445002755086601E-4</v>
      </c>
      <c r="L15" s="2">
        <v>6.3095734448019298E-4</v>
      </c>
      <c r="M15" s="2">
        <v>9.1601959066105198E-4</v>
      </c>
      <c r="N15" s="2">
        <v>1.35935639087852E-3</v>
      </c>
      <c r="O15" s="2">
        <v>1.8077686769634299E-3</v>
      </c>
      <c r="P15" s="2">
        <v>2.5118864315095799E-3</v>
      </c>
      <c r="Q15" s="2">
        <v>3.6467396740964401E-3</v>
      </c>
      <c r="R15" s="2">
        <v>4.9572188818532703E-3</v>
      </c>
      <c r="S15" s="2">
        <v>6.3095734448019398E-3</v>
      </c>
      <c r="T15" s="2">
        <v>8.0308572213915203E-3</v>
      </c>
      <c r="U15" s="2">
        <v>1.0221715980421701E-2</v>
      </c>
      <c r="V15" s="2">
        <v>1.30102521691083E-2</v>
      </c>
      <c r="W15" s="208">
        <v>1.5505157798326199E-2</v>
      </c>
      <c r="X15" s="2"/>
    </row>
    <row r="16" spans="1:45">
      <c r="A16" s="174">
        <v>4</v>
      </c>
      <c r="B16" s="179">
        <v>3</v>
      </c>
      <c r="C16" s="2">
        <v>6.0388241190619606E-5</v>
      </c>
      <c r="D16" s="2">
        <v>7.5195261882835595E-5</v>
      </c>
      <c r="E16" s="2">
        <v>1.0448347758440801E-4</v>
      </c>
      <c r="F16" s="2">
        <v>1.3298710250628999E-4</v>
      </c>
      <c r="G16" s="2">
        <v>1.8888195803730401E-4</v>
      </c>
      <c r="H16" s="2">
        <v>2.7421754481220804E-4</v>
      </c>
      <c r="I16" s="2">
        <v>3.72759372031494E-4</v>
      </c>
      <c r="J16" s="2">
        <v>5.1794746792312109E-4</v>
      </c>
      <c r="K16" s="2">
        <v>7.0407520066064497E-4</v>
      </c>
      <c r="L16" s="2">
        <v>9.5708912367712903E-4</v>
      </c>
      <c r="M16" s="2">
        <v>1.3298710250628999E-3</v>
      </c>
      <c r="N16" s="2">
        <v>1.84784979742229E-3</v>
      </c>
      <c r="O16" s="2">
        <v>2.5118864315095799E-3</v>
      </c>
      <c r="P16" s="2">
        <v>3.2680275894101302E-3</v>
      </c>
      <c r="Q16" s="2">
        <v>4.6415888336127798E-3</v>
      </c>
      <c r="R16" s="2">
        <v>6.0388241190619599E-3</v>
      </c>
      <c r="S16" s="2">
        <v>7.8566624593889509E-3</v>
      </c>
      <c r="T16" s="2">
        <v>1.0221715980421701E-2</v>
      </c>
      <c r="U16" s="2">
        <v>1.30102521691083E-2</v>
      </c>
      <c r="V16" s="2">
        <v>1.58489319246111E-2</v>
      </c>
      <c r="W16" s="208">
        <v>1.80776867696343E-2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6">
      <c r="A17" s="177">
        <v>5</v>
      </c>
      <c r="B17" s="178">
        <v>1</v>
      </c>
      <c r="C17" s="206">
        <v>3.4087379834759098E-5</v>
      </c>
      <c r="D17" s="206">
        <v>3.2492952949915694E-5</v>
      </c>
      <c r="E17" s="206">
        <v>3.5760045133175798E-5</v>
      </c>
      <c r="F17" s="206">
        <v>3.8732196104047702E-5</v>
      </c>
      <c r="G17" s="206">
        <v>4.3312755253265203E-5</v>
      </c>
      <c r="H17" s="206">
        <v>5.0006807121025405E-5</v>
      </c>
      <c r="I17" s="206">
        <v>5.7735434834774601E-5</v>
      </c>
      <c r="J17" s="206">
        <v>6.6658533657090507E-5</v>
      </c>
      <c r="K17" s="206">
        <v>7.4541726115276498E-5</v>
      </c>
      <c r="L17" s="206">
        <v>8.74475351740921E-5</v>
      </c>
      <c r="M17" s="206">
        <v>1.04239066433859E-4</v>
      </c>
      <c r="N17" s="206">
        <v>1.1844289535865499E-4</v>
      </c>
      <c r="O17" s="206">
        <v>1.38949549437313E-4</v>
      </c>
      <c r="P17" s="206">
        <v>1.6042441256935002E-4</v>
      </c>
      <c r="Q17" s="206">
        <v>1.8228417196139798E-4</v>
      </c>
      <c r="R17" s="206">
        <v>2.1384400885248399E-4</v>
      </c>
      <c r="S17" s="206">
        <v>2.4689392402176599E-4</v>
      </c>
      <c r="T17" s="206">
        <v>2.8963999400516004E-4</v>
      </c>
      <c r="U17" s="206">
        <v>3.3978692047485797E-4</v>
      </c>
      <c r="V17" s="206">
        <v>3.98616053429867E-4</v>
      </c>
      <c r="W17" s="206">
        <v>4.6022276769633498E-4</v>
      </c>
      <c r="X17" s="206">
        <v>5.3135089287953202E-4</v>
      </c>
      <c r="Y17" s="206">
        <v>6.3338001365382895E-4</v>
      </c>
      <c r="Z17" s="206">
        <v>7.5500059766922902E-4</v>
      </c>
      <c r="AA17" s="206">
        <v>8.44288715648088E-4</v>
      </c>
      <c r="AB17" s="206">
        <v>9.9046495173116711E-4</v>
      </c>
      <c r="AC17" s="206">
        <v>1.1435428088501002E-3</v>
      </c>
      <c r="AD17" s="206">
        <v>1.3415305119893902E-3</v>
      </c>
      <c r="AE17" s="206">
        <v>1.4300124081209002E-3</v>
      </c>
      <c r="AF17" s="206">
        <v>1.84627678950798E-3</v>
      </c>
      <c r="AG17" s="206">
        <v>2.2722147559973201E-3</v>
      </c>
      <c r="AH17" s="206">
        <v>2.58183139761469E-3</v>
      </c>
      <c r="AI17" s="206">
        <v>2.9336370376589998E-3</v>
      </c>
      <c r="AJ17" s="206">
        <v>3.38703508117855E-3</v>
      </c>
      <c r="AK17" s="206">
        <v>3.9105064784321995E-3</v>
      </c>
      <c r="AL17" s="206">
        <v>4.5148811722786307E-3</v>
      </c>
      <c r="AM17" s="206">
        <v>5.0488214685054603E-3</v>
      </c>
      <c r="AN17" s="206">
        <v>5.5564689322449004E-3</v>
      </c>
      <c r="AO17" s="206">
        <v>6.1151591886536199E-3</v>
      </c>
      <c r="AP17" s="206">
        <v>6.5184902164031897E-3</v>
      </c>
      <c r="AQ17" s="206">
        <v>6.5184902164031897E-3</v>
      </c>
      <c r="AR17" s="206">
        <v>5.1300881381575398E-3</v>
      </c>
      <c r="AS17" s="207">
        <v>1.7265159562230299E-2</v>
      </c>
      <c r="AT17" s="2"/>
    </row>
    <row r="18" spans="1:46">
      <c r="A18" s="174">
        <v>5</v>
      </c>
      <c r="B18" s="179">
        <v>2</v>
      </c>
      <c r="C18" s="2">
        <v>3.5646024043929202E-4</v>
      </c>
      <c r="D18" s="2">
        <v>3.98616053429867E-4</v>
      </c>
      <c r="E18" s="2">
        <v>4.3174652308656099E-4</v>
      </c>
      <c r="F18" s="2">
        <v>4.5293229419539105E-4</v>
      </c>
      <c r="G18" s="2">
        <v>4.7515764958220598E-4</v>
      </c>
      <c r="H18" s="2">
        <v>4.8280586609810702E-4</v>
      </c>
      <c r="I18" s="2">
        <v>4.6022276769633498E-4</v>
      </c>
      <c r="J18" s="2">
        <v>4.8280586609810702E-4</v>
      </c>
      <c r="K18" s="2">
        <v>4.8280586609810702E-4</v>
      </c>
      <c r="L18" s="2">
        <v>5.3135089287953202E-4</v>
      </c>
      <c r="M18" s="2">
        <v>5.3135089287953202E-4</v>
      </c>
      <c r="N18" s="2">
        <v>5.5742424331334803E-4</v>
      </c>
      <c r="O18" s="2">
        <v>5.4859398336119098E-4</v>
      </c>
      <c r="P18" s="2">
        <v>6.4357500364405301E-4</v>
      </c>
      <c r="Q18" s="2">
        <v>6.2334652437496401E-4</v>
      </c>
      <c r="R18" s="2">
        <v>6.2334652437496401E-4</v>
      </c>
      <c r="S18" s="2">
        <v>6.5393409388793205E-4</v>
      </c>
      <c r="T18" s="2">
        <v>6.5393409388793205E-4</v>
      </c>
      <c r="U18" s="2">
        <v>7.1968567300115206E-4</v>
      </c>
      <c r="V18" s="2">
        <v>7.7950143843900108E-4</v>
      </c>
      <c r="W18" s="2">
        <v>8.5787852716619401E-4</v>
      </c>
      <c r="X18" s="2">
        <v>8.17751518452873E-4</v>
      </c>
      <c r="Y18" s="2">
        <v>8.44288715648088E-4</v>
      </c>
      <c r="Z18" s="2">
        <v>9.4413625309869103E-4</v>
      </c>
      <c r="AA18" s="2">
        <v>1.0226069449233799E-3</v>
      </c>
      <c r="AB18" s="2">
        <v>1.1075996291567301E-3</v>
      </c>
      <c r="AC18" s="2">
        <v>1.21896624136269E-3</v>
      </c>
      <c r="AD18" s="2">
        <v>1.3202790804330499E-3</v>
      </c>
      <c r="AE18" s="2">
        <v>1.4300124081209002E-3</v>
      </c>
      <c r="AF18" s="2">
        <v>1.59912898498415E-3</v>
      </c>
      <c r="AG18" s="2">
        <v>1.7882456796138799E-3</v>
      </c>
      <c r="AH18" s="2">
        <v>1.9680496971379502E-3</v>
      </c>
      <c r="AI18" s="2">
        <v>2.1316216612193299E-3</v>
      </c>
      <c r="AJ18" s="2">
        <v>2.3459513491911298E-3</v>
      </c>
      <c r="AK18" s="2">
        <v>2.5409321316300203E-3</v>
      </c>
      <c r="AL18" s="2">
        <v>2.79641705225999E-3</v>
      </c>
      <c r="AM18" s="2">
        <v>2.8871647538310998E-3</v>
      </c>
      <c r="AN18" s="2">
        <v>3.1271278046105097E-3</v>
      </c>
      <c r="AO18" s="2">
        <v>3.1774625735942101E-3</v>
      </c>
      <c r="AP18" s="2">
        <v>3.1774625735942101E-3</v>
      </c>
      <c r="AQ18" s="2">
        <v>2.9808573470927399E-3</v>
      </c>
      <c r="AR18" s="2">
        <v>3.61043013896385E-3</v>
      </c>
      <c r="AS18" s="208">
        <v>4.7364260695383596E-3</v>
      </c>
      <c r="AT18" s="2"/>
    </row>
    <row r="19" spans="1:46">
      <c r="A19" s="174">
        <v>5</v>
      </c>
      <c r="B19" s="179">
        <v>3</v>
      </c>
      <c r="C19" s="2">
        <v>1.8819955200992199E-4</v>
      </c>
      <c r="D19" s="2">
        <v>2.2078355039276701E-4</v>
      </c>
      <c r="E19" s="2">
        <v>2.5900899127255002E-4</v>
      </c>
      <c r="F19" s="2">
        <v>2.99039222821119E-4</v>
      </c>
      <c r="G19" s="2">
        <v>3.5081348821520904E-4</v>
      </c>
      <c r="H19" s="2">
        <v>3.8608698296026299E-4</v>
      </c>
      <c r="I19" s="2">
        <v>4.8280586609810702E-4</v>
      </c>
      <c r="J19" s="2">
        <v>5.3990360518087698E-4</v>
      </c>
      <c r="K19" s="2">
        <v>6.0375385502891904E-4</v>
      </c>
      <c r="L19" s="2">
        <v>6.6445992577042793E-4</v>
      </c>
      <c r="M19" s="2">
        <v>7.3126985323132305E-4</v>
      </c>
      <c r="N19" s="2">
        <v>8.3091418283349192E-4</v>
      </c>
      <c r="O19" s="2">
        <v>9.2918001708074908E-4</v>
      </c>
      <c r="P19" s="2">
        <v>1.0557919914054301E-3</v>
      </c>
      <c r="Q19" s="2">
        <v>1.1806523957292999E-3</v>
      </c>
      <c r="R19" s="2">
        <v>1.4073593185755602E-3</v>
      </c>
      <c r="S19" s="2">
        <v>1.5488660826989602E-3</v>
      </c>
      <c r="T19" s="2">
        <v>1.7599177509334699E-3</v>
      </c>
      <c r="U19" s="2">
        <v>1.99972775222345E-3</v>
      </c>
      <c r="V19" s="2">
        <v>2.23622018417296E-3</v>
      </c>
      <c r="W19" s="2">
        <v>2.5006807584394401E-3</v>
      </c>
      <c r="X19" s="2">
        <v>2.7521184954564302E-3</v>
      </c>
      <c r="Y19" s="2">
        <v>3.2286075393869003E-3</v>
      </c>
      <c r="Z19" s="2">
        <v>3.5532366511516699E-3</v>
      </c>
      <c r="AA19" s="2">
        <v>3.9734506407753303E-3</v>
      </c>
      <c r="AB19" s="2">
        <v>4.4433601093134701E-3</v>
      </c>
      <c r="AC19" s="2">
        <v>4.8901298166689E-3</v>
      </c>
      <c r="AD19" s="2">
        <v>5.2965667780366602E-3</v>
      </c>
      <c r="AE19" s="2">
        <v>6.5184902164031897E-3</v>
      </c>
      <c r="AF19" s="2">
        <v>7.0602662950728402E-3</v>
      </c>
      <c r="AG19" s="2">
        <v>7.7701599406248901E-3</v>
      </c>
      <c r="AH19" s="2">
        <v>8.9710499177042009E-3</v>
      </c>
      <c r="AI19" s="2">
        <v>1.0193463573794598E-2</v>
      </c>
      <c r="AJ19" s="2">
        <v>1.10406804199863E-2</v>
      </c>
      <c r="AK19" s="2">
        <v>1.1768878794463601E-2</v>
      </c>
      <c r="AL19" s="2">
        <v>1.2952212669177699E-2</v>
      </c>
      <c r="AM19" s="2">
        <v>1.35877768214965E-2</v>
      </c>
      <c r="AN19" s="2">
        <v>1.51946987546096E-2</v>
      </c>
      <c r="AO19" s="2">
        <v>1.61968792827E-2</v>
      </c>
      <c r="AP19" s="2">
        <v>1.7265159562230299E-2</v>
      </c>
      <c r="AQ19" s="2">
        <v>1.7543062440632102E-2</v>
      </c>
      <c r="AR19" s="2">
        <v>1.69916589944334E-2</v>
      </c>
      <c r="AS19" s="208">
        <v>1.27470342862918E-2</v>
      </c>
      <c r="AT19" s="2"/>
    </row>
    <row r="20" spans="1:46" ht="15.75" customHeight="1">
      <c r="A20" s="174">
        <v>5</v>
      </c>
      <c r="B20" s="179">
        <v>4</v>
      </c>
      <c r="C20" s="2">
        <v>3.8986037025490701E-5</v>
      </c>
      <c r="D20" s="2">
        <v>4.4435213657817998E-5</v>
      </c>
      <c r="E20" s="2">
        <v>4.9824526692653401E-5</v>
      </c>
      <c r="F20" s="2">
        <v>5.4961277427812098E-5</v>
      </c>
      <c r="G20" s="2">
        <v>6.1627241299031196E-5</v>
      </c>
      <c r="H20" s="2">
        <v>7.0241036104127806E-5</v>
      </c>
      <c r="I20" s="2">
        <v>7.6225849440713701E-5</v>
      </c>
      <c r="J20" s="2">
        <v>8.4084492846761506E-5</v>
      </c>
      <c r="K20" s="2">
        <v>9.4282658131083393E-5</v>
      </c>
      <c r="L20" s="2">
        <v>1.02315912494746E-4</v>
      </c>
      <c r="M20" s="2">
        <v>1.1472527064761201E-4</v>
      </c>
      <c r="N20" s="2">
        <v>1.2450031623204E-4</v>
      </c>
      <c r="O20" s="2">
        <v>1.3960030387421499E-4</v>
      </c>
      <c r="P20" s="2">
        <v>1.51494800407257E-4</v>
      </c>
      <c r="Q20" s="2">
        <v>1.6711343402047799E-4</v>
      </c>
      <c r="R20" s="2">
        <v>1.93611798033083E-4</v>
      </c>
      <c r="S20" s="2">
        <v>2.1010828691276002E-4</v>
      </c>
      <c r="T20" s="2">
        <v>2.3559121444194199E-4</v>
      </c>
      <c r="U20" s="2">
        <v>2.6852039212879499E-4</v>
      </c>
      <c r="V20" s="2">
        <v>3.0108781625693901E-4</v>
      </c>
      <c r="W20" s="2">
        <v>3.3212901552503397E-4</v>
      </c>
      <c r="X20" s="2">
        <v>3.8479309728552201E-4</v>
      </c>
      <c r="Y20" s="2">
        <v>4.3857659809731699E-4</v>
      </c>
      <c r="Z20" s="2">
        <v>4.7594505418780103E-4</v>
      </c>
      <c r="AA20" s="2">
        <v>5.3366992312062992E-4</v>
      </c>
      <c r="AB20" s="2">
        <v>5.8868960021324194E-4</v>
      </c>
      <c r="AC20" s="2">
        <v>6.2848577808521998E-4</v>
      </c>
      <c r="AD20" s="2">
        <v>7.4014733853775602E-4</v>
      </c>
      <c r="AE20" s="2">
        <v>8.4359959707334801E-4</v>
      </c>
      <c r="AF20" s="2">
        <v>9.1547761025952005E-4</v>
      </c>
      <c r="AG20" s="2">
        <v>1.0606404399520299E-3</v>
      </c>
      <c r="AH20" s="2">
        <v>1.16998910658906E-3</v>
      </c>
      <c r="AI20" s="2">
        <v>1.2696767934049899E-3</v>
      </c>
      <c r="AJ20" s="2">
        <v>1.51991108295293E-3</v>
      </c>
      <c r="AK20" s="2">
        <v>1.6226590366875901E-3</v>
      </c>
      <c r="AL20" s="2">
        <v>1.7323528848992801E-3</v>
      </c>
      <c r="AM20" s="2">
        <v>1.9744882128159297E-3</v>
      </c>
      <c r="AN20" s="2">
        <v>2.0070436517512303E-3</v>
      </c>
      <c r="AO20" s="2">
        <v>2.10796616808282E-3</v>
      </c>
      <c r="AP20" s="2">
        <v>1.78995003878849E-3</v>
      </c>
      <c r="AQ20" s="2">
        <v>1.2490818824377099E-3</v>
      </c>
      <c r="AR20" s="2">
        <v>6.6008866133473803E-4</v>
      </c>
      <c r="AS20" s="208">
        <v>6.6225115937785708E-3</v>
      </c>
      <c r="AT20" s="2"/>
    </row>
    <row r="21" spans="1:46" ht="15.75" customHeight="1">
      <c r="A21" s="174">
        <v>5</v>
      </c>
      <c r="B21" s="179">
        <v>5</v>
      </c>
      <c r="C21" s="2">
        <v>6.04296390238132E-6</v>
      </c>
      <c r="D21" s="2">
        <v>6.8876041941176492E-6</v>
      </c>
      <c r="E21" s="2">
        <v>7.8503019877601694E-6</v>
      </c>
      <c r="F21" s="2">
        <v>8.245047876757839E-6</v>
      </c>
      <c r="G21" s="2">
        <v>9.7099257531189892E-6</v>
      </c>
      <c r="H21" s="2">
        <v>1.1249581428616499E-5</v>
      </c>
      <c r="I21" s="2">
        <v>1.28219637716641E-5</v>
      </c>
      <c r="J21" s="2">
        <v>1.34667055275396E-5</v>
      </c>
      <c r="K21" s="2">
        <v>1.5348980892617601E-5</v>
      </c>
      <c r="L21" s="2">
        <v>1.8075997505543198E-5</v>
      </c>
      <c r="M21" s="2">
        <v>1.9939575539070598E-5</v>
      </c>
      <c r="N21" s="2">
        <v>2.23579416391938E-5</v>
      </c>
      <c r="O21" s="2">
        <v>2.59031316450154E-5</v>
      </c>
      <c r="P21" s="2">
        <v>2.8110180634136399E-5</v>
      </c>
      <c r="Q21" s="2">
        <v>3.3104448990969099E-5</v>
      </c>
      <c r="R21" s="2">
        <v>3.5925078623023096E-5</v>
      </c>
      <c r="S21" s="2">
        <v>4.0946417386414199E-5</v>
      </c>
      <c r="T21" s="2">
        <v>4.5912592696152801E-5</v>
      </c>
      <c r="U21" s="2">
        <v>5.3192729096653299E-5</v>
      </c>
      <c r="V21" s="2">
        <v>6.3676219732818304E-5</v>
      </c>
      <c r="W21" s="2">
        <v>7.13991730566795E-5</v>
      </c>
      <c r="X21" s="2">
        <v>8.1378815386921007E-5</v>
      </c>
      <c r="Y21" s="2">
        <v>8.9768713244731395E-5</v>
      </c>
      <c r="Z21" s="2">
        <v>1.0065628768368301E-4</v>
      </c>
      <c r="AA21" s="2">
        <v>1.16616865400451E-4</v>
      </c>
      <c r="AB21" s="2">
        <v>1.2863969449369698E-4</v>
      </c>
      <c r="AC21" s="2">
        <v>1.51494800407257E-4</v>
      </c>
      <c r="AD21" s="2">
        <v>1.6711343402047799E-4</v>
      </c>
      <c r="AE21" s="2">
        <v>1.87381742286038E-4</v>
      </c>
      <c r="AF21" s="2">
        <v>2.24311878678825E-4</v>
      </c>
      <c r="AG21" s="2">
        <v>2.55664515184323E-4</v>
      </c>
      <c r="AH21" s="2">
        <v>2.9139938869677504E-4</v>
      </c>
      <c r="AI21" s="2">
        <v>3.2674168582040602E-4</v>
      </c>
      <c r="AJ21" s="2">
        <v>3.6637046402267296E-4</v>
      </c>
      <c r="AK21" s="2">
        <v>4.0414209729914901E-4</v>
      </c>
      <c r="AL21" s="2">
        <v>4.0414209729914901E-4</v>
      </c>
      <c r="AM21" s="2">
        <v>4.1757898696184601E-4</v>
      </c>
      <c r="AN21" s="2">
        <v>3.7855152492586301E-4</v>
      </c>
      <c r="AO21" s="2">
        <v>2.24311878678825E-4</v>
      </c>
      <c r="AP21" s="2">
        <v>2.55664515184323E-4</v>
      </c>
      <c r="AQ21" s="2">
        <v>1.02651106800466E-3</v>
      </c>
      <c r="AR21" s="2">
        <v>3.1211754468334304E-3</v>
      </c>
      <c r="AS21" s="208">
        <v>9.6466161991119893E-3</v>
      </c>
      <c r="AT21" s="2"/>
    </row>
    <row r="22" spans="1:46" ht="15.75" customHeight="1">
      <c r="A22" s="175">
        <v>5</v>
      </c>
      <c r="B22" s="180">
        <v>6</v>
      </c>
      <c r="C22" s="30">
        <v>7.9797380741988205E-6</v>
      </c>
      <c r="D22" s="30">
        <v>6.5578482628834199E-6</v>
      </c>
      <c r="E22" s="30">
        <v>6.1426005277281995E-6</v>
      </c>
      <c r="F22" s="30">
        <v>5.8485129320805299E-6</v>
      </c>
      <c r="G22" s="30">
        <v>6.2438799656536203E-6</v>
      </c>
      <c r="H22" s="30">
        <v>6.6659743217190705E-6</v>
      </c>
      <c r="I22" s="30">
        <v>7.4744552390961401E-6</v>
      </c>
      <c r="J22" s="30">
        <v>8.245047876757839E-6</v>
      </c>
      <c r="K22" s="30">
        <v>8.9475584778323807E-6</v>
      </c>
      <c r="L22" s="30">
        <v>1.10671065427676E-5</v>
      </c>
      <c r="M22" s="30">
        <v>1.34667055275396E-5</v>
      </c>
      <c r="N22" s="30">
        <v>1.48550801717277E-5</v>
      </c>
      <c r="O22" s="30">
        <v>1.7494346628442599E-5</v>
      </c>
      <c r="P22" s="30">
        <v>2.09422204672121E-5</v>
      </c>
      <c r="Q22" s="30">
        <v>2.3869367392260201E-5</v>
      </c>
      <c r="R22" s="30">
        <v>2.85736623926776E-5</v>
      </c>
      <c r="S22" s="30">
        <v>3.2039211413589098E-5</v>
      </c>
      <c r="T22" s="30">
        <v>3.7119513255809999E-5</v>
      </c>
      <c r="U22" s="30">
        <v>4.5167863199823004E-5</v>
      </c>
      <c r="V22" s="30">
        <v>5.3192729096653299E-5</v>
      </c>
      <c r="W22" s="30">
        <v>6.3676219732818304E-5</v>
      </c>
      <c r="X22" s="30">
        <v>7.2576405416634797E-5</v>
      </c>
      <c r="Y22" s="30">
        <v>8.4084492846761506E-5</v>
      </c>
      <c r="Z22" s="30">
        <v>1.0065628768368301E-4</v>
      </c>
      <c r="AA22" s="30">
        <v>1.2248084722897101E-4</v>
      </c>
      <c r="AB22" s="30">
        <v>1.3733590411182801E-4</v>
      </c>
      <c r="AC22" s="30">
        <v>1.5911259011248502E-4</v>
      </c>
      <c r="AD22" s="30">
        <v>1.9680407693710799E-4</v>
      </c>
      <c r="AE22" s="30">
        <v>2.2801034171415199E-4</v>
      </c>
      <c r="AF22" s="30">
        <v>2.55664515184323E-4</v>
      </c>
      <c r="AG22" s="30">
        <v>2.9620399322311501E-4</v>
      </c>
      <c r="AH22" s="30">
        <v>3.4317161901824701E-4</v>
      </c>
      <c r="AI22" s="30">
        <v>4.1080560801772702E-4</v>
      </c>
      <c r="AJ22" s="30">
        <v>4.6063005659858602E-4</v>
      </c>
      <c r="AK22" s="30">
        <v>5.1649745013427608E-4</v>
      </c>
      <c r="AL22" s="30">
        <v>5.5141334535056797E-4</v>
      </c>
      <c r="AM22" s="30">
        <v>5.8868960021324194E-4</v>
      </c>
      <c r="AN22" s="30">
        <v>5.8868960021324194E-4</v>
      </c>
      <c r="AO22" s="30">
        <v>4.7594505418780103E-4</v>
      </c>
      <c r="AP22" s="30">
        <v>5.0811955502302105E-4</v>
      </c>
      <c r="AQ22" s="30">
        <v>7.1633081895081899E-4</v>
      </c>
      <c r="AR22" s="30">
        <v>2.92354034102362E-3</v>
      </c>
      <c r="AS22" s="209">
        <v>9.3362066202466402E-3</v>
      </c>
      <c r="AT22" s="2"/>
    </row>
    <row r="23" spans="1:46" ht="15.75" customHeight="1">
      <c r="A23" s="182">
        <v>6</v>
      </c>
      <c r="B23" s="179">
        <v>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6" ht="15.75" customHeight="1">
      <c r="A24" s="182">
        <v>6</v>
      </c>
      <c r="B24" s="179">
        <v>2</v>
      </c>
    </row>
    <row r="25" spans="1:46" ht="15.75" customHeight="1">
      <c r="A25" s="182">
        <v>6</v>
      </c>
      <c r="B25" s="179">
        <v>3</v>
      </c>
    </row>
    <row r="26" spans="1:46" ht="15.75" customHeight="1">
      <c r="A26" s="182">
        <v>6</v>
      </c>
      <c r="B26" s="179">
        <v>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46" ht="15.75" customHeight="1">
      <c r="A27" s="177">
        <v>7</v>
      </c>
      <c r="B27" s="178">
        <v>1</v>
      </c>
      <c r="C27" s="206">
        <v>3.9483219301735999E-5</v>
      </c>
      <c r="D27" s="206">
        <v>1.1319093808077599E-4</v>
      </c>
      <c r="E27" s="206">
        <v>3.1786459154047996E-4</v>
      </c>
      <c r="F27" s="206">
        <v>7.5670005723424904E-4</v>
      </c>
      <c r="G27" s="206">
        <v>1.4652754811771999E-3</v>
      </c>
      <c r="H27" s="206">
        <v>2.5067044904611398E-3</v>
      </c>
      <c r="I27" s="206">
        <v>4.0307064091391603E-3</v>
      </c>
      <c r="J27" s="206">
        <v>6.0919083819704302E-3</v>
      </c>
      <c r="K27" s="206">
        <v>8.4771744611583395E-3</v>
      </c>
      <c r="L27" s="206">
        <v>1.1796383389086899E-2</v>
      </c>
      <c r="M27" s="206">
        <v>1.60797031500018E-2</v>
      </c>
      <c r="N27" s="206">
        <v>2.1031485800943703E-2</v>
      </c>
      <c r="O27" s="206">
        <v>2.6395182169172301E-2</v>
      </c>
      <c r="P27" s="206">
        <v>3.3126791342175693E-2</v>
      </c>
      <c r="Q27" s="206">
        <v>4.0725410527238305E-2</v>
      </c>
      <c r="R27" s="206">
        <v>4.0725410527238305E-2</v>
      </c>
      <c r="S27" s="206">
        <v>4.6097474213028296E-2</v>
      </c>
      <c r="T27" s="206">
        <v>5.00670000145918E-2</v>
      </c>
      <c r="U27" s="206">
        <v>5.9060952731354401E-2</v>
      </c>
      <c r="V27" s="206">
        <v>6.41467839994323E-2</v>
      </c>
      <c r="W27" s="206">
        <v>6.6851646436063991E-2</v>
      </c>
      <c r="X27" s="207">
        <v>7.1124288878254199E-2</v>
      </c>
      <c r="Y27" s="2"/>
    </row>
    <row r="28" spans="1:46" ht="15.75" customHeight="1">
      <c r="A28" s="175">
        <v>7</v>
      </c>
      <c r="B28" s="180">
        <v>2</v>
      </c>
      <c r="C28" s="30">
        <v>7.1862486844915304E-3</v>
      </c>
      <c r="D28" s="30">
        <v>1.1087740404707299E-2</v>
      </c>
      <c r="E28" s="30">
        <v>1.9364019695370601E-2</v>
      </c>
      <c r="F28" s="30">
        <v>3.3818004848265401E-2</v>
      </c>
      <c r="G28" s="30">
        <v>5.6671306985418904E-2</v>
      </c>
      <c r="H28" s="30">
        <v>9.1125779344815999E-2</v>
      </c>
      <c r="I28" s="30">
        <v>0.12945165982558901</v>
      </c>
      <c r="J28" s="30">
        <v>0.15270614096563101</v>
      </c>
      <c r="K28" s="30">
        <v>0.180138018469853</v>
      </c>
      <c r="L28" s="30">
        <v>0.22145805423683998</v>
      </c>
      <c r="M28" s="30">
        <v>0.277936886615473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209"/>
      <c r="Y28" s="2"/>
    </row>
    <row r="29" spans="1:46" ht="15.75" customHeight="1">
      <c r="A29" s="182">
        <v>8</v>
      </c>
      <c r="B29" s="179">
        <v>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46" ht="15.75" customHeight="1">
      <c r="A30" s="182">
        <v>8</v>
      </c>
      <c r="B30" s="179">
        <v>2</v>
      </c>
    </row>
    <row r="31" spans="1:46" ht="15.75" customHeight="1">
      <c r="A31" s="182">
        <v>8</v>
      </c>
      <c r="B31" s="179">
        <v>3</v>
      </c>
    </row>
    <row r="32" spans="1:46" ht="15.75" customHeight="1">
      <c r="A32" s="182">
        <v>8</v>
      </c>
      <c r="B32" s="179">
        <v>4</v>
      </c>
    </row>
    <row r="33" spans="1:2" ht="15.75" customHeight="1">
      <c r="A33" s="181">
        <v>9</v>
      </c>
      <c r="B33" s="178">
        <v>1</v>
      </c>
    </row>
    <row r="34" spans="1:2" ht="15.75" customHeight="1">
      <c r="A34" s="182">
        <v>9</v>
      </c>
      <c r="B34" s="179">
        <v>2</v>
      </c>
    </row>
    <row r="35" spans="1:2" ht="15.75" customHeight="1">
      <c r="A35" s="182">
        <v>9</v>
      </c>
      <c r="B35" s="179">
        <v>3</v>
      </c>
    </row>
    <row r="36" spans="1:2" ht="15.75" customHeight="1">
      <c r="A36" s="183">
        <v>9</v>
      </c>
      <c r="B36" s="180">
        <v>4</v>
      </c>
    </row>
    <row r="37" spans="1:2" ht="15.75" hidden="1" customHeight="1">
      <c r="A37" s="183">
        <v>11</v>
      </c>
      <c r="B37" s="180" t="s">
        <v>220</v>
      </c>
    </row>
    <row r="38" spans="1:2" ht="15.75" customHeight="1">
      <c r="A38" s="181">
        <v>11</v>
      </c>
      <c r="B38" s="178" t="s">
        <v>221</v>
      </c>
    </row>
    <row r="39" spans="1:2" ht="15.75" customHeight="1">
      <c r="A39" s="182">
        <v>11</v>
      </c>
      <c r="B39" s="179" t="s">
        <v>222</v>
      </c>
    </row>
    <row r="40" spans="1:2" ht="15.75" customHeight="1">
      <c r="A40" s="182">
        <v>11</v>
      </c>
      <c r="B40" s="179" t="s">
        <v>223</v>
      </c>
    </row>
    <row r="41" spans="1:2" ht="15.75" customHeight="1">
      <c r="A41" s="182">
        <v>11</v>
      </c>
      <c r="B41" s="179" t="s">
        <v>224</v>
      </c>
    </row>
    <row r="42" spans="1:2" ht="15.75" customHeight="1">
      <c r="A42" s="182">
        <v>11</v>
      </c>
      <c r="B42" s="179" t="s">
        <v>225</v>
      </c>
    </row>
    <row r="43" spans="1:2" ht="15.75" customHeight="1">
      <c r="A43" s="182">
        <v>11</v>
      </c>
      <c r="B43" s="179" t="s">
        <v>226</v>
      </c>
    </row>
    <row r="44" spans="1:2" ht="15.75" customHeight="1">
      <c r="A44" s="182">
        <v>11</v>
      </c>
      <c r="B44" s="179" t="s">
        <v>227</v>
      </c>
    </row>
    <row r="45" spans="1:2" ht="15.75" customHeight="1">
      <c r="A45" s="183">
        <v>12</v>
      </c>
      <c r="B45" s="180" t="s">
        <v>220</v>
      </c>
    </row>
    <row r="46" spans="1:2" ht="15.75" customHeight="1">
      <c r="A46" s="181">
        <v>12</v>
      </c>
      <c r="B46" s="178" t="s">
        <v>221</v>
      </c>
    </row>
    <row r="47" spans="1:2" ht="15.75" customHeight="1">
      <c r="A47" s="182">
        <v>12</v>
      </c>
      <c r="B47" s="179" t="s">
        <v>222</v>
      </c>
    </row>
    <row r="48" spans="1:2" ht="15.75" customHeight="1">
      <c r="A48" s="182">
        <v>12</v>
      </c>
      <c r="B48" s="179" t="s">
        <v>223</v>
      </c>
    </row>
    <row r="49" spans="1:16" ht="15.75" customHeight="1">
      <c r="A49" s="182">
        <v>12</v>
      </c>
      <c r="B49" s="179" t="s">
        <v>228</v>
      </c>
    </row>
    <row r="50" spans="1:16" ht="15.75" customHeight="1">
      <c r="A50" s="183">
        <v>12</v>
      </c>
      <c r="B50" s="180" t="s">
        <v>224</v>
      </c>
    </row>
    <row r="51" spans="1:16" ht="15.75" customHeight="1">
      <c r="A51" s="182">
        <v>12</v>
      </c>
      <c r="B51" s="179" t="s">
        <v>225</v>
      </c>
    </row>
    <row r="52" spans="1:16" ht="15.75" customHeight="1">
      <c r="A52" s="182">
        <v>12</v>
      </c>
      <c r="B52" s="179" t="s">
        <v>226</v>
      </c>
    </row>
    <row r="53" spans="1:16" ht="15.75" customHeight="1">
      <c r="A53" s="182">
        <v>12</v>
      </c>
      <c r="B53" s="179" t="s">
        <v>227</v>
      </c>
    </row>
    <row r="54" spans="1:16" ht="15.75" customHeight="1">
      <c r="A54" s="182">
        <v>12</v>
      </c>
      <c r="B54" s="179" t="s">
        <v>229</v>
      </c>
    </row>
    <row r="55" spans="1:16" ht="15.75" customHeight="1">
      <c r="A55" s="182">
        <v>13</v>
      </c>
      <c r="B55" s="179">
        <v>1</v>
      </c>
    </row>
    <row r="56" spans="1:16" ht="15.75" customHeight="1">
      <c r="A56" s="181">
        <v>13</v>
      </c>
      <c r="B56" s="178">
        <v>2</v>
      </c>
    </row>
    <row r="57" spans="1:16" ht="15.75" customHeight="1">
      <c r="A57" s="182">
        <v>13</v>
      </c>
      <c r="B57" s="179">
        <v>3</v>
      </c>
    </row>
    <row r="58" spans="1:16" ht="15.75" customHeight="1">
      <c r="A58" s="182">
        <v>13</v>
      </c>
      <c r="B58" s="179">
        <v>4</v>
      </c>
    </row>
    <row r="59" spans="1:16" ht="15.75" customHeight="1">
      <c r="A59" s="182">
        <v>13</v>
      </c>
      <c r="B59" s="179">
        <v>5</v>
      </c>
    </row>
    <row r="60" spans="1:16" ht="15.75" customHeight="1">
      <c r="A60" s="182">
        <v>13</v>
      </c>
      <c r="B60" s="179">
        <v>6</v>
      </c>
    </row>
    <row r="61" spans="1:16" ht="15.75" customHeight="1">
      <c r="A61" s="182">
        <v>13</v>
      </c>
      <c r="B61" s="179">
        <v>7</v>
      </c>
    </row>
    <row r="62" spans="1:16" ht="15.75" customHeight="1">
      <c r="A62" s="182">
        <v>13</v>
      </c>
      <c r="B62" s="179">
        <v>8</v>
      </c>
    </row>
    <row r="63" spans="1:16" ht="15.75" customHeight="1">
      <c r="A63" s="182">
        <v>14</v>
      </c>
      <c r="B63" s="179">
        <v>1</v>
      </c>
      <c r="C63" s="2">
        <v>1.2941039544084299E-3</v>
      </c>
      <c r="D63" s="2">
        <v>1.8632462436183701E-3</v>
      </c>
      <c r="E63" s="2">
        <v>2.7552085224235999E-3</v>
      </c>
      <c r="F63" s="2">
        <v>3.8625376794457502E-3</v>
      </c>
      <c r="G63" s="2">
        <v>5.4149031132843901E-3</v>
      </c>
      <c r="H63" s="2">
        <v>7.7273571086088396E-3</v>
      </c>
      <c r="I63" s="2">
        <v>1.02702964936111E-2</v>
      </c>
      <c r="J63" s="2">
        <v>1.40190346323277E-2</v>
      </c>
      <c r="K63" s="2">
        <v>1.7822360997015001E-2</v>
      </c>
      <c r="L63" s="2">
        <v>2.2258214688228001E-2</v>
      </c>
      <c r="M63" s="2">
        <v>2.7308219256962099E-2</v>
      </c>
      <c r="N63" s="2">
        <v>3.1763655150792401E-2</v>
      </c>
      <c r="O63" s="2">
        <v>3.6946011713350199E-2</v>
      </c>
    </row>
    <row r="64" spans="1:16" ht="15.75" customHeight="1">
      <c r="A64" s="177">
        <v>14</v>
      </c>
      <c r="B64" s="178">
        <v>2</v>
      </c>
      <c r="C64" s="206">
        <v>1.10273454821906E-3</v>
      </c>
      <c r="D64" s="206">
        <v>1.4919187205819202E-3</v>
      </c>
      <c r="E64" s="206">
        <v>2.1480592362295302E-3</v>
      </c>
      <c r="F64" s="206">
        <v>2.9847197872225001E-3</v>
      </c>
      <c r="G64" s="206">
        <v>4.1472534907492304E-3</v>
      </c>
      <c r="H64" s="206">
        <v>5.9183511143303504E-3</v>
      </c>
      <c r="I64" s="206">
        <v>8.1507327085643903E-3</v>
      </c>
      <c r="J64" s="206">
        <v>1.1125813572304499E-2</v>
      </c>
      <c r="K64" s="206">
        <v>1.47871411621528E-2</v>
      </c>
      <c r="L64" s="206">
        <v>1.87988527610869E-2</v>
      </c>
      <c r="M64" s="206">
        <v>2.3063987843131902E-2</v>
      </c>
      <c r="N64" s="206">
        <v>2.9061661236835599E-2</v>
      </c>
      <c r="O64" s="207">
        <v>3.5339674528287304E-2</v>
      </c>
      <c r="P64" s="2"/>
    </row>
    <row r="65" spans="1:16" ht="15.75" customHeight="1">
      <c r="A65" s="174">
        <v>14</v>
      </c>
      <c r="B65" s="179">
        <v>3</v>
      </c>
      <c r="C65" s="2">
        <v>1.84675511099487E-3</v>
      </c>
      <c r="D65" s="2">
        <v>2.3269944377424701E-3</v>
      </c>
      <c r="E65" s="2">
        <v>3.0113727037689602E-3</v>
      </c>
      <c r="F65" s="2">
        <v>3.8625376794457502E-3</v>
      </c>
      <c r="G65" s="2">
        <v>5.2723939888692905E-3</v>
      </c>
      <c r="H65" s="2">
        <v>6.7027780146759492E-3</v>
      </c>
      <c r="I65" s="2">
        <v>8.9085431445664002E-3</v>
      </c>
      <c r="J65" s="2">
        <v>1.14265481623633E-2</v>
      </c>
      <c r="K65" s="2">
        <v>1.4526530072221299E-2</v>
      </c>
      <c r="L65" s="2">
        <v>1.7664619678672198E-2</v>
      </c>
      <c r="M65" s="2">
        <v>2.1672416859702302E-2</v>
      </c>
      <c r="N65" s="2">
        <v>2.6120913617840601E-2</v>
      </c>
      <c r="O65" s="208">
        <v>3.0927690520474799E-2</v>
      </c>
      <c r="P65" s="2"/>
    </row>
    <row r="66" spans="1:16" ht="15.75" customHeight="1">
      <c r="A66" s="174">
        <v>14</v>
      </c>
      <c r="B66" s="179">
        <v>4</v>
      </c>
      <c r="C66" s="2">
        <v>2.1672424209635602E-3</v>
      </c>
      <c r="D66" s="2">
        <v>2.4327661446037802E-3</v>
      </c>
      <c r="E66" s="2">
        <v>2.6354176790570798E-3</v>
      </c>
      <c r="F66" s="2">
        <v>3.3503982661319399E-3</v>
      </c>
      <c r="G66" s="2">
        <v>4.0381062998707598E-3</v>
      </c>
      <c r="H66" s="2">
        <v>4.6969365254071003E-3</v>
      </c>
      <c r="I66" s="2">
        <v>5.7115851169816899E-3</v>
      </c>
      <c r="J66" s="2">
        <v>7.0074475316398805E-3</v>
      </c>
      <c r="K66" s="2">
        <v>8.5973163753734205E-3</v>
      </c>
      <c r="L66" s="2">
        <v>1.04545421559491E-2</v>
      </c>
      <c r="M66" s="2">
        <v>1.26004536988144E-2</v>
      </c>
      <c r="N66" s="2">
        <v>1.5322447604745401E-2</v>
      </c>
      <c r="O66" s="208">
        <v>1.87988527610869E-2</v>
      </c>
      <c r="P66" s="2"/>
    </row>
    <row r="67" spans="1:16" ht="15.75" customHeight="1">
      <c r="A67" s="174">
        <v>14</v>
      </c>
      <c r="B67" s="179">
        <v>5</v>
      </c>
      <c r="C67" s="2">
        <v>3.3803189069540099E-3</v>
      </c>
      <c r="D67" s="2">
        <v>3.5339686513302698E-3</v>
      </c>
      <c r="E67" s="2">
        <v>4.8238947087242108E-3</v>
      </c>
      <c r="F67" s="2">
        <v>5.4149031132843901E-3</v>
      </c>
      <c r="G67" s="2">
        <v>6.7027780146759492E-3</v>
      </c>
      <c r="H67" s="2">
        <v>8.1507327085643903E-3</v>
      </c>
      <c r="I67" s="2">
        <v>1.0362011583673801E-2</v>
      </c>
      <c r="J67" s="2">
        <v>1.27129644629413E-2</v>
      </c>
      <c r="K67" s="2">
        <v>1.54592790645697E-2</v>
      </c>
      <c r="L67" s="2">
        <v>1.93069791596104E-2</v>
      </c>
      <c r="M67" s="2">
        <v>2.38989228145991E-2</v>
      </c>
      <c r="N67" s="2">
        <v>2.9321185670172598E-2</v>
      </c>
      <c r="O67" s="208">
        <v>3.4716865643580001E-2</v>
      </c>
      <c r="P67" s="2"/>
    </row>
    <row r="68" spans="1:16" ht="15.75" customHeight="1">
      <c r="A68" s="174">
        <v>14</v>
      </c>
      <c r="B68" s="179">
        <v>6</v>
      </c>
      <c r="C68" s="2">
        <v>3.1763655150792301E-3</v>
      </c>
      <c r="D68" s="2">
        <v>3.9318289719378402E-3</v>
      </c>
      <c r="E68" s="2">
        <v>4.3357636450445198E-3</v>
      </c>
      <c r="F68" s="2">
        <v>5.0431610588217296E-3</v>
      </c>
      <c r="G68" s="2">
        <v>6.1326022802940198E-3</v>
      </c>
      <c r="H68" s="2">
        <v>7.07002255629179E-3</v>
      </c>
      <c r="I68" s="2">
        <v>8.5212178703560001E-3</v>
      </c>
      <c r="J68" s="2">
        <v>9.8237649630279304E-3</v>
      </c>
      <c r="K68" s="2">
        <v>1.14265481623633E-2</v>
      </c>
      <c r="L68" s="2">
        <v>1.3173197437833999E-2</v>
      </c>
      <c r="M68" s="2">
        <v>1.4919187205819201E-2</v>
      </c>
      <c r="N68" s="2">
        <v>1.89667225410091E-2</v>
      </c>
      <c r="O68" s="208">
        <v>2.1672416859702302E-2</v>
      </c>
      <c r="P68" s="2"/>
    </row>
    <row r="69" spans="1:16" ht="15.75" customHeight="1">
      <c r="A69" s="174">
        <v>14</v>
      </c>
      <c r="B69" s="179">
        <v>7</v>
      </c>
      <c r="C69" s="2">
        <v>2.4112343319032002E-3</v>
      </c>
      <c r="D69" s="2">
        <v>2.7066530127698202E-3</v>
      </c>
      <c r="E69" s="2">
        <v>2.5889732638646403E-3</v>
      </c>
      <c r="F69" s="2">
        <v>2.8046350848154301E-3</v>
      </c>
      <c r="G69" s="2">
        <v>3.1203878839213199E-3</v>
      </c>
      <c r="H69" s="2">
        <v>3.5973656394762401E-3</v>
      </c>
      <c r="I69" s="2">
        <v>4.0381062998707598E-3</v>
      </c>
      <c r="J69" s="2">
        <v>4.7811963643028203E-3</v>
      </c>
      <c r="K69" s="2">
        <v>5.8659692493604398E-3</v>
      </c>
      <c r="L69" s="2">
        <v>7.1968563813365402E-3</v>
      </c>
      <c r="M69" s="2">
        <v>8.9881006474373214E-3</v>
      </c>
      <c r="N69" s="2">
        <v>1.1225172348577599E-2</v>
      </c>
      <c r="O69" s="208">
        <v>1.40190346323277E-2</v>
      </c>
      <c r="P69" s="2"/>
    </row>
    <row r="70" spans="1:16" ht="15.75" customHeight="1">
      <c r="A70" s="174">
        <v>14</v>
      </c>
      <c r="B70" s="179">
        <v>8</v>
      </c>
      <c r="C70" s="2">
        <v>4.4135472823130005E-3</v>
      </c>
      <c r="D70" s="2">
        <v>4.3357636450445198E-3</v>
      </c>
      <c r="E70" s="2">
        <v>4.3357636450445198E-3</v>
      </c>
      <c r="F70" s="2">
        <v>4.4135472823130005E-3</v>
      </c>
      <c r="G70" s="2">
        <v>4.3744810975475104E-3</v>
      </c>
      <c r="H70" s="2">
        <v>4.4135472823130005E-3</v>
      </c>
      <c r="I70" s="2">
        <v>4.9104320908685802E-3</v>
      </c>
      <c r="J70" s="2">
        <v>5.6610332868211998E-3</v>
      </c>
      <c r="K70" s="2">
        <v>6.1326022802940198E-3</v>
      </c>
      <c r="L70" s="2">
        <v>6.76263240496725E-3</v>
      </c>
      <c r="M70" s="2">
        <v>7.3913873925235398E-3</v>
      </c>
      <c r="N70" s="2">
        <v>8.9881006474373214E-3</v>
      </c>
      <c r="O70" s="208">
        <v>1.0929745169051699E-2</v>
      </c>
      <c r="P70" s="2"/>
    </row>
    <row r="71" spans="1:16" ht="15.75" customHeight="1">
      <c r="A71" s="174">
        <v>14</v>
      </c>
      <c r="B71" s="179">
        <v>9</v>
      </c>
      <c r="C71" s="2">
        <v>5.4632570530422702E-3</v>
      </c>
      <c r="D71" s="2">
        <v>5.6610332868211998E-3</v>
      </c>
      <c r="E71" s="2">
        <v>5.4149031132843901E-3</v>
      </c>
      <c r="F71" s="2">
        <v>5.4632570530422702E-3</v>
      </c>
      <c r="G71" s="2">
        <v>5.7625922729181807E-3</v>
      </c>
      <c r="H71" s="2">
        <v>6.4686069500604401E-3</v>
      </c>
      <c r="I71" s="2">
        <v>7.1331539435603199E-3</v>
      </c>
      <c r="J71" s="2">
        <v>7.9362248617426811E-3</v>
      </c>
      <c r="K71" s="2">
        <v>9.231048986955509E-3</v>
      </c>
      <c r="L71" s="2">
        <v>1.02702964936111E-2</v>
      </c>
      <c r="M71" s="2">
        <v>1.14265481623633E-2</v>
      </c>
      <c r="N71" s="2">
        <v>1.37719747942477E-2</v>
      </c>
      <c r="O71" s="208">
        <v>1.7047481115060801E-2</v>
      </c>
      <c r="P71" s="2"/>
    </row>
    <row r="72" spans="1:16" ht="15.75" customHeight="1">
      <c r="A72" s="174">
        <v>14</v>
      </c>
      <c r="B72" s="179">
        <v>10</v>
      </c>
      <c r="C72" s="2">
        <v>1.00893013070457E-2</v>
      </c>
      <c r="D72" s="2">
        <v>1.02702964936111E-2</v>
      </c>
      <c r="E72" s="2">
        <v>1.0642085905190401E-2</v>
      </c>
      <c r="F72" s="2">
        <v>9.8237649630279304E-3</v>
      </c>
      <c r="G72" s="2">
        <v>1.0547902583858201E-2</v>
      </c>
      <c r="H72" s="2">
        <v>1.0642085905190401E-2</v>
      </c>
      <c r="I72" s="2">
        <v>1.1631528701088901E-2</v>
      </c>
      <c r="J72" s="2">
        <v>1.1945932946041E-2</v>
      </c>
      <c r="K72" s="2">
        <v>1.42705313951309E-2</v>
      </c>
      <c r="L72" s="2">
        <v>1.46562588549381E-2</v>
      </c>
      <c r="M72" s="2">
        <v>1.55973271575734E-2</v>
      </c>
      <c r="N72" s="2">
        <v>1.9136091362568001E-2</v>
      </c>
      <c r="O72" s="208">
        <v>2.2258214688228001E-2</v>
      </c>
      <c r="P72" s="2"/>
    </row>
    <row r="73" spans="1:16" ht="15.75" customHeight="1">
      <c r="A73" s="175">
        <v>15</v>
      </c>
      <c r="B73" s="180">
        <v>1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209"/>
      <c r="P73" s="2"/>
    </row>
    <row r="74" spans="1:16" ht="15.75" customHeight="1">
      <c r="A74" s="182">
        <v>15</v>
      </c>
      <c r="B74" s="179">
        <v>2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6" ht="15.75" customHeight="1">
      <c r="A75" s="182">
        <v>15</v>
      </c>
      <c r="B75" s="179">
        <v>3</v>
      </c>
    </row>
    <row r="76" spans="1:16" ht="15.75" customHeight="1">
      <c r="A76" s="182">
        <v>15</v>
      </c>
      <c r="B76" s="179">
        <v>4</v>
      </c>
    </row>
    <row r="77" spans="1:16" ht="15.75" customHeight="1">
      <c r="A77" s="182">
        <v>15</v>
      </c>
      <c r="B77" s="179">
        <v>5</v>
      </c>
    </row>
    <row r="78" spans="1:16" ht="15.75" customHeight="1">
      <c r="A78" s="182">
        <v>15</v>
      </c>
      <c r="B78" s="179">
        <v>6</v>
      </c>
    </row>
    <row r="79" spans="1:16" ht="15.75" customHeight="1">
      <c r="A79" s="183">
        <v>16</v>
      </c>
      <c r="B79" s="180">
        <v>1</v>
      </c>
    </row>
    <row r="80" spans="1:16" ht="15.75" customHeight="1">
      <c r="A80" s="182">
        <v>16</v>
      </c>
      <c r="B80" s="179">
        <v>2</v>
      </c>
    </row>
    <row r="81" spans="1:23" ht="15.75" customHeight="1">
      <c r="A81" s="182">
        <v>16</v>
      </c>
      <c r="B81" s="179">
        <v>3</v>
      </c>
    </row>
    <row r="82" spans="1:23" ht="15.75" customHeight="1">
      <c r="A82" s="182">
        <v>17</v>
      </c>
      <c r="B82" s="179">
        <v>1</v>
      </c>
    </row>
    <row r="83" spans="1:23" ht="15.75" customHeight="1">
      <c r="A83" s="201">
        <v>17</v>
      </c>
      <c r="B83" s="58">
        <v>2</v>
      </c>
    </row>
    <row r="84" spans="1:23" ht="15.75" customHeight="1">
      <c r="A84" s="200">
        <v>17</v>
      </c>
      <c r="B84" s="59">
        <v>3</v>
      </c>
    </row>
    <row r="85" spans="1:23" ht="15.75" customHeight="1">
      <c r="A85" s="200">
        <v>17</v>
      </c>
      <c r="B85" s="59">
        <v>4</v>
      </c>
    </row>
    <row r="86" spans="1:23" ht="15.75" customHeight="1">
      <c r="A86" s="200">
        <v>18</v>
      </c>
      <c r="B86" s="59">
        <v>1</v>
      </c>
      <c r="C86" s="2">
        <v>8.0566999999999998E-4</v>
      </c>
      <c r="D86" s="2">
        <v>8.0566999999999998E-4</v>
      </c>
      <c r="E86" s="2">
        <v>8.7367E-4</v>
      </c>
      <c r="F86" s="2">
        <v>9.2840999999999996E-4</v>
      </c>
      <c r="G86" s="2">
        <v>9.2840999999999996E-4</v>
      </c>
      <c r="H86" s="2">
        <v>1.0067799999999999E-3</v>
      </c>
      <c r="I86" s="2">
        <v>1.0484000000000001E-3</v>
      </c>
      <c r="J86" s="2">
        <v>1.0917500000000001E-3</v>
      </c>
      <c r="K86" s="2">
        <v>1.1140899999999999E-3</v>
      </c>
      <c r="L86" s="2">
        <v>1.1839000000000001E-3</v>
      </c>
      <c r="M86" s="2">
        <v>1.28382E-3</v>
      </c>
      <c r="N86" s="2">
        <v>1.50968E-3</v>
      </c>
      <c r="O86" s="2">
        <v>1.47941E-3</v>
      </c>
      <c r="P86" s="2">
        <v>1.6370999999999998E-3</v>
      </c>
      <c r="Q86" s="2">
        <v>1.73968E-3</v>
      </c>
      <c r="R86" s="2">
        <v>2.0875999999999998E-3</v>
      </c>
      <c r="S86" s="2">
        <v>2.3101300000000001E-3</v>
      </c>
      <c r="T86" s="2">
        <v>2.7165500000000003E-3</v>
      </c>
      <c r="U86" s="2">
        <v>2.8867600000000004E-3</v>
      </c>
      <c r="V86" s="2">
        <v>2.8867600000000004E-3</v>
      </c>
    </row>
    <row r="87" spans="1:23" ht="15.75" customHeight="1">
      <c r="A87" s="201">
        <v>18</v>
      </c>
      <c r="B87" s="58">
        <v>2</v>
      </c>
      <c r="C87" s="206">
        <v>1.11516E-3</v>
      </c>
      <c r="D87" s="206">
        <v>1.48456E-3</v>
      </c>
      <c r="E87" s="206">
        <v>2.0171300000000002E-3</v>
      </c>
      <c r="F87" s="206">
        <v>2.5777600000000001E-3</v>
      </c>
      <c r="G87" s="206">
        <v>3.4316500000000001E-3</v>
      </c>
      <c r="H87" s="206">
        <v>4.7589899999999994E-3</v>
      </c>
      <c r="I87" s="206">
        <v>6.2072500000000001E-3</v>
      </c>
      <c r="J87" s="206">
        <v>7.9324700000000005E-3</v>
      </c>
      <c r="K87" s="206">
        <v>1.034649E-2</v>
      </c>
      <c r="L87" s="206">
        <v>1.3495139999999999E-2</v>
      </c>
      <c r="M87" s="206">
        <v>1.6897040000000002E-2</v>
      </c>
      <c r="N87" s="206">
        <v>2.1156500000000002E-2</v>
      </c>
      <c r="O87" s="206">
        <v>2.5953810000000001E-2</v>
      </c>
      <c r="P87" s="206">
        <v>3.0563779999999999E-2</v>
      </c>
      <c r="Q87" s="206">
        <v>3.5264459999999997E-2</v>
      </c>
      <c r="R87" s="206">
        <v>4.1528209999999996E-2</v>
      </c>
      <c r="S87" s="206">
        <v>4.4154039999999999E-2</v>
      </c>
      <c r="T87" s="206"/>
      <c r="U87" s="206"/>
      <c r="V87" s="207"/>
      <c r="W87" s="2"/>
    </row>
    <row r="88" spans="1:23" ht="15.75" customHeight="1">
      <c r="A88" s="200">
        <v>19</v>
      </c>
      <c r="B88" s="59">
        <v>1</v>
      </c>
      <c r="C88" s="2">
        <v>234.94</v>
      </c>
      <c r="D88" s="2">
        <v>234.1</v>
      </c>
      <c r="E88" s="2">
        <v>243.31</v>
      </c>
      <c r="F88" s="2">
        <v>243.72</v>
      </c>
      <c r="G88" s="2">
        <v>215.69</v>
      </c>
      <c r="H88" s="2">
        <v>165.48</v>
      </c>
      <c r="I88" s="2">
        <v>147.49</v>
      </c>
      <c r="J88" s="2">
        <v>148.33000000000001</v>
      </c>
      <c r="K88" s="2">
        <v>146.22999999999999</v>
      </c>
      <c r="L88" s="2">
        <v>141.63</v>
      </c>
      <c r="M88" s="2">
        <v>132.85</v>
      </c>
      <c r="N88" s="2">
        <v>117.78</v>
      </c>
      <c r="O88" s="30"/>
      <c r="P88" s="30"/>
      <c r="Q88" s="30"/>
      <c r="R88" s="30"/>
      <c r="S88" s="30"/>
      <c r="T88" s="30"/>
      <c r="U88" s="30"/>
      <c r="V88" s="209"/>
      <c r="W88" s="2"/>
    </row>
    <row r="89" spans="1:23" ht="15.75" customHeight="1">
      <c r="A89" s="201">
        <v>19</v>
      </c>
      <c r="B89" s="58">
        <v>2</v>
      </c>
      <c r="C89" s="221">
        <v>208.16</v>
      </c>
      <c r="D89" s="221">
        <v>209</v>
      </c>
      <c r="E89" s="221">
        <v>219.87</v>
      </c>
      <c r="F89" s="221">
        <v>211.09</v>
      </c>
      <c r="G89" s="221">
        <v>176.78</v>
      </c>
      <c r="H89" s="221">
        <v>126.15</v>
      </c>
      <c r="I89" s="221">
        <v>106.49</v>
      </c>
      <c r="J89" s="221">
        <v>102.72</v>
      </c>
      <c r="K89" s="221">
        <v>98.95</v>
      </c>
      <c r="L89" s="221">
        <v>93.1</v>
      </c>
      <c r="M89" s="221">
        <v>81.38</v>
      </c>
      <c r="N89" s="115">
        <v>66.319999999999993</v>
      </c>
      <c r="O89" s="2"/>
      <c r="P89" s="2"/>
      <c r="Q89" s="2"/>
      <c r="R89" s="2"/>
      <c r="S89" s="2"/>
      <c r="T89" s="2"/>
      <c r="U89" s="2"/>
      <c r="V89" s="2"/>
    </row>
    <row r="90" spans="1:23" ht="15.75" customHeight="1">
      <c r="A90" s="200">
        <v>19</v>
      </c>
      <c r="B90" s="59">
        <v>3</v>
      </c>
      <c r="C90" s="239">
        <v>200.21</v>
      </c>
      <c r="D90" s="239">
        <v>203.97</v>
      </c>
      <c r="E90" s="239">
        <v>211.51</v>
      </c>
      <c r="F90" s="239">
        <v>201.46</v>
      </c>
      <c r="G90" s="239">
        <v>164.64</v>
      </c>
      <c r="H90" s="239">
        <v>114.02</v>
      </c>
      <c r="I90" s="239">
        <v>93.1</v>
      </c>
      <c r="J90" s="239">
        <v>85.15</v>
      </c>
      <c r="K90" s="239">
        <v>80.540000000000006</v>
      </c>
      <c r="L90" s="239">
        <v>74.69</v>
      </c>
      <c r="M90" s="239">
        <v>63.39</v>
      </c>
      <c r="N90" s="116">
        <v>50.84</v>
      </c>
      <c r="O90" s="2"/>
    </row>
    <row r="91" spans="1:23" ht="15.75" customHeight="1">
      <c r="A91" s="200">
        <v>19</v>
      </c>
      <c r="B91" s="59">
        <v>4</v>
      </c>
      <c r="C91" s="283">
        <v>197.7</v>
      </c>
      <c r="D91" s="283">
        <v>206.07</v>
      </c>
      <c r="E91" s="283">
        <v>215.69</v>
      </c>
      <c r="F91" s="283">
        <v>187.24</v>
      </c>
      <c r="G91" s="283">
        <v>140.38</v>
      </c>
      <c r="H91" s="283">
        <v>79.709999999999994</v>
      </c>
      <c r="I91" s="283">
        <v>66.319999999999993</v>
      </c>
      <c r="J91" s="283">
        <v>58.37</v>
      </c>
      <c r="K91" s="283">
        <v>55.02</v>
      </c>
      <c r="L91" s="283">
        <v>51.67</v>
      </c>
      <c r="M91" s="283"/>
      <c r="N91" s="117"/>
      <c r="O91" s="2"/>
    </row>
    <row r="92" spans="1:23" ht="15.75" customHeight="1">
      <c r="A92" s="200">
        <v>19</v>
      </c>
      <c r="B92" s="59">
        <v>5</v>
      </c>
      <c r="C92" s="239">
        <v>170.5</v>
      </c>
      <c r="D92" s="239">
        <v>162.97</v>
      </c>
      <c r="E92" s="239">
        <v>166.74</v>
      </c>
      <c r="F92" s="239">
        <v>149.58000000000001</v>
      </c>
      <c r="G92" s="239">
        <v>110.67</v>
      </c>
      <c r="H92" s="239">
        <v>73.010000000000005</v>
      </c>
      <c r="I92" s="239">
        <v>54.18</v>
      </c>
      <c r="J92" s="239"/>
      <c r="K92" s="239"/>
      <c r="L92" s="239"/>
      <c r="M92" s="239"/>
      <c r="N92" s="116"/>
      <c r="O92" s="2"/>
    </row>
    <row r="93" spans="1:23" ht="15.75" customHeight="1">
      <c r="A93" s="202">
        <v>20</v>
      </c>
      <c r="B93" s="203" t="s">
        <v>220</v>
      </c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133"/>
      <c r="O93" s="2"/>
    </row>
    <row r="94" spans="1:23" ht="15.75" customHeight="1">
      <c r="A94" s="200">
        <v>20</v>
      </c>
      <c r="B94" s="59" t="s">
        <v>221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23" ht="15.75" customHeight="1">
      <c r="A95" s="200">
        <v>20</v>
      </c>
      <c r="B95" s="59" t="s">
        <v>222</v>
      </c>
    </row>
    <row r="96" spans="1:23" ht="15.75" customHeight="1">
      <c r="A96" s="200">
        <v>20</v>
      </c>
      <c r="B96" s="59" t="s">
        <v>223</v>
      </c>
    </row>
    <row r="97" spans="1:2" ht="15.75" customHeight="1">
      <c r="A97" s="200">
        <v>20</v>
      </c>
      <c r="B97" s="59" t="s">
        <v>224</v>
      </c>
    </row>
    <row r="98" spans="1:2" ht="15.75" customHeight="1">
      <c r="A98" s="200">
        <v>20</v>
      </c>
      <c r="B98" s="59" t="s">
        <v>225</v>
      </c>
    </row>
    <row r="99" spans="1:2" ht="15.75" customHeight="1">
      <c r="A99" s="200">
        <v>20</v>
      </c>
      <c r="B99" s="59" t="s">
        <v>226</v>
      </c>
    </row>
    <row r="100" spans="1:2" ht="15.75" customHeight="1">
      <c r="A100" s="200">
        <v>20</v>
      </c>
      <c r="B100" s="59" t="s">
        <v>227</v>
      </c>
    </row>
    <row r="101" spans="1:2" ht="15.75" customHeight="1">
      <c r="A101" s="200">
        <v>20</v>
      </c>
      <c r="B101" s="59" t="s">
        <v>230</v>
      </c>
    </row>
    <row r="102" spans="1:2" ht="15.75" customHeight="1">
      <c r="A102" s="200">
        <v>20</v>
      </c>
      <c r="B102" s="59" t="s">
        <v>231</v>
      </c>
    </row>
    <row r="103" spans="1:2" ht="15.75" customHeight="1">
      <c r="A103" s="200">
        <v>20</v>
      </c>
      <c r="B103" s="59" t="s">
        <v>232</v>
      </c>
    </row>
    <row r="104" spans="1:2" ht="15.75" customHeight="1">
      <c r="A104" s="200">
        <v>20</v>
      </c>
      <c r="B104" s="59" t="s">
        <v>233</v>
      </c>
    </row>
    <row r="105" spans="1:2" ht="15.75" customHeight="1">
      <c r="A105" s="200">
        <v>20</v>
      </c>
      <c r="B105" s="59" t="s">
        <v>234</v>
      </c>
    </row>
    <row r="106" spans="1:2" ht="15.75" customHeight="1">
      <c r="A106" s="200">
        <v>20</v>
      </c>
      <c r="B106" s="59" t="s">
        <v>235</v>
      </c>
    </row>
    <row r="107" spans="1:2" ht="15.75" customHeight="1">
      <c r="A107" s="200">
        <v>20</v>
      </c>
      <c r="B107" s="59" t="s">
        <v>236</v>
      </c>
    </row>
    <row r="108" spans="1:2" ht="15.75" customHeight="1">
      <c r="A108" s="200">
        <v>20</v>
      </c>
      <c r="B108" s="59" t="s">
        <v>237</v>
      </c>
    </row>
    <row r="109" spans="1:2" ht="15.75" customHeight="1">
      <c r="A109" s="200">
        <v>20</v>
      </c>
      <c r="B109" s="59" t="s">
        <v>238</v>
      </c>
    </row>
    <row r="110" spans="1:2" ht="15.75" customHeight="1">
      <c r="A110" s="200">
        <v>20</v>
      </c>
      <c r="B110" s="59" t="s">
        <v>239</v>
      </c>
    </row>
    <row r="111" spans="1:2" ht="15.75" customHeight="1">
      <c r="A111" s="200">
        <v>20</v>
      </c>
      <c r="B111" s="59" t="s">
        <v>240</v>
      </c>
    </row>
    <row r="112" spans="1:2" ht="15.75" customHeight="1">
      <c r="A112" s="200">
        <v>20</v>
      </c>
      <c r="B112" s="59" t="s">
        <v>241</v>
      </c>
    </row>
    <row r="113" spans="1:11" ht="15.75" customHeight="1">
      <c r="A113" s="200">
        <v>21</v>
      </c>
      <c r="B113" s="59" t="s">
        <v>220</v>
      </c>
      <c r="C113" s="2">
        <v>57.31</v>
      </c>
      <c r="D113" s="2">
        <v>53.72</v>
      </c>
      <c r="E113" s="2">
        <v>68.77</v>
      </c>
      <c r="F113" s="2">
        <v>113.9</v>
      </c>
      <c r="G113" s="2">
        <v>108.88</v>
      </c>
      <c r="H113" s="2">
        <v>59.46</v>
      </c>
      <c r="I113" s="2">
        <v>57.31</v>
      </c>
      <c r="J113" s="2">
        <v>80.95</v>
      </c>
    </row>
    <row r="114" spans="1:11" ht="15.75" customHeight="1">
      <c r="A114" s="201">
        <v>21</v>
      </c>
      <c r="B114" s="58" t="s">
        <v>221</v>
      </c>
      <c r="C114" s="2">
        <v>76.650000000000006</v>
      </c>
      <c r="D114" s="2">
        <v>74.5</v>
      </c>
      <c r="E114" s="2">
        <v>89.54</v>
      </c>
      <c r="F114" s="2">
        <v>105.3</v>
      </c>
      <c r="G114" s="2">
        <v>95.99</v>
      </c>
      <c r="H114" s="2">
        <v>52.29</v>
      </c>
      <c r="I114" s="2">
        <v>51.58</v>
      </c>
      <c r="J114" s="2">
        <v>66.62</v>
      </c>
      <c r="K114" s="2"/>
    </row>
    <row r="115" spans="1:11" ht="15.75" customHeight="1">
      <c r="A115" s="200">
        <v>21</v>
      </c>
      <c r="B115" s="59" t="s">
        <v>222</v>
      </c>
      <c r="C115" s="8">
        <v>83.09</v>
      </c>
      <c r="D115" s="8">
        <v>88.83</v>
      </c>
      <c r="E115" s="8">
        <v>84.53</v>
      </c>
      <c r="F115" s="8">
        <v>85.96</v>
      </c>
      <c r="G115" s="8">
        <v>68.77</v>
      </c>
      <c r="H115" s="8">
        <v>43.7</v>
      </c>
      <c r="I115" s="8">
        <v>44.41</v>
      </c>
      <c r="J115" s="8">
        <v>53.72</v>
      </c>
      <c r="K115" s="2"/>
    </row>
    <row r="116" spans="1:11" ht="15.75" customHeight="1">
      <c r="A116" s="200">
        <v>21</v>
      </c>
      <c r="B116" s="59" t="s">
        <v>223</v>
      </c>
      <c r="C116" s="8">
        <v>121.06</v>
      </c>
      <c r="D116" s="8">
        <v>135.38999999999999</v>
      </c>
      <c r="E116" s="8">
        <v>115.33</v>
      </c>
      <c r="F116" s="8">
        <v>81.66</v>
      </c>
      <c r="G116" s="8">
        <v>53.01</v>
      </c>
      <c r="H116" s="8">
        <v>34.380000000000003</v>
      </c>
      <c r="I116" s="8">
        <v>37.25</v>
      </c>
      <c r="J116" s="8">
        <v>45.85</v>
      </c>
      <c r="K116" s="2"/>
    </row>
    <row r="117" spans="1:11" ht="15.75" customHeight="1">
      <c r="A117" s="200">
        <v>21</v>
      </c>
      <c r="B117" s="59" t="s">
        <v>228</v>
      </c>
      <c r="C117" s="8">
        <v>51.49</v>
      </c>
      <c r="D117" s="8">
        <v>52.24</v>
      </c>
      <c r="E117" s="8">
        <v>64.180000000000007</v>
      </c>
      <c r="F117" s="8">
        <v>84.33</v>
      </c>
      <c r="G117" s="8">
        <v>97.01</v>
      </c>
      <c r="H117" s="8">
        <v>49.25</v>
      </c>
      <c r="I117" s="8">
        <v>47.01</v>
      </c>
      <c r="J117" s="8">
        <v>63.43</v>
      </c>
      <c r="K117" s="2"/>
    </row>
    <row r="118" spans="1:11" ht="15.75" customHeight="1">
      <c r="A118" s="200">
        <v>21</v>
      </c>
      <c r="B118" s="59" t="s">
        <v>242</v>
      </c>
      <c r="C118" s="8">
        <v>75.37</v>
      </c>
      <c r="D118" s="8">
        <v>85.07</v>
      </c>
      <c r="E118" s="8">
        <v>102.99</v>
      </c>
      <c r="F118" s="8">
        <v>118.66</v>
      </c>
      <c r="G118" s="8">
        <v>108.21</v>
      </c>
      <c r="H118" s="8">
        <v>61.19</v>
      </c>
      <c r="I118" s="8">
        <v>62.69</v>
      </c>
      <c r="J118" s="8">
        <v>77.61</v>
      </c>
      <c r="K118" s="2"/>
    </row>
    <row r="119" spans="1:11" ht="15.75" customHeight="1">
      <c r="A119" s="200">
        <v>21</v>
      </c>
      <c r="B119" s="59" t="s">
        <v>243</v>
      </c>
      <c r="C119" s="8">
        <v>81.34</v>
      </c>
      <c r="D119" s="8">
        <v>98.51</v>
      </c>
      <c r="E119" s="8">
        <v>93.28</v>
      </c>
      <c r="F119" s="8">
        <v>89.55</v>
      </c>
      <c r="G119" s="8">
        <v>64.930000000000007</v>
      </c>
      <c r="H119" s="8">
        <v>42.54</v>
      </c>
      <c r="I119" s="8">
        <v>42.54</v>
      </c>
      <c r="J119" s="8">
        <v>57.46</v>
      </c>
      <c r="K119" s="2"/>
    </row>
    <row r="120" spans="1:11" ht="15.75" customHeight="1">
      <c r="A120" s="200">
        <v>21</v>
      </c>
      <c r="B120" s="59" t="s">
        <v>244</v>
      </c>
      <c r="C120" s="8">
        <v>115.67</v>
      </c>
      <c r="D120" s="8">
        <v>125.37</v>
      </c>
      <c r="E120" s="8">
        <v>97.76</v>
      </c>
      <c r="F120" s="8">
        <v>72.39</v>
      </c>
      <c r="G120" s="8">
        <v>40.299999999999997</v>
      </c>
      <c r="H120" s="8">
        <v>28.36</v>
      </c>
      <c r="I120" s="8">
        <v>35.82</v>
      </c>
      <c r="J120" s="8">
        <v>43.28</v>
      </c>
      <c r="K120" s="2"/>
    </row>
    <row r="121" spans="1:11" ht="15.75" customHeight="1">
      <c r="A121" s="202">
        <v>21</v>
      </c>
      <c r="B121" s="203" t="s">
        <v>224</v>
      </c>
      <c r="C121" s="8"/>
      <c r="D121" s="8"/>
      <c r="E121" s="8"/>
      <c r="F121" s="8"/>
      <c r="G121" s="8"/>
      <c r="H121" s="8"/>
      <c r="I121" s="8"/>
      <c r="J121" s="8"/>
      <c r="K121" s="2"/>
    </row>
    <row r="122" spans="1:11" ht="15.75" customHeight="1">
      <c r="A122" s="200">
        <v>21</v>
      </c>
      <c r="B122" s="59" t="s">
        <v>225</v>
      </c>
      <c r="C122" s="2"/>
      <c r="D122" s="2"/>
      <c r="E122" s="2"/>
      <c r="F122" s="2"/>
      <c r="G122" s="2"/>
      <c r="H122" s="2"/>
      <c r="I122" s="2"/>
      <c r="J122" s="2"/>
    </row>
    <row r="123" spans="1:11" ht="15.75" customHeight="1">
      <c r="A123" s="200">
        <v>21</v>
      </c>
      <c r="B123" s="59" t="s">
        <v>226</v>
      </c>
    </row>
    <row r="124" spans="1:11" ht="15.75" customHeight="1">
      <c r="A124" s="200">
        <v>21</v>
      </c>
      <c r="B124" s="59" t="s">
        <v>227</v>
      </c>
    </row>
    <row r="125" spans="1:11" ht="15.75" customHeight="1">
      <c r="A125" s="200">
        <v>21</v>
      </c>
      <c r="B125" s="59" t="s">
        <v>229</v>
      </c>
    </row>
    <row r="126" spans="1:11" ht="15.75" customHeight="1">
      <c r="A126" s="200">
        <v>21</v>
      </c>
      <c r="B126" s="59" t="s">
        <v>245</v>
      </c>
    </row>
    <row r="127" spans="1:11" ht="15.75" customHeight="1">
      <c r="A127" s="200">
        <v>21</v>
      </c>
      <c r="B127" s="59" t="s">
        <v>246</v>
      </c>
    </row>
    <row r="128" spans="1:11" ht="15.75" customHeight="1">
      <c r="A128" s="200">
        <v>21</v>
      </c>
      <c r="B128" s="59" t="s">
        <v>247</v>
      </c>
    </row>
    <row r="129" spans="1:10" ht="15.75" customHeight="1">
      <c r="A129" s="200">
        <v>22</v>
      </c>
      <c r="B129" s="59">
        <v>1</v>
      </c>
    </row>
    <row r="130" spans="1:10" ht="15.75" customHeight="1">
      <c r="A130" s="201">
        <v>22</v>
      </c>
      <c r="B130" s="58">
        <v>2</v>
      </c>
    </row>
    <row r="131" spans="1:10" ht="15.75" customHeight="1">
      <c r="A131" s="200">
        <v>22</v>
      </c>
      <c r="B131" s="59">
        <v>3</v>
      </c>
    </row>
    <row r="132" spans="1:10" ht="15.75" customHeight="1">
      <c r="A132" s="200">
        <v>22</v>
      </c>
      <c r="B132" s="59">
        <v>4</v>
      </c>
    </row>
    <row r="133" spans="1:10" ht="15.75" customHeight="1">
      <c r="A133" s="200">
        <v>22</v>
      </c>
      <c r="B133" s="59">
        <v>5</v>
      </c>
    </row>
    <row r="134" spans="1:10" ht="15.75" customHeight="1">
      <c r="A134" s="200">
        <v>22</v>
      </c>
      <c r="B134" s="59">
        <v>6</v>
      </c>
    </row>
    <row r="135" spans="1:10" ht="15.75" customHeight="1">
      <c r="A135" s="200">
        <v>22</v>
      </c>
      <c r="B135" s="59">
        <v>7</v>
      </c>
    </row>
    <row r="136" spans="1:10" ht="15.75" customHeight="1">
      <c r="A136" s="200">
        <v>22</v>
      </c>
      <c r="B136" s="59">
        <v>8</v>
      </c>
    </row>
    <row r="137" spans="1:10" ht="15.75" customHeight="1">
      <c r="A137" s="200">
        <v>23</v>
      </c>
      <c r="B137" s="59">
        <v>1</v>
      </c>
      <c r="C137" s="2">
        <v>90</v>
      </c>
      <c r="D137" s="2">
        <v>110</v>
      </c>
      <c r="E137" s="2">
        <v>140</v>
      </c>
      <c r="F137" s="2">
        <v>120</v>
      </c>
      <c r="G137" s="2">
        <v>100</v>
      </c>
      <c r="H137" s="2">
        <v>100</v>
      </c>
      <c r="I137" s="2">
        <v>110</v>
      </c>
    </row>
    <row r="138" spans="1:10" ht="15.75" customHeight="1">
      <c r="A138" s="201">
        <v>23</v>
      </c>
      <c r="B138" s="58">
        <v>2</v>
      </c>
      <c r="C138" s="127">
        <v>100</v>
      </c>
      <c r="D138" s="206">
        <v>140</v>
      </c>
      <c r="E138" s="206">
        <v>190</v>
      </c>
      <c r="F138" s="206">
        <v>110</v>
      </c>
      <c r="G138" s="206">
        <v>100</v>
      </c>
      <c r="H138" s="206">
        <v>110</v>
      </c>
      <c r="I138" s="207">
        <v>130</v>
      </c>
      <c r="J138" s="2"/>
    </row>
    <row r="139" spans="1:10" ht="15.75" customHeight="1">
      <c r="A139" s="200">
        <v>23</v>
      </c>
      <c r="B139" s="59">
        <v>3</v>
      </c>
      <c r="C139" s="48">
        <v>140</v>
      </c>
      <c r="D139" s="2">
        <v>190</v>
      </c>
      <c r="E139" s="2">
        <v>300</v>
      </c>
      <c r="F139" s="2">
        <v>150</v>
      </c>
      <c r="G139" s="2">
        <v>120</v>
      </c>
      <c r="H139" s="2">
        <v>130</v>
      </c>
      <c r="I139" s="208">
        <v>150</v>
      </c>
      <c r="J139" s="2"/>
    </row>
    <row r="140" spans="1:10" ht="15.75" customHeight="1">
      <c r="A140" s="200">
        <v>23</v>
      </c>
      <c r="B140" s="59">
        <v>4</v>
      </c>
      <c r="C140" s="48">
        <v>160</v>
      </c>
      <c r="D140" s="2">
        <v>200</v>
      </c>
      <c r="E140" s="2">
        <v>320</v>
      </c>
      <c r="F140" s="2">
        <v>180</v>
      </c>
      <c r="G140" s="2">
        <v>150</v>
      </c>
      <c r="H140" s="2">
        <v>150</v>
      </c>
      <c r="I140" s="208">
        <v>180</v>
      </c>
      <c r="J140" s="2"/>
    </row>
    <row r="141" spans="1:10" ht="15.75" customHeight="1">
      <c r="A141" s="200">
        <v>23</v>
      </c>
      <c r="B141" s="59">
        <v>5</v>
      </c>
      <c r="C141" s="48">
        <v>120</v>
      </c>
      <c r="D141" s="2">
        <v>150</v>
      </c>
      <c r="E141" s="2">
        <v>220</v>
      </c>
      <c r="F141" s="2">
        <v>140</v>
      </c>
      <c r="G141" s="2">
        <v>110</v>
      </c>
      <c r="H141" s="2">
        <v>120</v>
      </c>
      <c r="I141" s="208">
        <v>130</v>
      </c>
      <c r="J141" s="2"/>
    </row>
    <row r="142" spans="1:10" ht="15.75" customHeight="1">
      <c r="A142" s="202">
        <v>24</v>
      </c>
      <c r="B142" s="203">
        <v>1</v>
      </c>
      <c r="C142" s="128"/>
      <c r="D142" s="30"/>
      <c r="E142" s="30"/>
      <c r="F142" s="30"/>
      <c r="G142" s="30"/>
      <c r="H142" s="30"/>
      <c r="I142" s="209"/>
      <c r="J142" s="2"/>
    </row>
    <row r="143" spans="1:10" ht="15.75" customHeight="1">
      <c r="A143" s="210">
        <v>24</v>
      </c>
      <c r="B143" s="211">
        <v>2</v>
      </c>
      <c r="C143" s="2"/>
      <c r="D143" s="2"/>
      <c r="E143" s="2"/>
      <c r="F143" s="2"/>
      <c r="G143" s="2"/>
      <c r="H143" s="2"/>
      <c r="I143" s="2"/>
    </row>
    <row r="144" spans="1:10" ht="15.75" customHeight="1">
      <c r="A144" s="210">
        <v>24</v>
      </c>
      <c r="B144" s="211">
        <v>3</v>
      </c>
    </row>
    <row r="145" spans="1:2" ht="15.75" customHeight="1">
      <c r="A145" s="210">
        <v>24</v>
      </c>
      <c r="B145" s="211">
        <v>4</v>
      </c>
    </row>
    <row r="146" spans="1:2" ht="15.75" customHeight="1">
      <c r="A146" s="210">
        <v>24</v>
      </c>
      <c r="B146" s="211">
        <v>5</v>
      </c>
    </row>
    <row r="147" spans="1:2" ht="15.75" customHeight="1">
      <c r="A147" s="210">
        <v>24</v>
      </c>
      <c r="B147" s="211">
        <v>6</v>
      </c>
    </row>
    <row r="148" spans="1:2" ht="15.75" customHeight="1">
      <c r="A148" s="210">
        <v>24</v>
      </c>
      <c r="B148" s="211">
        <v>7</v>
      </c>
    </row>
    <row r="149" spans="1:2" ht="15.75" customHeight="1">
      <c r="A149" s="210">
        <v>25</v>
      </c>
      <c r="B149" s="211">
        <v>1</v>
      </c>
    </row>
    <row r="150" spans="1:2" ht="15.75" customHeight="1">
      <c r="A150" s="201">
        <v>25</v>
      </c>
      <c r="B150" s="58">
        <v>2</v>
      </c>
    </row>
    <row r="151" spans="1:2" ht="15.75" customHeight="1">
      <c r="A151" s="200">
        <v>25</v>
      </c>
      <c r="B151" s="59">
        <v>3</v>
      </c>
    </row>
    <row r="152" spans="1:2" ht="15.75" customHeight="1">
      <c r="A152" s="200">
        <v>25</v>
      </c>
      <c r="B152" s="59">
        <v>4</v>
      </c>
    </row>
    <row r="153" spans="1:2" ht="15.75" customHeight="1">
      <c r="A153" s="200">
        <v>26</v>
      </c>
      <c r="B153" s="59" t="s">
        <v>220</v>
      </c>
    </row>
    <row r="154" spans="1:2" ht="15.75" customHeight="1">
      <c r="A154" s="201">
        <v>26</v>
      </c>
      <c r="B154" s="178" t="s">
        <v>221</v>
      </c>
    </row>
    <row r="155" spans="1:2" ht="15.75" customHeight="1">
      <c r="A155" s="200">
        <v>26</v>
      </c>
      <c r="B155" s="179" t="s">
        <v>222</v>
      </c>
    </row>
    <row r="156" spans="1:2" ht="15.75" customHeight="1">
      <c r="A156" s="200">
        <v>26</v>
      </c>
      <c r="B156" s="179" t="s">
        <v>223</v>
      </c>
    </row>
    <row r="157" spans="1:2" ht="15.75" customHeight="1">
      <c r="A157" s="200">
        <v>26</v>
      </c>
      <c r="B157" s="179" t="s">
        <v>228</v>
      </c>
    </row>
    <row r="158" spans="1:2" ht="15.75" customHeight="1">
      <c r="A158" s="200">
        <v>26</v>
      </c>
      <c r="B158" s="179" t="s">
        <v>224</v>
      </c>
    </row>
    <row r="159" spans="1:2" ht="15.75" customHeight="1">
      <c r="A159" s="200">
        <v>26</v>
      </c>
      <c r="B159" s="179" t="s">
        <v>225</v>
      </c>
    </row>
    <row r="160" spans="1:2" ht="15.75" customHeight="1">
      <c r="A160" s="200">
        <v>26</v>
      </c>
      <c r="B160" s="179" t="s">
        <v>226</v>
      </c>
    </row>
    <row r="161" spans="1:2" ht="15.75" customHeight="1">
      <c r="A161" s="200">
        <v>26</v>
      </c>
      <c r="B161" s="179" t="s">
        <v>227</v>
      </c>
    </row>
    <row r="162" spans="1:2" ht="15.75" customHeight="1">
      <c r="A162" s="200">
        <v>26</v>
      </c>
      <c r="B162" s="179" t="s">
        <v>229</v>
      </c>
    </row>
    <row r="163" spans="1:2" ht="15.75" customHeight="1">
      <c r="A163" s="200">
        <v>27</v>
      </c>
      <c r="B163" s="59">
        <v>1</v>
      </c>
    </row>
    <row r="164" spans="1:2" ht="15.75" customHeight="1">
      <c r="A164" s="177">
        <v>27</v>
      </c>
      <c r="B164" s="178">
        <v>2</v>
      </c>
    </row>
    <row r="165" spans="1:2" ht="15.75" customHeight="1">
      <c r="A165" s="174">
        <v>27</v>
      </c>
      <c r="B165" s="179">
        <v>3</v>
      </c>
    </row>
    <row r="166" spans="1:2" ht="15.75" customHeight="1">
      <c r="A166" s="174">
        <v>27</v>
      </c>
      <c r="B166" s="179">
        <v>4</v>
      </c>
    </row>
    <row r="167" spans="1:2" ht="15.75" customHeight="1">
      <c r="A167" s="175">
        <v>28</v>
      </c>
      <c r="B167" s="180">
        <v>1</v>
      </c>
    </row>
    <row r="168" spans="1:2" ht="15.75" customHeight="1">
      <c r="A168" s="200">
        <v>28</v>
      </c>
      <c r="B168" s="59">
        <v>2</v>
      </c>
    </row>
    <row r="169" spans="1:2" ht="15.75" customHeight="1">
      <c r="A169" s="200">
        <v>28</v>
      </c>
      <c r="B169" s="59">
        <v>3</v>
      </c>
    </row>
    <row r="170" spans="1:2" ht="15.75" customHeight="1">
      <c r="A170" s="200">
        <v>28</v>
      </c>
      <c r="B170" s="59">
        <v>4</v>
      </c>
    </row>
    <row r="171" spans="1:2" ht="15.75" customHeight="1">
      <c r="A171" s="200">
        <v>28</v>
      </c>
      <c r="B171" s="59">
        <v>5</v>
      </c>
    </row>
    <row r="172" spans="1:2" ht="15.75" customHeight="1">
      <c r="A172" s="200">
        <v>28</v>
      </c>
      <c r="B172" s="59">
        <v>6</v>
      </c>
    </row>
    <row r="173" spans="1:2" ht="15.75" customHeight="1">
      <c r="A173" s="200">
        <v>29</v>
      </c>
      <c r="B173" s="59">
        <v>1</v>
      </c>
    </row>
    <row r="174" spans="1:2" ht="15.75" customHeight="1">
      <c r="A174" s="201">
        <v>29</v>
      </c>
      <c r="B174" s="58">
        <v>2</v>
      </c>
    </row>
    <row r="175" spans="1:2" ht="15.75" customHeight="1">
      <c r="A175" s="200">
        <v>29</v>
      </c>
      <c r="B175" s="59">
        <v>3</v>
      </c>
    </row>
    <row r="176" spans="1:2" ht="15.75" customHeight="1">
      <c r="A176" s="200">
        <v>29</v>
      </c>
      <c r="B176" s="59">
        <v>4</v>
      </c>
    </row>
    <row r="177" spans="1:28" ht="15.75" customHeight="1">
      <c r="A177" s="200">
        <v>29</v>
      </c>
      <c r="B177" s="59">
        <v>5</v>
      </c>
    </row>
    <row r="178" spans="1:28" ht="15.75" customHeight="1">
      <c r="A178" s="200">
        <v>30</v>
      </c>
      <c r="B178" s="59">
        <v>1</v>
      </c>
      <c r="C178" s="2">
        <v>172.2</v>
      </c>
      <c r="D178" s="2">
        <v>164.08</v>
      </c>
      <c r="E178" s="2">
        <v>166.79</v>
      </c>
      <c r="F178" s="2">
        <v>149.46</v>
      </c>
      <c r="G178" s="2">
        <v>114.8</v>
      </c>
      <c r="H178" s="2">
        <v>72.02</v>
      </c>
      <c r="I178" s="2">
        <v>53.07</v>
      </c>
      <c r="J178" s="2">
        <v>46.03</v>
      </c>
      <c r="K178" s="2">
        <v>40.07</v>
      </c>
      <c r="L178" s="2">
        <v>36.28</v>
      </c>
      <c r="M178" s="2">
        <v>30.32</v>
      </c>
      <c r="N178" s="2">
        <v>24.91</v>
      </c>
      <c r="O178" s="2">
        <v>17.329999999999998</v>
      </c>
    </row>
    <row r="179" spans="1:28" ht="15.75" customHeight="1">
      <c r="A179" s="201">
        <v>30</v>
      </c>
      <c r="B179" s="58">
        <v>2</v>
      </c>
      <c r="C179" s="206">
        <v>237.18</v>
      </c>
      <c r="D179" s="206">
        <v>237.18</v>
      </c>
      <c r="E179" s="206">
        <v>252.35</v>
      </c>
      <c r="F179" s="206">
        <v>235.56</v>
      </c>
      <c r="G179" s="206">
        <v>187.36</v>
      </c>
      <c r="H179" s="206">
        <v>150</v>
      </c>
      <c r="I179" s="206">
        <v>148.38</v>
      </c>
      <c r="J179" s="206">
        <v>145.13</v>
      </c>
      <c r="K179" s="206">
        <v>136.46</v>
      </c>
      <c r="L179" s="206">
        <v>131.05000000000001</v>
      </c>
      <c r="M179" s="206">
        <v>119.68</v>
      </c>
      <c r="N179" s="206">
        <v>104.51</v>
      </c>
      <c r="O179" s="207">
        <v>87.18</v>
      </c>
      <c r="P179" s="2"/>
    </row>
    <row r="180" spans="1:28" ht="15.75" customHeight="1">
      <c r="A180" s="200">
        <v>30</v>
      </c>
      <c r="B180" s="59">
        <v>3</v>
      </c>
      <c r="C180" s="2">
        <v>224.19</v>
      </c>
      <c r="D180" s="2">
        <v>227.44</v>
      </c>
      <c r="E180" s="2">
        <v>244.77</v>
      </c>
      <c r="F180" s="2">
        <v>232.85</v>
      </c>
      <c r="G180" s="2">
        <v>194.95</v>
      </c>
      <c r="H180" s="2">
        <v>165.7</v>
      </c>
      <c r="I180" s="2">
        <v>168.95</v>
      </c>
      <c r="J180" s="2">
        <v>164.08</v>
      </c>
      <c r="K180" s="2">
        <v>160.83000000000001</v>
      </c>
      <c r="L180" s="2">
        <v>153.79</v>
      </c>
      <c r="M180" s="2">
        <v>141.88</v>
      </c>
      <c r="N180" s="2">
        <v>124.55</v>
      </c>
      <c r="O180" s="208">
        <v>103.43</v>
      </c>
      <c r="P180" s="2"/>
    </row>
    <row r="181" spans="1:28" ht="15.75" customHeight="1">
      <c r="A181" s="202">
        <v>31</v>
      </c>
      <c r="B181" s="203">
        <v>1</v>
      </c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209"/>
      <c r="P181" s="2"/>
    </row>
    <row r="182" spans="1:28" ht="15.75" customHeight="1">
      <c r="A182" s="200">
        <v>31</v>
      </c>
      <c r="B182" s="59">
        <v>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28" ht="15.75" customHeight="1">
      <c r="A183" s="200">
        <v>31</v>
      </c>
      <c r="B183" s="59">
        <v>3</v>
      </c>
    </row>
    <row r="184" spans="1:28" ht="15.75" customHeight="1">
      <c r="A184" s="200">
        <v>31</v>
      </c>
      <c r="B184" s="59">
        <v>4</v>
      </c>
    </row>
    <row r="185" spans="1:28" ht="15.75" customHeight="1">
      <c r="A185" s="200">
        <v>31</v>
      </c>
      <c r="B185" s="59">
        <v>5</v>
      </c>
    </row>
    <row r="186" spans="1:28" ht="15.75" customHeight="1">
      <c r="A186" s="200">
        <v>32</v>
      </c>
      <c r="B186" s="59">
        <v>1</v>
      </c>
      <c r="C186" s="2"/>
      <c r="D186" s="2"/>
      <c r="E186" s="2"/>
      <c r="F186" s="2"/>
      <c r="G186" s="2">
        <v>157.6</v>
      </c>
      <c r="H186" s="2"/>
      <c r="I186" s="2"/>
      <c r="J186" s="2"/>
    </row>
    <row r="187" spans="1:28" ht="15.75" customHeight="1">
      <c r="A187" s="177">
        <v>32</v>
      </c>
      <c r="B187" s="178">
        <v>2</v>
      </c>
      <c r="C187" s="206">
        <v>130.548</v>
      </c>
      <c r="D187" s="206">
        <v>130.548</v>
      </c>
      <c r="E187" s="206">
        <v>156.28299999999999</v>
      </c>
      <c r="F187" s="206">
        <v>196.72499999999999</v>
      </c>
      <c r="G187" s="346">
        <v>233.155</v>
      </c>
      <c r="H187" s="206">
        <v>70.721999999999994</v>
      </c>
      <c r="I187" s="206">
        <v>52.673999999999999</v>
      </c>
      <c r="J187" s="207">
        <v>62.366</v>
      </c>
      <c r="K187" s="2"/>
    </row>
    <row r="188" spans="1:28" ht="15.75" customHeight="1">
      <c r="A188" s="174">
        <v>33</v>
      </c>
      <c r="B188" s="179">
        <v>1</v>
      </c>
      <c r="C188" s="2">
        <v>2.791E-6</v>
      </c>
      <c r="D188" s="2">
        <v>6.4150000000000004E-6</v>
      </c>
      <c r="E188" s="2">
        <v>1.3796E-5</v>
      </c>
      <c r="F188" s="2">
        <v>2.7757000000000002E-5</v>
      </c>
      <c r="G188" s="2">
        <v>4.5734E-5</v>
      </c>
      <c r="H188" s="2">
        <v>8.0542000000000002E-5</v>
      </c>
      <c r="I188" s="2">
        <v>1.20093E-4</v>
      </c>
      <c r="J188" s="208">
        <v>1.8512700000000002E-4</v>
      </c>
      <c r="K188" s="2">
        <v>2.9503899999999998E-4</v>
      </c>
      <c r="L188" s="2">
        <v>4.3992E-4</v>
      </c>
      <c r="M188" s="2">
        <v>6.7814899999999996E-4</v>
      </c>
      <c r="N188" s="2">
        <v>1.011159E-3</v>
      </c>
      <c r="O188" s="2">
        <v>1.507694E-3</v>
      </c>
      <c r="P188" s="2">
        <v>2.1744499999999996E-3</v>
      </c>
      <c r="Q188" s="2">
        <v>3.2422269999999999E-3</v>
      </c>
      <c r="R188" s="2">
        <v>4.8343419999999993E-3</v>
      </c>
      <c r="S188" s="2">
        <v>6.5231569999999999E-3</v>
      </c>
      <c r="T188" s="2">
        <v>9.4079279999999994E-3</v>
      </c>
      <c r="U188" s="2">
        <v>1.3124183000000001E-2</v>
      </c>
      <c r="V188" s="2">
        <v>1.7129116000000003E-2</v>
      </c>
      <c r="W188" s="2">
        <v>2.3112952000000003E-2</v>
      </c>
      <c r="X188" s="2">
        <v>3.0166024E-2</v>
      </c>
      <c r="Y188" s="2">
        <v>4.4979233E-2</v>
      </c>
      <c r="Z188" s="2">
        <v>5.6782807999999997E-2</v>
      </c>
      <c r="AA188" s="2">
        <v>8.1894175E-2</v>
      </c>
    </row>
    <row r="189" spans="1:28" ht="15.75" customHeight="1">
      <c r="A189" s="201">
        <v>33</v>
      </c>
      <c r="B189" s="178">
        <v>2</v>
      </c>
      <c r="C189" s="206">
        <v>1.2076000000000001E-5</v>
      </c>
      <c r="D189" s="206">
        <v>2.8697E-5</v>
      </c>
      <c r="E189" s="206">
        <v>6.5958999999999996E-5</v>
      </c>
      <c r="F189" s="206">
        <v>1.3270599999999999E-4</v>
      </c>
      <c r="G189" s="206">
        <v>2.5825499999999999E-4</v>
      </c>
      <c r="H189" s="206">
        <v>3.9810700000000003E-4</v>
      </c>
      <c r="I189" s="206">
        <v>6.7814899999999996E-4</v>
      </c>
      <c r="J189" s="206">
        <v>1.0453869999999998E-3</v>
      </c>
      <c r="K189" s="206">
        <v>1.6660450000000001E-3</v>
      </c>
      <c r="L189" s="206">
        <v>2.4841669999999998E-3</v>
      </c>
      <c r="M189" s="206">
        <v>3.5827530000000002E-3</v>
      </c>
      <c r="N189" s="206">
        <v>4.9979880000000001E-3</v>
      </c>
      <c r="O189" s="206">
        <v>7.2082749999999992E-3</v>
      </c>
      <c r="P189" s="206">
        <v>1.0396029000000001E-2</v>
      </c>
      <c r="Q189" s="206">
        <v>1.3124183000000001E-2</v>
      </c>
      <c r="R189" s="206">
        <v>1.7129116000000003E-2</v>
      </c>
      <c r="S189" s="206">
        <v>2.1624186E-2</v>
      </c>
      <c r="T189" s="206">
        <v>2.9178316999999999E-2</v>
      </c>
      <c r="U189" s="206">
        <v>3.6835372000000005E-2</v>
      </c>
      <c r="V189" s="206">
        <v>4.3506507E-2</v>
      </c>
      <c r="W189" s="206">
        <v>4.3506507E-2</v>
      </c>
      <c r="X189" s="206">
        <v>7.1683910000000003E-2</v>
      </c>
      <c r="Y189" s="206">
        <v>7.1683910000000003E-2</v>
      </c>
      <c r="Z189" s="206">
        <v>9.049539999999999E-2</v>
      </c>
      <c r="AA189" s="207">
        <v>0.10688473</v>
      </c>
      <c r="AB189" s="2"/>
    </row>
    <row r="190" spans="1:28" ht="15.75" customHeight="1">
      <c r="A190" s="200">
        <v>33</v>
      </c>
      <c r="B190" s="179">
        <v>3</v>
      </c>
      <c r="C190" s="2">
        <v>1.6295000000000002E-5</v>
      </c>
      <c r="D190" s="2">
        <v>4.0031999999999999E-5</v>
      </c>
      <c r="E190" s="2">
        <v>9.5129000000000003E-5</v>
      </c>
      <c r="F190" s="2">
        <v>1.79066E-4</v>
      </c>
      <c r="G190" s="2">
        <v>3.26027E-4</v>
      </c>
      <c r="H190" s="2">
        <v>5.9360000000000001E-4</v>
      </c>
      <c r="I190" s="2">
        <v>1.011159E-3</v>
      </c>
      <c r="J190" s="2">
        <v>1.507694E-3</v>
      </c>
      <c r="K190" s="2">
        <v>2.402829E-3</v>
      </c>
      <c r="L190" s="2">
        <v>3.5827530000000002E-3</v>
      </c>
      <c r="M190" s="2">
        <v>5.1671729999999997E-3</v>
      </c>
      <c r="N190" s="2">
        <v>7.4522799999999995E-3</v>
      </c>
      <c r="O190" s="2">
        <v>1.0747942E-2</v>
      </c>
      <c r="P190" s="2">
        <v>1.4502596999999999E-2</v>
      </c>
      <c r="Q190" s="2">
        <v>1.8308409000000001E-2</v>
      </c>
      <c r="R190" s="2">
        <v>2.822295E-2</v>
      </c>
      <c r="S190" s="2">
        <v>3.5629294999999998E-2</v>
      </c>
      <c r="T190" s="2">
        <v>3.6835372000000005E-2</v>
      </c>
      <c r="U190" s="2">
        <v>4.2082000999999994E-2</v>
      </c>
      <c r="V190" s="2">
        <v>6.4870642000000006E-2</v>
      </c>
      <c r="W190" s="2">
        <v>7.4110462000000002E-2</v>
      </c>
      <c r="X190" s="2">
        <v>7.4110462000000002E-2</v>
      </c>
      <c r="Y190" s="2">
        <v>8.4666351000000001E-2</v>
      </c>
      <c r="Z190" s="2">
        <v>9.049539999999999E-2</v>
      </c>
      <c r="AA190" s="208">
        <v>9.049539999999999E-2</v>
      </c>
      <c r="AB190" s="2"/>
    </row>
    <row r="191" spans="1:28" ht="15.75" customHeight="1">
      <c r="A191" s="200">
        <v>33</v>
      </c>
      <c r="B191" s="179">
        <v>4</v>
      </c>
      <c r="C191" s="2">
        <v>5.3718100000000007E-4</v>
      </c>
      <c r="D191" s="2">
        <v>7.4937400000000003E-4</v>
      </c>
      <c r="E191" s="2">
        <v>1.011159E-3</v>
      </c>
      <c r="F191" s="2">
        <v>1.1942860000000001E-3</v>
      </c>
      <c r="G191" s="2">
        <v>1.558731E-3</v>
      </c>
      <c r="H191" s="2">
        <v>2.0343879999999998E-3</v>
      </c>
      <c r="I191" s="2">
        <v>2.568257E-3</v>
      </c>
      <c r="J191" s="2">
        <v>3.5827530000000002E-3</v>
      </c>
      <c r="K191" s="2">
        <v>4.6760539999999998E-3</v>
      </c>
      <c r="L191" s="2">
        <v>6.3095730000000006E-3</v>
      </c>
      <c r="M191" s="2">
        <v>8.8019380000000005E-3</v>
      </c>
      <c r="N191" s="2">
        <v>1.1111767E-2</v>
      </c>
      <c r="O191" s="2">
        <v>1.6025784000000001E-2</v>
      </c>
      <c r="P191" s="2">
        <v>2.1624186E-2</v>
      </c>
      <c r="Q191" s="2">
        <v>2.6405035E-2</v>
      </c>
      <c r="R191" s="2">
        <v>3.6835372000000005E-2</v>
      </c>
      <c r="S191" s="2">
        <v>4.6501811999999997E-2</v>
      </c>
      <c r="T191" s="2">
        <v>5.3125276999999999E-2</v>
      </c>
      <c r="U191" s="2">
        <v>5.8704947E-2</v>
      </c>
      <c r="V191" s="2">
        <v>8.7532367E-2</v>
      </c>
      <c r="W191" s="2">
        <v>9.6725763999999992E-2</v>
      </c>
      <c r="X191" s="2">
        <v>0.11050285400000001</v>
      </c>
      <c r="Y191" s="2">
        <v>0.13950131899999998</v>
      </c>
      <c r="Z191" s="2">
        <v>0.159371125</v>
      </c>
      <c r="AA191" s="208">
        <v>0.22985067499999998</v>
      </c>
      <c r="AB191" s="2"/>
    </row>
    <row r="192" spans="1:28" ht="15.75" customHeight="1">
      <c r="A192" s="200">
        <v>34</v>
      </c>
      <c r="B192" s="179">
        <v>1</v>
      </c>
      <c r="C192" s="2">
        <v>8.3941000000000002E-5</v>
      </c>
      <c r="D192" s="2">
        <v>1.20746E-4</v>
      </c>
      <c r="E192" s="2">
        <v>1.8578299999999999E-4</v>
      </c>
      <c r="F192" s="2">
        <v>2.6723899999999995E-4</v>
      </c>
      <c r="G192" s="2">
        <v>4.1118299999999997E-4</v>
      </c>
      <c r="H192" s="2">
        <v>6.3265900000000004E-4</v>
      </c>
      <c r="I192" s="2">
        <v>9.6040899999999996E-4</v>
      </c>
      <c r="J192" s="2">
        <v>1.41921E-3</v>
      </c>
      <c r="K192" s="2">
        <v>2.1544350000000001E-3</v>
      </c>
      <c r="L192" s="2">
        <v>3.2705430000000003E-3</v>
      </c>
      <c r="M192" s="2">
        <v>4.7682889999999993E-3</v>
      </c>
      <c r="N192" s="2">
        <v>7.0461719999999999E-3</v>
      </c>
      <c r="O192" s="2">
        <v>9.734286E-3</v>
      </c>
      <c r="P192" s="2">
        <v>1.4002282E-2</v>
      </c>
      <c r="Q192" s="2">
        <v>1.8329807E-2</v>
      </c>
      <c r="R192" s="2">
        <v>2.4320075E-2</v>
      </c>
      <c r="S192" s="2">
        <v>3.0575960999999999E-2</v>
      </c>
      <c r="T192" s="2">
        <v>3.8441057000000001E-2</v>
      </c>
      <c r="U192" s="2">
        <v>4.5182552000000001E-2</v>
      </c>
      <c r="V192" s="2">
        <v>5.1003777E-2</v>
      </c>
      <c r="W192" s="30"/>
      <c r="X192" s="30"/>
      <c r="Y192" s="30"/>
      <c r="Z192" s="30"/>
      <c r="AA192" s="209"/>
      <c r="AB192" s="2"/>
    </row>
    <row r="193" spans="1:27" ht="15.75" customHeight="1">
      <c r="A193" s="177">
        <v>34</v>
      </c>
      <c r="B193" s="178">
        <v>2</v>
      </c>
      <c r="C193" s="206">
        <v>1.2951799999999999E-4</v>
      </c>
      <c r="D193" s="206">
        <v>1.7980199999999998E-4</v>
      </c>
      <c r="E193" s="206">
        <v>2.5598800000000002E-4</v>
      </c>
      <c r="F193" s="206">
        <v>3.6908200000000001E-4</v>
      </c>
      <c r="G193" s="206">
        <v>5.4574099999999998E-4</v>
      </c>
      <c r="H193" s="206">
        <v>7.9683800000000002E-4</v>
      </c>
      <c r="I193" s="206">
        <v>1.2392260000000002E-3</v>
      </c>
      <c r="J193" s="206">
        <v>1.8556379999999999E-3</v>
      </c>
      <c r="K193" s="206">
        <v>2.709422E-3</v>
      </c>
      <c r="L193" s="206">
        <v>3.7613389999999998E-3</v>
      </c>
      <c r="M193" s="206">
        <v>5.1561879999999999E-3</v>
      </c>
      <c r="N193" s="206">
        <v>7.0683019999999994E-3</v>
      </c>
      <c r="O193" s="206">
        <v>8.6494060000000001E-3</v>
      </c>
      <c r="P193" s="206">
        <v>9.9371140000000004E-3</v>
      </c>
      <c r="Q193" s="206">
        <v>1.0992485E-2</v>
      </c>
      <c r="R193" s="206">
        <v>1.1856939E-2</v>
      </c>
      <c r="S193" s="206">
        <v>1.2789375E-2</v>
      </c>
      <c r="T193" s="206">
        <v>1.4327300999999999E-2</v>
      </c>
      <c r="U193" s="206">
        <v>1.4509211999999999E-2</v>
      </c>
      <c r="V193" s="207">
        <v>1.4693433000000001E-2</v>
      </c>
      <c r="W193" s="2"/>
      <c r="X193" s="2"/>
      <c r="Y193" s="2"/>
      <c r="Z193" s="2"/>
      <c r="AA193" s="2"/>
    </row>
    <row r="194" spans="1:27" ht="15.75" customHeight="1">
      <c r="A194" s="174">
        <v>34</v>
      </c>
      <c r="B194" s="179">
        <v>3</v>
      </c>
      <c r="C194" s="2">
        <v>2.12671E-4</v>
      </c>
      <c r="D194" s="2">
        <v>2.8648599999999997E-4</v>
      </c>
      <c r="E194" s="2">
        <v>4.0121300000000004E-4</v>
      </c>
      <c r="F194" s="2">
        <v>5.7663400000000002E-4</v>
      </c>
      <c r="G194" s="2">
        <v>7.8690300000000004E-4</v>
      </c>
      <c r="H194" s="2">
        <v>1.1606400000000001E-3</v>
      </c>
      <c r="I194" s="2">
        <v>1.6898499999999999E-3</v>
      </c>
      <c r="J194" s="2">
        <v>2.3665790000000002E-3</v>
      </c>
      <c r="K194" s="2">
        <v>3.445652E-3</v>
      </c>
      <c r="L194" s="2">
        <v>4.952176E-3</v>
      </c>
      <c r="M194" s="2">
        <v>6.9353590000000003E-3</v>
      </c>
      <c r="N194" s="2">
        <v>9.4643330000000001E-3</v>
      </c>
      <c r="O194" s="2">
        <v>1.2423200000000001E-2</v>
      </c>
      <c r="P194" s="2">
        <v>1.6097225999999999E-2</v>
      </c>
      <c r="Q194" s="2">
        <v>1.9804556000000001E-2</v>
      </c>
      <c r="R194" s="2">
        <v>2.5005235000000001E-2</v>
      </c>
      <c r="S194" s="2">
        <v>3.0764155999999997E-2</v>
      </c>
      <c r="T194" s="2">
        <v>3.2822707E-2</v>
      </c>
      <c r="U194" s="2">
        <v>3.7362264999999999E-2</v>
      </c>
      <c r="V194" s="208"/>
      <c r="W194" s="2"/>
    </row>
    <row r="195" spans="1:27" ht="15.75" customHeight="1">
      <c r="A195" s="174">
        <v>34</v>
      </c>
      <c r="B195" s="179">
        <v>4</v>
      </c>
      <c r="C195" s="2">
        <v>1.9486449999999999E-3</v>
      </c>
      <c r="D195" s="2">
        <v>2.1336050000000002E-3</v>
      </c>
      <c r="E195" s="2">
        <v>2.4286939999999999E-3</v>
      </c>
      <c r="F195" s="2">
        <v>2.6938890000000001E-3</v>
      </c>
      <c r="G195" s="2">
        <v>3.027002E-3</v>
      </c>
      <c r="H195" s="2">
        <v>3.4905779999999998E-3</v>
      </c>
      <c r="I195" s="2">
        <v>3.9222049999999998E-3</v>
      </c>
      <c r="J195" s="2">
        <v>4.4646670000000003E-3</v>
      </c>
      <c r="K195" s="2">
        <v>5.1484170000000006E-3</v>
      </c>
      <c r="L195" s="2">
        <v>5.7850429999999993E-3</v>
      </c>
      <c r="M195" s="2">
        <v>6.5003919999999998E-3</v>
      </c>
      <c r="N195" s="2">
        <v>7.3041959999999998E-3</v>
      </c>
      <c r="O195" s="2">
        <v>8.1017620000000002E-3</v>
      </c>
      <c r="P195" s="2">
        <v>9.3425220000000007E-3</v>
      </c>
      <c r="Q195" s="2">
        <v>1.0634642999999999E-2</v>
      </c>
      <c r="R195" s="2">
        <v>1.1494184999999999E-2</v>
      </c>
      <c r="S195" s="2">
        <v>1.2585178000000001E-2</v>
      </c>
      <c r="T195" s="2">
        <v>1.4141395000000001E-2</v>
      </c>
      <c r="U195" s="2">
        <v>1.5685534000000001E-2</v>
      </c>
      <c r="V195" s="208">
        <v>3.0368205000000002E-2</v>
      </c>
      <c r="W195" s="2"/>
    </row>
    <row r="196" spans="1:27" ht="15.75" customHeight="1">
      <c r="A196" s="175">
        <v>35</v>
      </c>
      <c r="B196" s="180">
        <v>1</v>
      </c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209"/>
      <c r="W196" s="2"/>
    </row>
    <row r="197" spans="1:27" ht="15.75" customHeight="1">
      <c r="A197" s="200">
        <v>35</v>
      </c>
      <c r="B197" s="59">
        <v>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7" ht="15.75" customHeight="1">
      <c r="A198" s="200">
        <v>35</v>
      </c>
      <c r="B198" s="59">
        <v>3</v>
      </c>
    </row>
    <row r="199" spans="1:27" ht="15.75" customHeight="1">
      <c r="A199" s="200">
        <v>35</v>
      </c>
      <c r="B199" s="59">
        <v>4</v>
      </c>
    </row>
    <row r="200" spans="1:27" ht="15.75" customHeight="1">
      <c r="A200" s="202">
        <v>36</v>
      </c>
      <c r="B200" s="203">
        <v>1</v>
      </c>
    </row>
    <row r="201" spans="1:27" ht="15.75" customHeight="1">
      <c r="A201" s="205">
        <v>36</v>
      </c>
      <c r="B201" s="59">
        <v>2</v>
      </c>
    </row>
    <row r="202" spans="1:27" ht="15.75" customHeight="1">
      <c r="A202" s="205">
        <v>36</v>
      </c>
      <c r="B202" s="59">
        <v>3</v>
      </c>
    </row>
    <row r="203" spans="1:27" ht="15.75" customHeight="1">
      <c r="A203" s="205">
        <v>36</v>
      </c>
      <c r="B203" s="59">
        <v>4</v>
      </c>
    </row>
    <row r="204" spans="1:27" ht="15.75" customHeight="1">
      <c r="A204" s="205">
        <v>37</v>
      </c>
      <c r="B204" s="59">
        <v>1</v>
      </c>
    </row>
    <row r="205" spans="1:27" ht="15.75" customHeight="1">
      <c r="A205" s="201">
        <v>37</v>
      </c>
      <c r="B205" s="178">
        <v>2</v>
      </c>
    </row>
    <row r="206" spans="1:27" ht="15.75" customHeight="1">
      <c r="A206" s="200">
        <v>37</v>
      </c>
      <c r="B206" s="179">
        <v>3</v>
      </c>
    </row>
    <row r="207" spans="1:27" ht="15.75" customHeight="1">
      <c r="A207" s="200">
        <v>37</v>
      </c>
      <c r="B207" s="179">
        <v>4</v>
      </c>
    </row>
    <row r="208" spans="1:27" ht="15.75" customHeight="1">
      <c r="A208" s="200">
        <v>37</v>
      </c>
      <c r="B208" s="179">
        <v>5</v>
      </c>
    </row>
    <row r="209" spans="1:2" ht="15.75" customHeight="1">
      <c r="A209" s="200">
        <v>37</v>
      </c>
      <c r="B209" s="179">
        <v>6</v>
      </c>
    </row>
    <row r="210" spans="1:2" ht="15.75" customHeight="1">
      <c r="A210" s="200">
        <v>37</v>
      </c>
      <c r="B210" s="179">
        <v>7</v>
      </c>
    </row>
    <row r="211" spans="1:2" ht="15.75" customHeight="1">
      <c r="A211" s="200">
        <v>38</v>
      </c>
      <c r="B211" s="179">
        <v>1</v>
      </c>
    </row>
    <row r="212" spans="1:2" ht="15.75" customHeight="1">
      <c r="A212" s="201">
        <v>38</v>
      </c>
      <c r="B212" s="58">
        <v>2</v>
      </c>
    </row>
    <row r="213" spans="1:2" ht="15.75" customHeight="1">
      <c r="A213" s="200">
        <v>38</v>
      </c>
      <c r="B213" s="59">
        <v>3</v>
      </c>
    </row>
    <row r="214" spans="1:2" ht="15.75" customHeight="1">
      <c r="A214" s="200">
        <v>38</v>
      </c>
      <c r="B214" s="59">
        <v>4</v>
      </c>
    </row>
    <row r="215" spans="1:2" ht="15.75" customHeight="1">
      <c r="A215" s="200">
        <v>38</v>
      </c>
      <c r="B215" s="59">
        <v>5</v>
      </c>
    </row>
    <row r="216" spans="1:2" ht="15.75" customHeight="1">
      <c r="A216" s="200">
        <v>38</v>
      </c>
      <c r="B216" s="59">
        <v>6</v>
      </c>
    </row>
    <row r="217" spans="1:2" ht="15.75" customHeight="1">
      <c r="A217" s="202">
        <v>39</v>
      </c>
      <c r="B217" s="203">
        <v>1</v>
      </c>
    </row>
    <row r="218" spans="1:2" ht="15.75" customHeight="1">
      <c r="A218" s="205">
        <v>39</v>
      </c>
      <c r="B218" s="59">
        <v>2</v>
      </c>
    </row>
    <row r="219" spans="1:2" ht="15.75" customHeight="1">
      <c r="A219" s="205">
        <v>39</v>
      </c>
      <c r="B219" s="59">
        <v>3</v>
      </c>
    </row>
    <row r="220" spans="1:2" ht="15.75" customHeight="1">
      <c r="A220" s="205">
        <v>39</v>
      </c>
      <c r="B220" s="59">
        <v>4</v>
      </c>
    </row>
    <row r="221" spans="1:2" ht="15.75" customHeight="1">
      <c r="A221" s="205">
        <v>39</v>
      </c>
      <c r="B221" s="59">
        <v>5</v>
      </c>
    </row>
    <row r="222" spans="1:2" ht="15.75" customHeight="1">
      <c r="A222" s="205">
        <v>39</v>
      </c>
      <c r="B222" s="59">
        <v>6</v>
      </c>
    </row>
    <row r="223" spans="1:2" ht="15.75" customHeight="1">
      <c r="A223" s="205">
        <v>39</v>
      </c>
      <c r="B223" s="59">
        <v>7</v>
      </c>
    </row>
    <row r="224" spans="1:2" ht="15.75" customHeight="1">
      <c r="A224" s="205">
        <v>39</v>
      </c>
      <c r="B224" s="59">
        <v>8</v>
      </c>
    </row>
    <row r="225" spans="1:27" ht="15.75" customHeight="1">
      <c r="A225" s="200">
        <v>41</v>
      </c>
      <c r="B225" s="59">
        <v>1</v>
      </c>
      <c r="C225">
        <v>16.030999999999999</v>
      </c>
      <c r="D225">
        <v>18.495999999999999</v>
      </c>
      <c r="E225">
        <v>23.587</v>
      </c>
      <c r="F225">
        <v>33.725000000000001</v>
      </c>
      <c r="G225">
        <v>49.619</v>
      </c>
      <c r="H225">
        <v>69.938999999999993</v>
      </c>
      <c r="I225">
        <v>100</v>
      </c>
      <c r="J225">
        <v>145.041</v>
      </c>
      <c r="K225">
        <v>201.53399999999999</v>
      </c>
      <c r="L225">
        <v>284.06400000000002</v>
      </c>
      <c r="M225">
        <v>394.70600000000002</v>
      </c>
      <c r="N225">
        <v>548.44200000000001</v>
      </c>
      <c r="O225">
        <v>762.05700000000002</v>
      </c>
      <c r="P225">
        <v>1074.1279999999999</v>
      </c>
      <c r="Q225">
        <v>1471.3019999999999</v>
      </c>
      <c r="R225">
        <v>1958.509</v>
      </c>
      <c r="S225">
        <v>2760.538</v>
      </c>
      <c r="T225">
        <v>3727.5940000000001</v>
      </c>
      <c r="U225">
        <v>5105.9260000000004</v>
      </c>
      <c r="V225">
        <v>6700.1880000000001</v>
      </c>
      <c r="W225">
        <v>9047.357</v>
      </c>
      <c r="X225">
        <v>11703.695</v>
      </c>
      <c r="Y225">
        <v>15358.026</v>
      </c>
      <c r="Z225">
        <v>17719.326000000001</v>
      </c>
    </row>
    <row r="226" spans="1:27" ht="15.75" customHeight="1">
      <c r="A226" s="177">
        <v>41</v>
      </c>
      <c r="B226" s="178">
        <v>2</v>
      </c>
      <c r="C226" s="206">
        <v>102.902</v>
      </c>
      <c r="D226" s="206">
        <v>151.399</v>
      </c>
      <c r="E226" s="206">
        <v>213.399</v>
      </c>
      <c r="F226" s="206">
        <v>305.12099999999998</v>
      </c>
      <c r="G226" s="206">
        <v>436.26600000000002</v>
      </c>
      <c r="H226" s="206">
        <v>597.58199999999999</v>
      </c>
      <c r="I226" s="206">
        <v>806.923</v>
      </c>
      <c r="J226" s="206">
        <v>1153.75</v>
      </c>
      <c r="K226" s="206">
        <v>1513.9939999999999</v>
      </c>
      <c r="L226" s="206">
        <v>2015.338</v>
      </c>
      <c r="M226" s="206">
        <v>2682.6959999999999</v>
      </c>
      <c r="N226" s="206">
        <v>3520.3339999999998</v>
      </c>
      <c r="O226" s="206">
        <v>4553.9170000000004</v>
      </c>
      <c r="P226" s="206">
        <v>6061.8990000000003</v>
      </c>
      <c r="Q226" s="206">
        <v>8069.2340000000004</v>
      </c>
      <c r="R226" s="206">
        <v>10588.751</v>
      </c>
      <c r="S226" s="206">
        <v>13503.14</v>
      </c>
      <c r="T226" s="206">
        <v>17719.326000000001</v>
      </c>
      <c r="U226" s="206">
        <v>22596.296999999999</v>
      </c>
      <c r="V226" s="206">
        <v>28406.397000000001</v>
      </c>
      <c r="W226" s="206">
        <v>35710.425999999999</v>
      </c>
      <c r="X226" s="206">
        <v>45539.167999999998</v>
      </c>
      <c r="Y226" s="206">
        <v>55634.17</v>
      </c>
      <c r="Z226" s="207">
        <v>61492.178</v>
      </c>
      <c r="AA226" s="2"/>
    </row>
    <row r="227" spans="1:27" ht="15.75" customHeight="1">
      <c r="A227" s="174">
        <v>41</v>
      </c>
      <c r="B227" s="179">
        <v>3</v>
      </c>
      <c r="C227" s="2">
        <v>1014.405</v>
      </c>
      <c r="D227" s="2">
        <v>1239.2750000000001</v>
      </c>
      <c r="E227" s="2">
        <v>1513.9939999999999</v>
      </c>
      <c r="F227" s="2">
        <v>1797.4559999999999</v>
      </c>
      <c r="G227" s="2">
        <v>2259.63</v>
      </c>
      <c r="H227" s="2">
        <v>3051.21</v>
      </c>
      <c r="I227" s="2">
        <v>3891.0079999999998</v>
      </c>
      <c r="J227" s="2">
        <v>5033.4219999999996</v>
      </c>
      <c r="K227" s="2">
        <v>6418.7939999999999</v>
      </c>
      <c r="L227" s="2">
        <v>8069.2340000000004</v>
      </c>
      <c r="M227" s="2">
        <v>10438.391</v>
      </c>
      <c r="N227" s="2">
        <v>13122.374</v>
      </c>
      <c r="O227" s="2">
        <v>16734.105</v>
      </c>
      <c r="P227" s="2">
        <v>20738.157999999999</v>
      </c>
      <c r="Q227" s="2">
        <v>26826.957999999999</v>
      </c>
      <c r="R227" s="2">
        <v>34210.663</v>
      </c>
      <c r="S227" s="2">
        <v>43007.120999999999</v>
      </c>
      <c r="T227" s="2">
        <v>54065.379000000001</v>
      </c>
      <c r="U227" s="2">
        <v>67001.875</v>
      </c>
      <c r="V227" s="2">
        <v>77303.429000000004</v>
      </c>
      <c r="W227" s="2">
        <v>87922.369000000006</v>
      </c>
      <c r="X227" s="2">
        <v>105887.50599999999</v>
      </c>
      <c r="Y227" s="2">
        <v>133113.96</v>
      </c>
      <c r="Z227" s="208">
        <v>210368.818</v>
      </c>
      <c r="AA227" s="2"/>
    </row>
    <row r="228" spans="1:27" ht="15.75" customHeight="1">
      <c r="A228" s="174">
        <v>41</v>
      </c>
      <c r="B228" s="179">
        <v>4</v>
      </c>
      <c r="C228" s="2">
        <v>10144.045</v>
      </c>
      <c r="D228" s="2">
        <v>10290.165999999999</v>
      </c>
      <c r="E228" s="2">
        <v>10588.751</v>
      </c>
      <c r="F228" s="2">
        <v>10896</v>
      </c>
      <c r="G228" s="2">
        <v>11052.950999999999</v>
      </c>
      <c r="H228" s="2">
        <v>11703.695</v>
      </c>
      <c r="I228" s="2">
        <v>12216.772999999999</v>
      </c>
      <c r="J228" s="2">
        <v>12936.037</v>
      </c>
      <c r="K228" s="2">
        <v>14095.105</v>
      </c>
      <c r="L228" s="2">
        <v>15358.026</v>
      </c>
      <c r="M228" s="2">
        <v>17467.712</v>
      </c>
      <c r="N228" s="2">
        <v>19585.084999999999</v>
      </c>
      <c r="O228" s="2">
        <v>22596.296999999999</v>
      </c>
      <c r="P228" s="2">
        <v>27213.387999999999</v>
      </c>
      <c r="Q228" s="2">
        <v>30951.609</v>
      </c>
      <c r="R228" s="2">
        <v>35203.338000000003</v>
      </c>
      <c r="S228" s="2">
        <v>42396.421000000002</v>
      </c>
      <c r="T228" s="2">
        <v>51794.747000000003</v>
      </c>
      <c r="U228" s="2">
        <v>62377.944000000003</v>
      </c>
      <c r="V228" s="2">
        <v>71968.566999999995</v>
      </c>
      <c r="W228" s="2">
        <v>85443.104000000007</v>
      </c>
      <c r="X228" s="2">
        <v>105887.50599999999</v>
      </c>
      <c r="Y228" s="2">
        <v>133113.96</v>
      </c>
      <c r="Z228" s="208">
        <v>195850.85200000001</v>
      </c>
      <c r="AA228" s="2"/>
    </row>
    <row r="229" spans="1:27" ht="15.75" customHeight="1">
      <c r="A229" s="174">
        <v>41</v>
      </c>
      <c r="B229" s="179">
        <v>5</v>
      </c>
      <c r="C229" s="2">
        <v>23926.654999999999</v>
      </c>
      <c r="D229" s="2">
        <v>22596.296999999999</v>
      </c>
      <c r="E229" s="2">
        <v>21339.907999999999</v>
      </c>
      <c r="F229" s="2">
        <v>21339.907999999999</v>
      </c>
      <c r="G229" s="2">
        <v>21339.907999999999</v>
      </c>
      <c r="H229" s="2">
        <v>20443.677</v>
      </c>
      <c r="I229" s="2">
        <v>22596.296999999999</v>
      </c>
      <c r="J229" s="2">
        <v>22596.296999999999</v>
      </c>
      <c r="K229" s="2">
        <v>22921.786</v>
      </c>
      <c r="L229" s="2">
        <v>24620.923999999999</v>
      </c>
      <c r="M229" s="2">
        <v>27213.387999999999</v>
      </c>
      <c r="N229" s="2">
        <v>29230.651999999998</v>
      </c>
      <c r="O229" s="2">
        <v>33245.978999999999</v>
      </c>
      <c r="P229" s="2">
        <v>36746.618999999999</v>
      </c>
      <c r="Q229" s="2">
        <v>41794.392</v>
      </c>
      <c r="R229" s="2">
        <v>48220.29</v>
      </c>
      <c r="S229" s="2">
        <v>54844.165999999997</v>
      </c>
      <c r="T229" s="2">
        <v>64187.936999999998</v>
      </c>
      <c r="U229" s="2">
        <v>71968.566999999995</v>
      </c>
      <c r="V229" s="2">
        <v>85443.104000000007</v>
      </c>
      <c r="W229" s="2">
        <v>102901.655</v>
      </c>
      <c r="X229" s="2">
        <v>122167.735</v>
      </c>
      <c r="Y229" s="2">
        <v>222754.29500000001</v>
      </c>
      <c r="Z229" s="208">
        <v>347034.51500000001</v>
      </c>
      <c r="AA229" s="2"/>
    </row>
    <row r="230" spans="1:27" ht="15.75" customHeight="1">
      <c r="A230" s="174">
        <v>41</v>
      </c>
      <c r="B230" s="179">
        <v>6</v>
      </c>
      <c r="C230" s="2">
        <v>147130.21299999999</v>
      </c>
      <c r="D230" s="2">
        <v>125712.621</v>
      </c>
      <c r="E230" s="2">
        <v>110529.514</v>
      </c>
      <c r="F230" s="2">
        <v>97180.167000000001</v>
      </c>
      <c r="G230" s="2">
        <v>94439.847999999998</v>
      </c>
      <c r="H230" s="2">
        <v>86673.872000000003</v>
      </c>
      <c r="I230" s="2">
        <v>84229.812999999995</v>
      </c>
      <c r="J230" s="2">
        <v>77303.429000000004</v>
      </c>
      <c r="K230" s="2">
        <v>74056.846999999994</v>
      </c>
      <c r="L230" s="2">
        <v>70946.615000000005</v>
      </c>
      <c r="M230" s="2">
        <v>68946.038</v>
      </c>
      <c r="N230" s="2">
        <v>66050.448999999993</v>
      </c>
      <c r="O230" s="2">
        <v>67967.005999999994</v>
      </c>
      <c r="P230" s="2">
        <v>67967.005999999994</v>
      </c>
      <c r="Q230" s="2">
        <v>69939.173999999999</v>
      </c>
      <c r="R230" s="2">
        <v>67967.005999999994</v>
      </c>
      <c r="S230" s="2">
        <v>76205.721000000005</v>
      </c>
      <c r="T230" s="2">
        <v>78416.948000000004</v>
      </c>
      <c r="U230" s="2">
        <v>83033.751000000004</v>
      </c>
      <c r="V230" s="2">
        <v>85443.104000000007</v>
      </c>
      <c r="W230" s="2">
        <v>102901.655</v>
      </c>
      <c r="X230" s="2">
        <v>85443.104000000007</v>
      </c>
      <c r="Y230" s="2">
        <v>158036.63099999999</v>
      </c>
      <c r="Z230" s="208">
        <v>296517.06300000002</v>
      </c>
      <c r="AA230" s="2"/>
    </row>
    <row r="231" spans="1:27" ht="15.75" customHeight="1">
      <c r="A231" s="174">
        <v>42</v>
      </c>
      <c r="B231" s="179" t="s">
        <v>220</v>
      </c>
      <c r="C231" s="2">
        <v>6.0701E-5</v>
      </c>
      <c r="D231" s="2">
        <v>1.0846599999999999E-4</v>
      </c>
      <c r="E231" s="2">
        <v>1.7662799999999999E-4</v>
      </c>
      <c r="F231" s="2">
        <v>2.9437899999999999E-4</v>
      </c>
      <c r="G231" s="2">
        <v>4.4711600000000001E-4</v>
      </c>
      <c r="H231" s="2">
        <v>7.1137900000000005E-4</v>
      </c>
      <c r="I231" s="2">
        <v>1.105853E-3</v>
      </c>
      <c r="J231" s="2">
        <v>1.6410660000000001E-3</v>
      </c>
      <c r="K231" s="2">
        <v>2.4925199999999998E-3</v>
      </c>
      <c r="L231" s="2">
        <v>3.4499679999999999E-3</v>
      </c>
      <c r="M231" s="2">
        <v>5.3630489999999999E-3</v>
      </c>
      <c r="N231" s="2">
        <v>7.9586670000000009E-3</v>
      </c>
      <c r="O231" s="2">
        <v>1.1274592E-2</v>
      </c>
      <c r="P231" s="2">
        <v>1.5972075000000002E-2</v>
      </c>
      <c r="Q231" s="2">
        <v>2.3702269000000002E-2</v>
      </c>
      <c r="R231" s="2">
        <v>3.1318310000000002E-2</v>
      </c>
      <c r="S231" s="2">
        <v>4.3348571000000002E-2</v>
      </c>
      <c r="T231" s="2">
        <v>4.8684976000000005E-2</v>
      </c>
      <c r="U231" s="2">
        <v>6.4328491000000002E-2</v>
      </c>
      <c r="V231" s="2">
        <v>6.2852033000000002E-2</v>
      </c>
      <c r="W231" s="2">
        <v>5.7277386E-2</v>
      </c>
      <c r="X231" s="30"/>
      <c r="Y231" s="30"/>
      <c r="Z231" s="209"/>
      <c r="AA231" s="2"/>
    </row>
    <row r="232" spans="1:27" ht="15.75" customHeight="1">
      <c r="A232" s="177">
        <v>42</v>
      </c>
      <c r="B232" s="178" t="s">
        <v>221</v>
      </c>
      <c r="C232" s="206">
        <v>1.01168E-4</v>
      </c>
      <c r="D232" s="206">
        <v>1.7662799999999999E-4</v>
      </c>
      <c r="E232" s="206">
        <v>2.8762299999999998E-4</v>
      </c>
      <c r="F232" s="206">
        <v>4.6836900000000006E-4</v>
      </c>
      <c r="G232" s="206">
        <v>6.6351199999999989E-4</v>
      </c>
      <c r="H232" s="206">
        <v>9.6203999999999994E-4</v>
      </c>
      <c r="I232" s="206">
        <v>1.6034010000000002E-3</v>
      </c>
      <c r="J232" s="206">
        <v>2.1683750000000002E-3</v>
      </c>
      <c r="K232" s="206">
        <v>3.2178290000000002E-3</v>
      </c>
      <c r="L232" s="206">
        <v>4.5585159999999994E-3</v>
      </c>
      <c r="M232" s="206">
        <v>6.6094919999999998E-3</v>
      </c>
      <c r="N232" s="206">
        <v>9.3632919999999988E-3</v>
      </c>
      <c r="O232" s="206">
        <v>1.4221362E-2</v>
      </c>
      <c r="P232" s="206">
        <v>1.9684193999999999E-2</v>
      </c>
      <c r="Q232" s="206">
        <v>2.7885482E-2</v>
      </c>
      <c r="R232" s="206">
        <v>4.0431764000000002E-2</v>
      </c>
      <c r="S232" s="206">
        <v>5.2197182000000002E-2</v>
      </c>
      <c r="T232" s="206">
        <v>7.0589400999999996E-2</v>
      </c>
      <c r="U232" s="206">
        <v>6.4328491000000002E-2</v>
      </c>
      <c r="V232" s="206">
        <v>7.5681824999999994E-2</v>
      </c>
      <c r="W232" s="207">
        <v>7.9279274000000011E-2</v>
      </c>
      <c r="X232" s="2"/>
      <c r="Y232" s="2"/>
      <c r="Z232" s="2"/>
    </row>
    <row r="233" spans="1:27" ht="15.75" customHeight="1">
      <c r="A233" s="174">
        <v>42</v>
      </c>
      <c r="B233" s="179" t="s">
        <v>222</v>
      </c>
      <c r="C233" s="2">
        <v>4.6836900000000006E-4</v>
      </c>
      <c r="D233" s="2">
        <v>6.3340399999999995E-4</v>
      </c>
      <c r="E233" s="2">
        <v>8.7671199999999998E-4</v>
      </c>
      <c r="F233" s="2">
        <v>1.1584190000000002E-3</v>
      </c>
      <c r="G233" s="2">
        <v>1.7190719999999999E-3</v>
      </c>
      <c r="H233" s="2">
        <v>2.3248049999999997E-3</v>
      </c>
      <c r="I233" s="2">
        <v>3.2178290000000002E-3</v>
      </c>
      <c r="J233" s="2">
        <v>4.8873750000000002E-3</v>
      </c>
      <c r="K233" s="2">
        <v>6.7647549999999999E-3</v>
      </c>
      <c r="L233" s="2">
        <v>9.1483870000000009E-3</v>
      </c>
      <c r="M233" s="2">
        <v>1.3264445E-2</v>
      </c>
      <c r="N233" s="2">
        <v>1.8359699E-2</v>
      </c>
      <c r="O233" s="2">
        <v>2.4259058999999999E-2</v>
      </c>
      <c r="P233" s="2">
        <v>3.5173734999999998E-2</v>
      </c>
      <c r="Q233" s="2">
        <v>4.8684976000000005E-2</v>
      </c>
      <c r="R233" s="2">
        <v>5.5962764000000005E-2</v>
      </c>
      <c r="S233" s="2">
        <v>6.4328491000000002E-2</v>
      </c>
      <c r="T233" s="2">
        <v>6.4328491000000002E-2</v>
      </c>
      <c r="U233" s="2">
        <v>6.2852033000000002E-2</v>
      </c>
      <c r="V233" s="2">
        <v>6.7386271999999997E-2</v>
      </c>
      <c r="W233" s="208">
        <v>6.8969243E-2</v>
      </c>
      <c r="X233" s="2"/>
    </row>
    <row r="234" spans="1:27" ht="15.75" customHeight="1">
      <c r="A234" s="174">
        <v>42</v>
      </c>
      <c r="B234" s="179" t="s">
        <v>224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08"/>
      <c r="X234" s="2"/>
    </row>
    <row r="235" spans="1:27" ht="15.75" customHeight="1">
      <c r="A235" s="174">
        <v>42</v>
      </c>
      <c r="B235" s="179" t="s">
        <v>225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08"/>
      <c r="X235" s="2"/>
    </row>
    <row r="236" spans="1:27" ht="15.75" customHeight="1">
      <c r="A236" s="174">
        <v>42</v>
      </c>
      <c r="B236" s="179" t="s">
        <v>226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08"/>
      <c r="X236" s="2"/>
    </row>
    <row r="237" spans="1:27" ht="15.75" customHeight="1">
      <c r="A237" s="175">
        <v>43</v>
      </c>
      <c r="B237" s="180">
        <v>1</v>
      </c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209"/>
      <c r="X237" s="2"/>
    </row>
    <row r="238" spans="1:27" ht="15.75" customHeight="1">
      <c r="A238" s="201">
        <v>43</v>
      </c>
      <c r="B238" s="58">
        <v>2</v>
      </c>
    </row>
    <row r="239" spans="1:27" ht="15.75" customHeight="1">
      <c r="A239" s="200">
        <v>43</v>
      </c>
      <c r="B239" s="59">
        <v>3</v>
      </c>
    </row>
    <row r="240" spans="1:27" ht="15.75" customHeight="1">
      <c r="A240" s="202">
        <v>44</v>
      </c>
      <c r="B240" s="203" t="s">
        <v>220</v>
      </c>
    </row>
    <row r="241" spans="1:19" ht="15.75" customHeight="1">
      <c r="A241" s="201">
        <v>44</v>
      </c>
      <c r="B241" s="58" t="s">
        <v>221</v>
      </c>
    </row>
    <row r="242" spans="1:19" ht="15.75" customHeight="1">
      <c r="A242" s="200">
        <v>44</v>
      </c>
      <c r="B242" s="59" t="s">
        <v>222</v>
      </c>
    </row>
    <row r="243" spans="1:19" ht="15.75" customHeight="1">
      <c r="A243" s="200">
        <v>44</v>
      </c>
      <c r="B243" s="59" t="s">
        <v>223</v>
      </c>
    </row>
    <row r="244" spans="1:19" ht="15.75" customHeight="1">
      <c r="A244" s="200">
        <v>44</v>
      </c>
      <c r="B244" s="59" t="s">
        <v>228</v>
      </c>
    </row>
    <row r="245" spans="1:19" ht="15.75" customHeight="1">
      <c r="A245" s="200">
        <v>44</v>
      </c>
      <c r="B245" s="59" t="s">
        <v>224</v>
      </c>
    </row>
    <row r="246" spans="1:19" ht="15.75" customHeight="1">
      <c r="A246" s="200">
        <v>44</v>
      </c>
      <c r="B246" s="59" t="s">
        <v>225</v>
      </c>
    </row>
    <row r="247" spans="1:19" ht="15.75" customHeight="1">
      <c r="A247" s="200">
        <v>44</v>
      </c>
      <c r="B247" s="59" t="s">
        <v>226</v>
      </c>
    </row>
    <row r="248" spans="1:19" ht="15.75" customHeight="1">
      <c r="A248" s="200">
        <v>44</v>
      </c>
      <c r="B248" s="59" t="s">
        <v>227</v>
      </c>
    </row>
    <row r="249" spans="1:19" ht="15.75" customHeight="1">
      <c r="A249" s="200">
        <v>44</v>
      </c>
      <c r="B249" s="59" t="s">
        <v>229</v>
      </c>
    </row>
    <row r="250" spans="1:19" ht="15.75" customHeight="1">
      <c r="A250" s="200">
        <v>45</v>
      </c>
      <c r="B250" s="59" t="s">
        <v>220</v>
      </c>
      <c r="C250" s="2">
        <v>1.9570000000000001E-6</v>
      </c>
      <c r="D250" s="2">
        <v>4.3540000000000002E-6</v>
      </c>
      <c r="E250" s="2">
        <v>8.799E-6</v>
      </c>
      <c r="F250" s="2">
        <v>1.6681000000000002E-5</v>
      </c>
      <c r="G250" s="2">
        <v>3.3176999999999998E-5</v>
      </c>
      <c r="H250" s="2">
        <v>7.0343000000000001E-5</v>
      </c>
      <c r="I250" s="2">
        <v>1.5155000000000002E-4</v>
      </c>
      <c r="J250" s="2">
        <v>3.5938099999999998E-4</v>
      </c>
      <c r="K250" s="2">
        <v>8.1231100000000002E-4</v>
      </c>
      <c r="L250" s="2">
        <v>1E-3</v>
      </c>
      <c r="M250" s="2"/>
      <c r="N250" s="2"/>
      <c r="O250" s="2"/>
      <c r="P250" s="2"/>
      <c r="Q250" s="2"/>
      <c r="R250" s="2"/>
    </row>
    <row r="251" spans="1:19" ht="15.75" customHeight="1">
      <c r="A251" s="177">
        <v>45</v>
      </c>
      <c r="B251" s="178" t="s">
        <v>221</v>
      </c>
      <c r="C251" s="127">
        <v>7.3799999999999996E-6</v>
      </c>
      <c r="D251" s="206">
        <v>1.3769E-5</v>
      </c>
      <c r="E251" s="206">
        <v>2.8274000000000001E-5</v>
      </c>
      <c r="F251" s="206">
        <v>5.6234000000000004E-5</v>
      </c>
      <c r="G251" s="206">
        <v>1.19231E-4</v>
      </c>
      <c r="H251" s="206">
        <v>2.6101600000000004E-4</v>
      </c>
      <c r="I251" s="206">
        <v>5.71406E-4</v>
      </c>
      <c r="J251" s="206">
        <v>1.0491400000000001E-3</v>
      </c>
      <c r="K251" s="206">
        <v>1.9888919999999999E-3</v>
      </c>
      <c r="L251" s="206">
        <v>3.2132489999999996E-3</v>
      </c>
      <c r="M251" s="206"/>
      <c r="N251" s="206"/>
      <c r="O251" s="206"/>
      <c r="P251" s="206"/>
      <c r="Q251" s="206"/>
      <c r="R251" s="207"/>
      <c r="S251" s="2"/>
    </row>
    <row r="252" spans="1:19" ht="15.75" customHeight="1">
      <c r="A252" s="174">
        <v>45</v>
      </c>
      <c r="B252" s="179" t="s">
        <v>222</v>
      </c>
      <c r="C252" s="48">
        <v>2.1203E-5</v>
      </c>
      <c r="D252" s="2">
        <v>4.2170000000000005E-5</v>
      </c>
      <c r="E252" s="2">
        <v>7.9943000000000004E-5</v>
      </c>
      <c r="F252" s="2">
        <v>1.6681000000000001E-4</v>
      </c>
      <c r="G252" s="2">
        <v>3.3711500000000003E-4</v>
      </c>
      <c r="H252" s="2">
        <v>7.14771E-4</v>
      </c>
      <c r="I252" s="2">
        <v>1.58997E-3</v>
      </c>
      <c r="J252" s="2">
        <v>2.3337570000000001E-3</v>
      </c>
      <c r="K252" s="2">
        <v>4.0842389999999999E-3</v>
      </c>
      <c r="L252" s="2">
        <v>6.2894269999999993E-3</v>
      </c>
      <c r="M252" s="2"/>
      <c r="N252" s="2"/>
      <c r="O252" s="2"/>
      <c r="P252" s="2"/>
      <c r="Q252" s="2"/>
      <c r="R252" s="208"/>
      <c r="S252" s="2"/>
    </row>
    <row r="253" spans="1:19" ht="15.75" customHeight="1">
      <c r="A253" s="174">
        <v>45</v>
      </c>
      <c r="B253" s="179" t="s">
        <v>223</v>
      </c>
      <c r="C253" s="48">
        <v>7.7426E-5</v>
      </c>
      <c r="D253" s="2">
        <v>1.3990500000000001E-4</v>
      </c>
      <c r="E253" s="2">
        <v>2.56875E-4</v>
      </c>
      <c r="F253" s="2">
        <v>4.7164100000000002E-4</v>
      </c>
      <c r="G253" s="2">
        <v>8.659640000000001E-4</v>
      </c>
      <c r="H253" s="2">
        <v>1.6949880000000001E-3</v>
      </c>
      <c r="I253" s="2">
        <v>3.1622779999999997E-3</v>
      </c>
      <c r="J253" s="2">
        <v>5.274997E-3</v>
      </c>
      <c r="K253" s="2">
        <v>8.9410580000000017E-3</v>
      </c>
      <c r="L253" s="2">
        <v>1.5647481000000001E-2</v>
      </c>
      <c r="M253" s="2"/>
      <c r="N253" s="2"/>
      <c r="O253" s="2"/>
      <c r="P253" s="2"/>
      <c r="Q253" s="2"/>
      <c r="R253" s="208"/>
      <c r="S253" s="2"/>
    </row>
    <row r="254" spans="1:19" ht="15.75" customHeight="1">
      <c r="A254" s="174">
        <v>45</v>
      </c>
      <c r="B254" s="179" t="s">
        <v>224</v>
      </c>
      <c r="C254" s="48">
        <v>273.56299999999999</v>
      </c>
      <c r="D254" s="2">
        <v>187.06899999999999</v>
      </c>
      <c r="E254" s="2">
        <v>179.023</v>
      </c>
      <c r="F254" s="2">
        <v>197.126</v>
      </c>
      <c r="G254" s="2">
        <v>227.29900000000001</v>
      </c>
      <c r="H254" s="2">
        <v>287.64400000000001</v>
      </c>
      <c r="I254" s="2">
        <v>329.88499999999999</v>
      </c>
      <c r="J254" s="2">
        <v>237.35599999999999</v>
      </c>
      <c r="K254" s="2">
        <v>128.73599999999999</v>
      </c>
      <c r="L254" s="2">
        <v>82.471000000000004</v>
      </c>
      <c r="M254" s="2">
        <v>76.436999999999998</v>
      </c>
      <c r="N254" s="2">
        <v>82.471000000000004</v>
      </c>
      <c r="O254" s="2">
        <v>94.54</v>
      </c>
      <c r="P254" s="2">
        <v>90.516999999999996</v>
      </c>
      <c r="Q254" s="2">
        <v>88.506</v>
      </c>
      <c r="R254" s="208">
        <v>72.414000000000001</v>
      </c>
      <c r="S254" s="2"/>
    </row>
    <row r="255" spans="1:19" ht="15.75" customHeight="1">
      <c r="A255" s="174">
        <v>45</v>
      </c>
      <c r="B255" s="179" t="s">
        <v>225</v>
      </c>
      <c r="C255" s="48">
        <v>323.851</v>
      </c>
      <c r="D255" s="2">
        <v>247.41399999999999</v>
      </c>
      <c r="E255" s="2">
        <v>239.36799999999999</v>
      </c>
      <c r="F255" s="2">
        <v>259.483</v>
      </c>
      <c r="G255" s="2">
        <v>378.161</v>
      </c>
      <c r="H255" s="2">
        <v>579.30999999999995</v>
      </c>
      <c r="I255" s="2">
        <v>607.471</v>
      </c>
      <c r="J255" s="2">
        <v>283.62099999999998</v>
      </c>
      <c r="K255" s="2">
        <v>106.60899999999999</v>
      </c>
      <c r="L255" s="2">
        <v>60.344999999999999</v>
      </c>
      <c r="M255" s="2">
        <v>56.322000000000003</v>
      </c>
      <c r="N255" s="2">
        <v>62.356000000000002</v>
      </c>
      <c r="O255" s="2">
        <v>74.424999999999997</v>
      </c>
      <c r="P255" s="2">
        <v>74.424999999999997</v>
      </c>
      <c r="Q255" s="2">
        <v>66.379000000000005</v>
      </c>
      <c r="R255" s="208">
        <v>48.276000000000003</v>
      </c>
      <c r="S255" s="2"/>
    </row>
    <row r="256" spans="1:19" ht="15.75" customHeight="1">
      <c r="A256" s="174">
        <v>45</v>
      </c>
      <c r="B256" s="179" t="s">
        <v>226</v>
      </c>
      <c r="C256" s="48">
        <v>1013.793</v>
      </c>
      <c r="D256" s="2">
        <v>716.09199999999998</v>
      </c>
      <c r="E256" s="2">
        <v>603.44799999999998</v>
      </c>
      <c r="F256" s="2">
        <v>726.149</v>
      </c>
      <c r="G256" s="2">
        <v>812.64400000000001</v>
      </c>
      <c r="H256" s="2">
        <v>885.05700000000002</v>
      </c>
      <c r="I256" s="2">
        <v>804.59799999999996</v>
      </c>
      <c r="J256" s="2">
        <v>448.56299999999999</v>
      </c>
      <c r="K256" s="2">
        <v>191.09200000000001</v>
      </c>
      <c r="L256" s="2">
        <v>120.69</v>
      </c>
      <c r="M256" s="2">
        <v>92.528999999999996</v>
      </c>
      <c r="N256" s="2">
        <v>76.436999999999998</v>
      </c>
      <c r="O256" s="2">
        <v>70.402000000000001</v>
      </c>
      <c r="P256" s="2">
        <v>64.367999999999995</v>
      </c>
      <c r="Q256" s="2">
        <v>60.344999999999999</v>
      </c>
      <c r="R256" s="208">
        <v>50.286999999999999</v>
      </c>
      <c r="S256" s="2"/>
    </row>
    <row r="257" spans="1:19" ht="15.75" customHeight="1">
      <c r="A257" s="174">
        <v>45</v>
      </c>
      <c r="B257" s="179" t="s">
        <v>227</v>
      </c>
      <c r="C257" s="48">
        <v>1287.356</v>
      </c>
      <c r="D257" s="2">
        <v>820.69</v>
      </c>
      <c r="E257" s="2">
        <v>683.90800000000002</v>
      </c>
      <c r="F257" s="2">
        <v>627.58600000000001</v>
      </c>
      <c r="G257" s="2">
        <v>887.06899999999996</v>
      </c>
      <c r="H257" s="2">
        <v>1315.5170000000001</v>
      </c>
      <c r="I257" s="2">
        <v>975.57500000000005</v>
      </c>
      <c r="J257" s="2">
        <v>364.08</v>
      </c>
      <c r="K257" s="2">
        <v>150.86199999999999</v>
      </c>
      <c r="L257" s="2">
        <v>80.459999999999994</v>
      </c>
      <c r="M257" s="2">
        <v>66.379000000000005</v>
      </c>
      <c r="N257" s="2">
        <v>66.379000000000005</v>
      </c>
      <c r="O257" s="2">
        <v>80.459999999999994</v>
      </c>
      <c r="P257" s="2">
        <v>72.414000000000001</v>
      </c>
      <c r="Q257" s="2">
        <v>60.344999999999999</v>
      </c>
      <c r="R257" s="208">
        <v>50.286999999999999</v>
      </c>
      <c r="S257" s="2"/>
    </row>
    <row r="258" spans="1:19" ht="15.75" customHeight="1">
      <c r="A258" s="175">
        <v>46</v>
      </c>
      <c r="B258" s="180">
        <v>1</v>
      </c>
      <c r="C258" s="128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209"/>
      <c r="S258" s="2"/>
    </row>
    <row r="259" spans="1:19" ht="15.75" customHeight="1">
      <c r="A259" s="177">
        <v>46</v>
      </c>
      <c r="B259" s="178">
        <v>2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9" ht="15.75" customHeight="1">
      <c r="A260" s="174">
        <v>46</v>
      </c>
      <c r="B260" s="179">
        <v>3</v>
      </c>
    </row>
    <row r="261" spans="1:19" ht="15.75" customHeight="1">
      <c r="A261" s="174">
        <v>46</v>
      </c>
      <c r="B261" s="179">
        <v>4</v>
      </c>
    </row>
    <row r="262" spans="1:19" ht="15.75" customHeight="1">
      <c r="A262" s="174">
        <v>46</v>
      </c>
      <c r="B262" s="179">
        <v>5</v>
      </c>
    </row>
    <row r="263" spans="1:19" ht="15.75" customHeight="1">
      <c r="A263" s="174">
        <v>46</v>
      </c>
      <c r="B263" s="179">
        <v>6</v>
      </c>
    </row>
    <row r="264" spans="1:19" ht="15.75" customHeight="1">
      <c r="A264" s="174">
        <v>47</v>
      </c>
      <c r="B264" s="179" t="s">
        <v>220</v>
      </c>
    </row>
    <row r="265" spans="1:19" ht="15.75" customHeight="1">
      <c r="A265" s="177">
        <v>47</v>
      </c>
      <c r="B265" s="178">
        <v>2</v>
      </c>
    </row>
    <row r="266" spans="1:19" ht="15.75" customHeight="1">
      <c r="A266" s="174">
        <v>47</v>
      </c>
      <c r="B266" s="179">
        <v>3</v>
      </c>
    </row>
    <row r="267" spans="1:19" ht="15.75" customHeight="1">
      <c r="A267" s="174">
        <v>47</v>
      </c>
      <c r="B267" s="179" t="s">
        <v>223</v>
      </c>
    </row>
    <row r="268" spans="1:19" ht="15.75" customHeight="1">
      <c r="A268" s="174">
        <v>47</v>
      </c>
      <c r="B268" s="179">
        <v>5</v>
      </c>
    </row>
    <row r="269" spans="1:19" ht="15.75" customHeight="1">
      <c r="A269" s="174">
        <v>47</v>
      </c>
      <c r="B269" s="179" t="s">
        <v>224</v>
      </c>
    </row>
    <row r="270" spans="1:19" ht="15.75" customHeight="1">
      <c r="A270" s="174">
        <v>47</v>
      </c>
      <c r="B270" s="179" t="s">
        <v>227</v>
      </c>
    </row>
    <row r="271" spans="1:19" ht="15.75" customHeight="1">
      <c r="A271" s="174">
        <v>48</v>
      </c>
      <c r="B271" s="179">
        <v>1</v>
      </c>
    </row>
    <row r="272" spans="1:19" ht="15.75" customHeight="1">
      <c r="A272" s="177">
        <v>48</v>
      </c>
      <c r="B272" s="178">
        <v>2</v>
      </c>
    </row>
    <row r="273" spans="1:2" ht="15.75" customHeight="1">
      <c r="A273" s="174">
        <v>48</v>
      </c>
      <c r="B273" s="179">
        <v>3</v>
      </c>
    </row>
    <row r="274" spans="1:2" ht="15.75" customHeight="1">
      <c r="A274" s="174">
        <v>48</v>
      </c>
      <c r="B274" s="179">
        <v>4</v>
      </c>
    </row>
    <row r="275" spans="1:2" ht="15.75" customHeight="1">
      <c r="A275" s="174">
        <v>48</v>
      </c>
      <c r="B275" s="179">
        <v>5</v>
      </c>
    </row>
    <row r="276" spans="1:2" ht="15.75" customHeight="1">
      <c r="A276" s="174">
        <v>48</v>
      </c>
      <c r="B276" s="179">
        <v>6</v>
      </c>
    </row>
    <row r="277" spans="1:2" ht="15.75" customHeight="1">
      <c r="A277" s="174">
        <v>48</v>
      </c>
      <c r="B277" s="179">
        <v>7</v>
      </c>
    </row>
    <row r="278" spans="1:2" ht="15.75" customHeight="1">
      <c r="A278" s="174">
        <v>48</v>
      </c>
      <c r="B278" s="179">
        <v>8</v>
      </c>
    </row>
    <row r="279" spans="1:2" ht="15.75" customHeight="1">
      <c r="A279" s="174">
        <v>48</v>
      </c>
      <c r="B279" s="179">
        <v>9</v>
      </c>
    </row>
    <row r="280" spans="1:2" ht="15.75" customHeight="1">
      <c r="A280" s="174">
        <v>48</v>
      </c>
      <c r="B280" s="179">
        <v>10</v>
      </c>
    </row>
    <row r="281" spans="1:2" ht="15.75" customHeight="1">
      <c r="A281" s="174">
        <v>48</v>
      </c>
      <c r="B281" s="179">
        <v>11</v>
      </c>
    </row>
    <row r="282" spans="1:2" ht="15.75" customHeight="1">
      <c r="A282" s="174">
        <v>48</v>
      </c>
      <c r="B282" s="179">
        <v>12</v>
      </c>
    </row>
    <row r="283" spans="1:2" ht="15.75" customHeight="1">
      <c r="A283" s="174">
        <v>49</v>
      </c>
      <c r="B283" s="179">
        <v>1</v>
      </c>
    </row>
    <row r="284" spans="1:2" ht="15.75" customHeight="1">
      <c r="A284" s="266">
        <v>49</v>
      </c>
      <c r="B284" s="58">
        <v>2</v>
      </c>
    </row>
    <row r="285" spans="1:2" ht="15.75" customHeight="1">
      <c r="A285" s="210">
        <v>49</v>
      </c>
      <c r="B285" s="59">
        <v>3</v>
      </c>
    </row>
    <row r="286" spans="1:2" ht="15.75" customHeight="1">
      <c r="A286" s="210">
        <v>50</v>
      </c>
      <c r="B286" s="59">
        <v>1</v>
      </c>
    </row>
    <row r="287" spans="1:2" ht="15.75" customHeight="1">
      <c r="A287" s="201">
        <v>50</v>
      </c>
      <c r="B287" s="58">
        <v>2</v>
      </c>
    </row>
    <row r="288" spans="1:2" ht="15.75" customHeight="1">
      <c r="A288" s="200">
        <v>50</v>
      </c>
      <c r="B288" s="59">
        <v>3</v>
      </c>
    </row>
    <row r="289" spans="1:16" ht="15.75" customHeight="1">
      <c r="A289" s="200">
        <v>50</v>
      </c>
      <c r="B289" s="59">
        <v>4</v>
      </c>
    </row>
    <row r="290" spans="1:16" ht="15.75" customHeight="1">
      <c r="A290" s="200">
        <v>51</v>
      </c>
      <c r="B290" s="59">
        <v>1</v>
      </c>
    </row>
    <row r="291" spans="1:16" ht="15.75" customHeight="1">
      <c r="A291" s="201">
        <v>51</v>
      </c>
      <c r="B291" s="58">
        <v>2</v>
      </c>
    </row>
    <row r="292" spans="1:16" ht="15.75" customHeight="1">
      <c r="A292" s="200">
        <v>51</v>
      </c>
      <c r="B292" s="59">
        <v>3</v>
      </c>
    </row>
    <row r="293" spans="1:16" ht="15.75" customHeight="1">
      <c r="A293" s="200">
        <v>51</v>
      </c>
      <c r="B293" s="59">
        <v>4</v>
      </c>
    </row>
    <row r="294" spans="1:16" ht="15.75" customHeight="1">
      <c r="A294" s="200">
        <v>51</v>
      </c>
      <c r="B294" s="59">
        <v>5</v>
      </c>
    </row>
    <row r="295" spans="1:16" ht="15.75" customHeight="1">
      <c r="A295" s="200">
        <v>51</v>
      </c>
      <c r="B295" s="59">
        <v>6</v>
      </c>
    </row>
    <row r="296" spans="1:16" ht="15.75" customHeight="1">
      <c r="A296" s="200">
        <v>51</v>
      </c>
      <c r="B296" s="59">
        <v>7</v>
      </c>
    </row>
    <row r="297" spans="1:16" ht="15.75" customHeight="1">
      <c r="A297" s="200">
        <v>52</v>
      </c>
      <c r="B297" s="59">
        <v>1</v>
      </c>
      <c r="C297">
        <v>30926.641</v>
      </c>
      <c r="D297">
        <v>32548.262999999999</v>
      </c>
      <c r="E297">
        <v>34401.544000000002</v>
      </c>
      <c r="F297">
        <v>40193.050000000003</v>
      </c>
      <c r="G297">
        <v>50849.421000000002</v>
      </c>
      <c r="H297">
        <v>66138.995999999999</v>
      </c>
      <c r="I297">
        <v>72162.161999999997</v>
      </c>
      <c r="J297">
        <v>58262.548000000003</v>
      </c>
      <c r="K297">
        <v>47606.178</v>
      </c>
      <c r="L297">
        <v>38339.767999999996</v>
      </c>
      <c r="M297">
        <v>33706.563999999998</v>
      </c>
      <c r="N297">
        <v>34169.883999999998</v>
      </c>
      <c r="O297">
        <v>42046.332000000002</v>
      </c>
    </row>
    <row r="298" spans="1:16" ht="15.75" customHeight="1">
      <c r="A298" s="201">
        <v>52</v>
      </c>
      <c r="B298" s="178">
        <v>2</v>
      </c>
      <c r="C298" s="206">
        <v>95096.524999999994</v>
      </c>
      <c r="D298" s="206">
        <v>110849.421</v>
      </c>
      <c r="E298" s="206">
        <v>147683.39799999999</v>
      </c>
      <c r="F298" s="206">
        <v>108301.158</v>
      </c>
      <c r="G298" s="206">
        <v>94633.205000000002</v>
      </c>
      <c r="H298" s="206">
        <v>85830.115999999995</v>
      </c>
      <c r="I298" s="206">
        <v>79111.968999999997</v>
      </c>
      <c r="J298" s="206">
        <v>72393.822</v>
      </c>
      <c r="K298" s="206">
        <v>61042.470999999998</v>
      </c>
      <c r="L298" s="206">
        <v>52471.042000000001</v>
      </c>
      <c r="M298" s="206">
        <v>52007.722000000002</v>
      </c>
      <c r="N298" s="206">
        <v>52934.362999999998</v>
      </c>
      <c r="O298" s="207">
        <v>53861.004000000001</v>
      </c>
      <c r="P298" s="2"/>
    </row>
    <row r="299" spans="1:16" ht="15.75" customHeight="1">
      <c r="A299" s="200">
        <v>52</v>
      </c>
      <c r="B299" s="179">
        <v>3</v>
      </c>
      <c r="C299" s="2"/>
      <c r="D299" s="2">
        <v>132625.48300000001</v>
      </c>
      <c r="E299" s="2">
        <v>133320.46299999999</v>
      </c>
      <c r="F299" s="2">
        <v>81891.892000000007</v>
      </c>
      <c r="G299" s="2">
        <v>46911.197</v>
      </c>
      <c r="H299" s="2">
        <v>34401.544000000002</v>
      </c>
      <c r="I299" s="2">
        <v>26525.097000000002</v>
      </c>
      <c r="J299" s="2">
        <v>22123.552</v>
      </c>
      <c r="K299" s="2">
        <v>19575.29</v>
      </c>
      <c r="L299" s="2">
        <v>18648.649000000001</v>
      </c>
      <c r="M299" s="2">
        <v>18416.988000000001</v>
      </c>
      <c r="N299" s="2">
        <v>17490.347000000002</v>
      </c>
      <c r="O299" s="208">
        <v>15405.405000000001</v>
      </c>
      <c r="P299" s="2"/>
    </row>
    <row r="300" spans="1:16" ht="15.75" customHeight="1">
      <c r="A300" s="200">
        <v>52</v>
      </c>
      <c r="B300" s="179">
        <v>4</v>
      </c>
      <c r="C300" s="2"/>
      <c r="D300" s="2">
        <v>132625.48300000001</v>
      </c>
      <c r="E300" s="2">
        <v>126138.996</v>
      </c>
      <c r="F300" s="2">
        <v>60579.150999999998</v>
      </c>
      <c r="G300" s="2">
        <v>35328.184999999998</v>
      </c>
      <c r="H300" s="2">
        <v>25366.794999999998</v>
      </c>
      <c r="I300" s="2">
        <v>20501.931</v>
      </c>
      <c r="J300" s="2">
        <v>16100.386</v>
      </c>
      <c r="K300" s="2">
        <v>15405.405000000001</v>
      </c>
      <c r="L300" s="2">
        <v>14247.103999999999</v>
      </c>
      <c r="M300" s="2">
        <v>13320.463</v>
      </c>
      <c r="N300" s="2">
        <v>12625.483</v>
      </c>
      <c r="O300" s="208">
        <v>11235.521000000001</v>
      </c>
      <c r="P300" s="2"/>
    </row>
    <row r="301" spans="1:16" ht="15.75" customHeight="1">
      <c r="A301" s="202">
        <v>53</v>
      </c>
      <c r="B301" s="180">
        <v>1</v>
      </c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209"/>
      <c r="P301" s="2"/>
    </row>
    <row r="302" spans="1:16" ht="15.75" customHeight="1">
      <c r="A302" s="177">
        <v>53</v>
      </c>
      <c r="B302" s="179">
        <v>2</v>
      </c>
    </row>
    <row r="303" spans="1:16" ht="15.75" customHeight="1">
      <c r="A303" s="174">
        <v>53</v>
      </c>
      <c r="B303" s="179">
        <v>3</v>
      </c>
    </row>
    <row r="304" spans="1:16" ht="15.75" customHeight="1">
      <c r="A304" s="174">
        <v>53</v>
      </c>
      <c r="B304" s="179">
        <v>4</v>
      </c>
    </row>
    <row r="305" spans="1:17" ht="15.75" customHeight="1">
      <c r="A305" s="174">
        <v>53</v>
      </c>
      <c r="B305" s="179">
        <v>5</v>
      </c>
    </row>
    <row r="306" spans="1:17" ht="15.75" customHeight="1">
      <c r="A306" s="174">
        <v>54</v>
      </c>
      <c r="B306" s="179">
        <v>1</v>
      </c>
    </row>
    <row r="307" spans="1:17" ht="15.75" customHeight="1">
      <c r="A307" s="201">
        <v>54</v>
      </c>
      <c r="B307" s="178">
        <v>2</v>
      </c>
    </row>
    <row r="308" spans="1:17" ht="15.75" customHeight="1">
      <c r="A308" s="200">
        <v>54</v>
      </c>
      <c r="B308" s="179">
        <v>3</v>
      </c>
    </row>
    <row r="309" spans="1:17" ht="15.75" customHeight="1">
      <c r="A309" s="200">
        <v>54</v>
      </c>
      <c r="B309" s="179">
        <v>4</v>
      </c>
    </row>
    <row r="310" spans="1:17" ht="15.75" customHeight="1">
      <c r="A310" s="200">
        <v>55</v>
      </c>
      <c r="B310" s="179" t="s">
        <v>220</v>
      </c>
    </row>
    <row r="311" spans="1:17" ht="15.75" customHeight="1">
      <c r="A311" s="201">
        <v>55</v>
      </c>
      <c r="B311" s="178" t="s">
        <v>221</v>
      </c>
    </row>
    <row r="312" spans="1:17" ht="15.75" customHeight="1">
      <c r="A312" s="200">
        <v>55</v>
      </c>
      <c r="B312" s="179" t="s">
        <v>222</v>
      </c>
    </row>
    <row r="313" spans="1:17" ht="15.75" customHeight="1">
      <c r="A313" s="200">
        <v>55</v>
      </c>
      <c r="B313" s="179" t="s">
        <v>224</v>
      </c>
    </row>
    <row r="314" spans="1:17" ht="15.75" customHeight="1">
      <c r="A314" s="200">
        <v>55</v>
      </c>
      <c r="B314" s="179" t="s">
        <v>225</v>
      </c>
    </row>
    <row r="315" spans="1:17" ht="15.75" customHeight="1">
      <c r="A315" s="200">
        <v>55</v>
      </c>
      <c r="B315" s="179" t="s">
        <v>226</v>
      </c>
    </row>
    <row r="316" spans="1:17" ht="15.75" customHeight="1">
      <c r="A316" s="200">
        <v>55</v>
      </c>
      <c r="B316" s="179" t="s">
        <v>230</v>
      </c>
    </row>
    <row r="317" spans="1:17" ht="15.75" customHeight="1">
      <c r="A317" s="200">
        <v>55</v>
      </c>
      <c r="B317" s="179" t="s">
        <v>231</v>
      </c>
    </row>
    <row r="318" spans="1:17" ht="15.75" customHeight="1">
      <c r="A318" s="200">
        <v>55</v>
      </c>
      <c r="B318" s="179" t="s">
        <v>232</v>
      </c>
    </row>
    <row r="319" spans="1:17" ht="15.75" customHeight="1">
      <c r="A319" s="200">
        <v>56</v>
      </c>
      <c r="B319" s="179" t="s">
        <v>220</v>
      </c>
      <c r="C319">
        <v>102343860.287</v>
      </c>
      <c r="D319">
        <v>105005027.432</v>
      </c>
      <c r="E319">
        <v>101558740.066</v>
      </c>
      <c r="F319">
        <v>87960326.263999999</v>
      </c>
      <c r="G319">
        <v>70536103.107999995</v>
      </c>
      <c r="H319">
        <v>55271674.848999999</v>
      </c>
      <c r="I319">
        <v>47139304.737999998</v>
      </c>
      <c r="J319">
        <v>43870030.502999999</v>
      </c>
      <c r="K319">
        <v>40410421.511</v>
      </c>
      <c r="L319">
        <v>39285316.096000001</v>
      </c>
      <c r="M319">
        <v>38289699.075999998</v>
      </c>
      <c r="N319">
        <v>37128208.538000003</v>
      </c>
      <c r="O319">
        <v>35817591.294</v>
      </c>
      <c r="P319">
        <v>33677547.674000002</v>
      </c>
      <c r="Q319">
        <v>30080700.475000001</v>
      </c>
    </row>
    <row r="320" spans="1:17" ht="15.75" customHeight="1">
      <c r="A320" s="177">
        <v>56</v>
      </c>
      <c r="B320" s="178" t="s">
        <v>224</v>
      </c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7"/>
    </row>
    <row r="321" spans="1:17" ht="15.75" customHeight="1">
      <c r="A321" s="175">
        <v>57</v>
      </c>
      <c r="B321" s="180">
        <v>1</v>
      </c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209"/>
    </row>
    <row r="322" spans="1:17" ht="15.75" customHeight="1">
      <c r="A322" s="177">
        <v>57</v>
      </c>
      <c r="B322" s="178">
        <v>2</v>
      </c>
    </row>
    <row r="323" spans="1:17" ht="15.75" customHeight="1">
      <c r="A323" s="174">
        <v>58</v>
      </c>
      <c r="B323" s="179">
        <v>1</v>
      </c>
      <c r="C323" s="2">
        <v>5.1707150000000002E-3</v>
      </c>
      <c r="D323" s="2">
        <v>6.1764305999999995E-3</v>
      </c>
      <c r="E323" s="2">
        <v>7.6749788000000001E-3</v>
      </c>
      <c r="F323" s="2">
        <v>9.1677792999999997E-3</v>
      </c>
      <c r="G323" s="2">
        <v>1.18510391E-2</v>
      </c>
      <c r="H323" s="2">
        <v>1.47263818E-2</v>
      </c>
      <c r="I323" s="2">
        <v>1.8664312899999997E-2</v>
      </c>
      <c r="J323" s="2">
        <v>2.36552727E-2</v>
      </c>
      <c r="K323" s="2">
        <v>2.8256275900000002E-2</v>
      </c>
      <c r="L323" s="2">
        <v>3.3752184499999997E-2</v>
      </c>
      <c r="M323" s="2">
        <v>3.9528699099999995E-2</v>
      </c>
    </row>
    <row r="324" spans="1:17" ht="15.75" customHeight="1">
      <c r="A324" s="177">
        <v>58</v>
      </c>
      <c r="B324" s="178">
        <v>2</v>
      </c>
      <c r="C324" s="206">
        <v>2.5904729999999998E-3</v>
      </c>
      <c r="D324" s="206">
        <v>3.3486622999999997E-3</v>
      </c>
      <c r="E324" s="206">
        <v>4.1611271000000002E-3</v>
      </c>
      <c r="F324" s="206">
        <v>5.1707150000000002E-3</v>
      </c>
      <c r="G324" s="206">
        <v>6.4252529000000001E-3</v>
      </c>
      <c r="H324" s="206">
        <v>8.1434075999999994E-3</v>
      </c>
      <c r="I324" s="206">
        <v>1.0119191099999999E-2</v>
      </c>
      <c r="J324" s="206">
        <v>1.2328467399999999E-2</v>
      </c>
      <c r="K324" s="206">
        <v>1.5625180499999999E-2</v>
      </c>
      <c r="L324" s="206">
        <v>1.9416219200000001E-2</v>
      </c>
      <c r="M324" s="207">
        <v>2.2739206200000001E-2</v>
      </c>
      <c r="N324" s="2"/>
    </row>
    <row r="325" spans="1:17" ht="15.75" customHeight="1">
      <c r="A325" s="174">
        <v>58</v>
      </c>
      <c r="B325" s="179">
        <v>3</v>
      </c>
      <c r="C325" s="2">
        <v>1.0361849999999999E-4</v>
      </c>
      <c r="D325" s="2">
        <v>1.4784659999999999E-4</v>
      </c>
      <c r="E325" s="2">
        <v>2.0278350000000001E-4</v>
      </c>
      <c r="F325" s="2">
        <v>2.9510929999999999E-4</v>
      </c>
      <c r="G325" s="2">
        <v>4.2947030000000004E-4</v>
      </c>
      <c r="H325" s="2">
        <v>6.2500480000000002E-4</v>
      </c>
      <c r="I325" s="2">
        <v>9.095647000000001E-4</v>
      </c>
      <c r="J325" s="2">
        <v>1.2724220999999999E-3</v>
      </c>
      <c r="K325" s="2">
        <v>1.8517462999999999E-3</v>
      </c>
      <c r="L325" s="2">
        <v>2.4414627E-3</v>
      </c>
      <c r="M325" s="208">
        <v>3.0943258E-3</v>
      </c>
      <c r="N325" s="2"/>
    </row>
    <row r="326" spans="1:17" ht="15.75" customHeight="1">
      <c r="A326" s="175">
        <v>59</v>
      </c>
      <c r="B326" s="180">
        <v>1</v>
      </c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209"/>
      <c r="N326" s="2"/>
    </row>
    <row r="327" spans="1:17" ht="15.75" customHeight="1">
      <c r="A327" s="201">
        <v>59</v>
      </c>
      <c r="B327" s="58">
        <v>2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7" ht="15.75" customHeight="1">
      <c r="A328" s="200">
        <v>59</v>
      </c>
      <c r="B328" s="59">
        <v>3</v>
      </c>
    </row>
    <row r="329" spans="1:17" ht="15.75" customHeight="1">
      <c r="A329" s="200">
        <v>59</v>
      </c>
      <c r="B329" s="59">
        <v>4</v>
      </c>
    </row>
    <row r="330" spans="1:17" ht="15.75" customHeight="1">
      <c r="A330" s="200">
        <v>59</v>
      </c>
      <c r="B330" s="59">
        <v>5</v>
      </c>
    </row>
    <row r="331" spans="1:17" ht="15.75" customHeight="1">
      <c r="A331" s="200">
        <v>59</v>
      </c>
      <c r="B331" s="59">
        <v>6</v>
      </c>
    </row>
    <row r="332" spans="1:17" ht="15.75" customHeight="1">
      <c r="A332" s="200">
        <v>60</v>
      </c>
      <c r="B332" s="59">
        <v>1</v>
      </c>
      <c r="C332" s="2">
        <v>524807460.24977338</v>
      </c>
      <c r="D332" s="2">
        <v>399944749.7610991</v>
      </c>
      <c r="E332" s="2">
        <v>474241985.26024759</v>
      </c>
      <c r="F332" s="2">
        <v>601173737.4832803</v>
      </c>
      <c r="G332" s="2">
        <v>736207097.49474251</v>
      </c>
      <c r="H332" s="2">
        <v>543250331.49243391</v>
      </c>
      <c r="I332" s="2">
        <v>506990708.27470517</v>
      </c>
      <c r="J332" s="2">
        <v>443608643.93143415</v>
      </c>
      <c r="K332" s="2">
        <v>665273156.20174551</v>
      </c>
      <c r="L332" s="2">
        <v>490907876.15260607</v>
      </c>
      <c r="M332" s="2">
        <v>17100153.150902938</v>
      </c>
    </row>
    <row r="333" spans="1:17" ht="15.75" customHeight="1">
      <c r="A333" s="201">
        <v>60</v>
      </c>
      <c r="B333" s="58">
        <v>2</v>
      </c>
      <c r="C333" s="206">
        <v>45708818.96148771</v>
      </c>
      <c r="D333" s="206">
        <v>39902490.236214437</v>
      </c>
      <c r="E333" s="206">
        <v>44157044.735331297</v>
      </c>
      <c r="F333" s="206">
        <v>52360043.658575192</v>
      </c>
      <c r="G333" s="206">
        <v>81283051.616410092</v>
      </c>
      <c r="H333" s="206">
        <v>48865235.934283532</v>
      </c>
      <c r="I333" s="206">
        <v>45708818.96148771</v>
      </c>
      <c r="J333" s="206">
        <v>37239170.625456944</v>
      </c>
      <c r="K333" s="206">
        <v>36057864.302164361</v>
      </c>
      <c r="L333" s="206">
        <v>20230191.786782745</v>
      </c>
      <c r="M333" s="207">
        <v>2157744.4091526712</v>
      </c>
      <c r="N333" s="2"/>
    </row>
    <row r="334" spans="1:17" ht="15.75" customHeight="1">
      <c r="A334" s="200">
        <v>60</v>
      </c>
      <c r="B334" s="59">
        <v>3</v>
      </c>
      <c r="C334" s="2">
        <v>2735268.7263067118</v>
      </c>
      <c r="D334" s="2">
        <v>3243396.1734934989</v>
      </c>
      <c r="E334" s="2">
        <v>4549880.6015004953</v>
      </c>
      <c r="F334" s="2">
        <v>3715352.2909717411</v>
      </c>
      <c r="G334" s="2">
        <v>5046612.9756352911</v>
      </c>
      <c r="H334" s="2">
        <v>3033891.1841942687</v>
      </c>
      <c r="I334" s="2">
        <v>2471724.1450161417</v>
      </c>
      <c r="J334" s="2">
        <v>2648500.1386067118</v>
      </c>
      <c r="K334" s="2">
        <v>3589219.346450055</v>
      </c>
      <c r="L334" s="2">
        <v>2648500.1386067118</v>
      </c>
      <c r="M334" s="208">
        <v>125025.90302177226</v>
      </c>
      <c r="N334" s="2"/>
    </row>
    <row r="335" spans="1:17" ht="15.75" customHeight="1">
      <c r="A335" s="200">
        <v>60</v>
      </c>
      <c r="B335" s="59">
        <v>4</v>
      </c>
      <c r="C335" s="2">
        <v>133967.66874259422</v>
      </c>
      <c r="D335" s="2">
        <v>164058.9773199544</v>
      </c>
      <c r="E335" s="2">
        <v>312607.93671239557</v>
      </c>
      <c r="F335" s="2">
        <v>659173.89524432376</v>
      </c>
      <c r="G335" s="2">
        <v>369828.17978026683</v>
      </c>
      <c r="H335" s="2">
        <v>215278.17347243815</v>
      </c>
      <c r="I335" s="2">
        <v>143218.78992735496</v>
      </c>
      <c r="J335" s="2">
        <v>164058.9773199544</v>
      </c>
      <c r="K335" s="2">
        <v>215278.17347243815</v>
      </c>
      <c r="L335" s="2">
        <v>200909.28126087366</v>
      </c>
      <c r="M335" s="208">
        <v>18113.400926196027</v>
      </c>
      <c r="N335" s="2"/>
    </row>
    <row r="336" spans="1:17" ht="15.75" customHeight="1">
      <c r="A336" s="200">
        <v>60</v>
      </c>
      <c r="B336" s="59">
        <v>5</v>
      </c>
      <c r="C336" s="2">
        <v>27164.392688390799</v>
      </c>
      <c r="D336" s="2">
        <v>31117.163371060218</v>
      </c>
      <c r="E336" s="2">
        <v>63533.093185174723</v>
      </c>
      <c r="F336" s="2">
        <v>102093.94837076843</v>
      </c>
      <c r="G336" s="2">
        <v>18113.400926196027</v>
      </c>
      <c r="H336" s="2">
        <v>16368.165214278164</v>
      </c>
      <c r="I336" s="2">
        <v>13803.842646028885</v>
      </c>
      <c r="J336" s="2">
        <v>12882.495516931333</v>
      </c>
      <c r="K336" s="2">
        <v>14757.065332758968</v>
      </c>
      <c r="L336" s="2">
        <v>12882.495516931333</v>
      </c>
      <c r="M336" s="208">
        <v>1995.2623149688866</v>
      </c>
      <c r="N336" s="2"/>
    </row>
    <row r="337" spans="1:14" ht="15.75" customHeight="1">
      <c r="A337" s="202">
        <v>61</v>
      </c>
      <c r="B337" s="203">
        <v>1</v>
      </c>
      <c r="C337" s="30">
        <v>44645.373</v>
      </c>
      <c r="D337" s="30">
        <v>24912.841</v>
      </c>
      <c r="E337" s="30">
        <v>7495.7259999999997</v>
      </c>
      <c r="F337" s="30">
        <v>3463.3249999999998</v>
      </c>
      <c r="G337" s="30">
        <v>1804.404</v>
      </c>
      <c r="H337" s="30">
        <v>924.10799999999995</v>
      </c>
      <c r="I337" s="30">
        <v>278.04399999999998</v>
      </c>
      <c r="J337" s="30">
        <v>14.536</v>
      </c>
      <c r="K337" s="30">
        <v>11.045999999999999</v>
      </c>
      <c r="L337" s="30">
        <v>7.0709999999999997</v>
      </c>
      <c r="M337" s="209">
        <v>4.1539999999999999</v>
      </c>
      <c r="N337" s="2"/>
    </row>
    <row r="338" spans="1:14" ht="15.75" customHeight="1">
      <c r="A338" s="102"/>
      <c r="B338" s="246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32"/>
    </row>
    <row r="339" spans="1:14" ht="15.75" customHeight="1"/>
    <row r="340" spans="1:14" ht="15.75" customHeight="1"/>
    <row r="341" spans="1:14" ht="15.75" customHeight="1"/>
    <row r="342" spans="1:14" ht="15.75" customHeight="1"/>
    <row r="343" spans="1:14" ht="15.75" customHeight="1"/>
    <row r="344" spans="1:14" ht="15.75" customHeight="1"/>
    <row r="345" spans="1:14" ht="15.75" customHeight="1"/>
    <row r="346" spans="1:14" ht="15.75" customHeight="1"/>
    <row r="347" spans="1:14" ht="15.75" customHeight="1"/>
    <row r="348" spans="1:14" ht="15.75" customHeight="1"/>
    <row r="349" spans="1:14" ht="15.75" customHeight="1"/>
    <row r="350" spans="1:14" ht="15.75" customHeight="1"/>
    <row r="351" spans="1:14" ht="15.75" customHeight="1"/>
    <row r="352" spans="1:14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592"/>
  <sheetViews>
    <sheetView topLeftCell="A304" zoomScale="70" zoomScaleNormal="70" workbookViewId="0">
      <selection activeCell="A348" activeCellId="11" sqref="A10:XFD10 A226:XFD226 A230:XFD230 A229:XFD229 A228:XFD228 A227:XFD227 A292:XFD292 A333:XFD333 A334:XFD334 A346:XFD346 A347:XFD347 A348:XFD348"/>
    </sheetView>
  </sheetViews>
  <sheetFormatPr defaultColWidth="12.5703125" defaultRowHeight="15" customHeight="1"/>
  <cols>
    <col min="1" max="8" width="8.5703125" customWidth="1"/>
    <col min="9" max="9" width="13.5703125" customWidth="1"/>
    <col min="10" max="50" width="8.5703125" customWidth="1"/>
  </cols>
  <sheetData>
    <row r="1" spans="1:50">
      <c r="A1" s="16" t="s">
        <v>218</v>
      </c>
      <c r="B1" s="15" t="s">
        <v>219</v>
      </c>
    </row>
    <row r="2" spans="1:50">
      <c r="A2" s="286">
        <v>1</v>
      </c>
      <c r="B2" s="272">
        <v>1</v>
      </c>
      <c r="C2" s="184">
        <v>1</v>
      </c>
      <c r="D2" s="184">
        <v>1.2656304666823099</v>
      </c>
      <c r="E2" s="184">
        <v>1.57977700264465</v>
      </c>
      <c r="F2" s="184">
        <v>1.9994139051111299</v>
      </c>
      <c r="G2" s="184">
        <v>2.49569537808491</v>
      </c>
      <c r="H2" s="184">
        <v>3.13681906170895</v>
      </c>
      <c r="I2" s="184">
        <v>3.9426421639050901</v>
      </c>
      <c r="J2" s="184">
        <v>5.0595551832915904</v>
      </c>
      <c r="K2" s="184">
        <v>6.2284954201944096</v>
      </c>
      <c r="L2" s="184">
        <v>7.8285448341957098</v>
      </c>
      <c r="M2" s="184">
        <v>10.0462971141803</v>
      </c>
      <c r="N2" s="184">
        <v>12.453340351057699</v>
      </c>
      <c r="O2" s="184">
        <v>15.652501398276801</v>
      </c>
      <c r="P2" s="184">
        <v>19.810282649446599</v>
      </c>
      <c r="Q2" s="184">
        <v>25.072497274727699</v>
      </c>
      <c r="R2" s="184">
        <v>31.732516426704599</v>
      </c>
      <c r="S2" s="184">
        <v>40.161639574134398</v>
      </c>
      <c r="T2" s="184">
        <v>50.130299686951602</v>
      </c>
      <c r="U2" s="184">
        <v>63.887552190864902</v>
      </c>
      <c r="V2" s="184">
        <v>78.104855652586096</v>
      </c>
      <c r="W2" s="184">
        <v>99.539162403279803</v>
      </c>
      <c r="X2" s="184">
        <v>124.24612378321</v>
      </c>
      <c r="Y2" s="184">
        <v>157.249679627212</v>
      </c>
      <c r="Z2" s="184">
        <v>199.01998541223301</v>
      </c>
      <c r="AA2" s="184">
        <v>250.14658815499499</v>
      </c>
      <c r="AB2" s="184">
        <v>316.59314310559398</v>
      </c>
      <c r="AC2" s="184">
        <v>395.175827257283</v>
      </c>
      <c r="AD2" s="287">
        <v>496.69325773983797</v>
      </c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</row>
    <row r="3" spans="1:50">
      <c r="A3" s="288">
        <v>1</v>
      </c>
      <c r="B3" s="289">
        <v>2</v>
      </c>
      <c r="C3" s="17">
        <v>1</v>
      </c>
      <c r="D3" s="17">
        <v>1.2656304666823099</v>
      </c>
      <c r="E3" s="17">
        <v>1.57977700264465</v>
      </c>
      <c r="F3" s="17">
        <v>1.9994139051111299</v>
      </c>
      <c r="G3" s="17">
        <v>2.49569537808491</v>
      </c>
      <c r="H3" s="17">
        <v>3.13681906170895</v>
      </c>
      <c r="I3" s="17">
        <v>3.9426421639050901</v>
      </c>
      <c r="J3" s="17">
        <v>5.0595551832915904</v>
      </c>
      <c r="K3" s="17">
        <v>6.2284954201944096</v>
      </c>
      <c r="L3" s="17">
        <v>7.8285448341957098</v>
      </c>
      <c r="M3" s="17">
        <v>10.0462971141803</v>
      </c>
      <c r="N3" s="17">
        <v>12.453340351057699</v>
      </c>
      <c r="O3" s="17">
        <v>15.652501398276801</v>
      </c>
      <c r="P3" s="17">
        <v>19.810282649446599</v>
      </c>
      <c r="Q3" s="17">
        <v>25.072497274727699</v>
      </c>
      <c r="R3" s="17">
        <v>31.732516426704599</v>
      </c>
      <c r="S3" s="17">
        <v>40.161639574134398</v>
      </c>
      <c r="T3" s="17">
        <v>50.130299686951602</v>
      </c>
      <c r="U3" s="17">
        <v>63.887552190864902</v>
      </c>
      <c r="V3" s="17">
        <v>78.104855652586096</v>
      </c>
      <c r="W3" s="17">
        <v>99.539162403279803</v>
      </c>
      <c r="X3" s="17">
        <v>124.24612378321</v>
      </c>
      <c r="Y3" s="17">
        <v>157.249679627212</v>
      </c>
      <c r="Z3" s="17">
        <v>199.01998541223301</v>
      </c>
      <c r="AA3" s="17">
        <v>250.14658815499499</v>
      </c>
      <c r="AB3" s="17">
        <v>316.59314310559398</v>
      </c>
      <c r="AC3" s="17">
        <v>395.175827257283</v>
      </c>
      <c r="AD3" s="290">
        <v>496.69325773983797</v>
      </c>
    </row>
    <row r="4" spans="1:50">
      <c r="A4" s="288">
        <v>1</v>
      </c>
      <c r="B4" s="289">
        <v>3</v>
      </c>
      <c r="C4" s="17">
        <v>1</v>
      </c>
      <c r="D4" s="17">
        <v>1.2656304666823099</v>
      </c>
      <c r="E4" s="17">
        <v>1.57977700264465</v>
      </c>
      <c r="F4" s="17">
        <v>1.9994139051111299</v>
      </c>
      <c r="G4" s="17">
        <v>2.49569537808491</v>
      </c>
      <c r="H4" s="17">
        <v>3.13681906170895</v>
      </c>
      <c r="I4" s="17">
        <v>3.9426421639050901</v>
      </c>
      <c r="J4" s="17">
        <v>5.0595551832915904</v>
      </c>
      <c r="K4" s="17">
        <v>6.2284954201944096</v>
      </c>
      <c r="L4" s="17">
        <v>7.8285448341957098</v>
      </c>
      <c r="M4" s="17">
        <v>10.0462971141803</v>
      </c>
      <c r="N4" s="17">
        <v>12.453340351057699</v>
      </c>
      <c r="O4" s="17">
        <v>15.652501398276801</v>
      </c>
      <c r="P4" s="17">
        <v>19.810282649446599</v>
      </c>
      <c r="Q4" s="17">
        <v>25.072497274727699</v>
      </c>
      <c r="R4" s="17">
        <v>31.732516426704599</v>
      </c>
      <c r="S4" s="17">
        <v>40.161639574134398</v>
      </c>
      <c r="T4" s="17">
        <v>50.130299686951602</v>
      </c>
      <c r="U4" s="17">
        <v>63.887552190864902</v>
      </c>
      <c r="V4" s="17">
        <v>78.104855652586096</v>
      </c>
      <c r="W4" s="17">
        <v>99.539162403279803</v>
      </c>
      <c r="X4" s="17">
        <v>124.24612378321</v>
      </c>
      <c r="Y4" s="17">
        <v>157.249679627212</v>
      </c>
      <c r="Z4" s="17">
        <v>199.01998541223301</v>
      </c>
      <c r="AA4" s="17">
        <v>250.14658815499499</v>
      </c>
      <c r="AB4" s="17">
        <v>316.59314310559398</v>
      </c>
      <c r="AC4" s="17">
        <v>395.175827257283</v>
      </c>
      <c r="AD4" s="290">
        <v>496.69325773983797</v>
      </c>
    </row>
    <row r="5" spans="1:50">
      <c r="A5" s="288">
        <v>1</v>
      </c>
      <c r="B5" s="289">
        <v>4</v>
      </c>
      <c r="C5" s="17">
        <v>1</v>
      </c>
      <c r="D5" s="17">
        <v>1.2656304666823099</v>
      </c>
      <c r="E5" s="17">
        <v>1.57977700264465</v>
      </c>
      <c r="F5" s="17">
        <v>1.9994139051111299</v>
      </c>
      <c r="G5" s="17">
        <v>2.49569537808491</v>
      </c>
      <c r="H5" s="17">
        <v>3.13681906170895</v>
      </c>
      <c r="I5" s="17">
        <v>3.9426421639050901</v>
      </c>
      <c r="J5" s="17">
        <v>5.0595551832915904</v>
      </c>
      <c r="K5" s="17">
        <v>6.2284954201944096</v>
      </c>
      <c r="L5" s="17">
        <v>7.8285448341957098</v>
      </c>
      <c r="M5" s="17">
        <v>10.0462971141803</v>
      </c>
      <c r="N5" s="17">
        <v>12.453340351057699</v>
      </c>
      <c r="O5" s="17">
        <v>15.652501398276801</v>
      </c>
      <c r="P5" s="17">
        <v>19.810282649446599</v>
      </c>
      <c r="Q5" s="17">
        <v>25.072497274727699</v>
      </c>
      <c r="R5" s="17">
        <v>31.732516426704599</v>
      </c>
      <c r="S5" s="17">
        <v>40.161639574134398</v>
      </c>
      <c r="T5" s="17">
        <v>50.130299686951602</v>
      </c>
      <c r="U5" s="17">
        <v>63.887552190864902</v>
      </c>
      <c r="V5" s="17">
        <v>78.104855652586096</v>
      </c>
      <c r="W5" s="17">
        <v>99.539162403279803</v>
      </c>
      <c r="X5" s="17">
        <v>124.24612378321</v>
      </c>
      <c r="Y5" s="17">
        <v>157.249679627212</v>
      </c>
      <c r="Z5" s="17">
        <v>199.01998541223301</v>
      </c>
      <c r="AA5" s="17">
        <v>250.14658815499499</v>
      </c>
      <c r="AB5" s="17">
        <v>316.59314310559398</v>
      </c>
      <c r="AC5" s="17">
        <v>395.175827257283</v>
      </c>
      <c r="AD5" s="290">
        <v>496.69325773983797</v>
      </c>
    </row>
    <row r="6" spans="1:50">
      <c r="A6" s="291">
        <v>1</v>
      </c>
      <c r="B6" s="292">
        <v>5</v>
      </c>
      <c r="C6" s="18">
        <v>1</v>
      </c>
      <c r="D6" s="18">
        <v>1.2656304666823099</v>
      </c>
      <c r="E6" s="18">
        <v>1.57977700264465</v>
      </c>
      <c r="F6" s="18">
        <v>1.9994139051111299</v>
      </c>
      <c r="G6" s="18">
        <v>2.49569537808491</v>
      </c>
      <c r="H6" s="18">
        <v>3.13681906170895</v>
      </c>
      <c r="I6" s="18">
        <v>3.9426421639050901</v>
      </c>
      <c r="J6" s="18">
        <v>5.0595551832915904</v>
      </c>
      <c r="K6" s="18">
        <v>6.2284954201944096</v>
      </c>
      <c r="L6" s="18">
        <v>7.8285448341957098</v>
      </c>
      <c r="M6" s="18">
        <v>10.0462971141803</v>
      </c>
      <c r="N6" s="18">
        <v>12.453340351057699</v>
      </c>
      <c r="O6" s="18">
        <v>15.652501398276801</v>
      </c>
      <c r="P6" s="18">
        <v>19.810282649446599</v>
      </c>
      <c r="Q6" s="18">
        <v>25.072497274727699</v>
      </c>
      <c r="R6" s="18">
        <v>31.732516426704599</v>
      </c>
      <c r="S6" s="18">
        <v>40.161639574134398</v>
      </c>
      <c r="T6" s="18">
        <v>50.130299686951602</v>
      </c>
      <c r="U6" s="18">
        <v>63.887552190864902</v>
      </c>
      <c r="V6" s="18">
        <v>78.104855652586096</v>
      </c>
      <c r="W6" s="18">
        <v>99.539162403279803</v>
      </c>
      <c r="X6" s="18">
        <v>124.24612378321</v>
      </c>
      <c r="Y6" s="18">
        <v>157.249679627212</v>
      </c>
      <c r="Z6" s="18">
        <v>199.01998541223301</v>
      </c>
      <c r="AA6" s="18">
        <v>250.14658815499499</v>
      </c>
      <c r="AB6" s="18">
        <v>316.59314310559398</v>
      </c>
      <c r="AC6" s="18">
        <v>395.175827257283</v>
      </c>
      <c r="AD6" s="293">
        <v>496.69325773983797</v>
      </c>
    </row>
    <row r="7" spans="1:50">
      <c r="A7" s="177">
        <v>2</v>
      </c>
      <c r="B7" s="178">
        <v>1</v>
      </c>
      <c r="C7" s="294">
        <v>0.99574895943253205</v>
      </c>
      <c r="D7" s="294">
        <v>1.5977736831715299</v>
      </c>
      <c r="E7" s="294">
        <v>2.5097471645417202</v>
      </c>
      <c r="F7" s="294">
        <v>3.9759870240397901</v>
      </c>
      <c r="G7" s="294">
        <v>6.3257217296163297</v>
      </c>
      <c r="H7" s="294">
        <v>9.9787221598385702</v>
      </c>
      <c r="I7" s="294">
        <v>15.8084728153328</v>
      </c>
      <c r="J7" s="294">
        <v>24.9376062903631</v>
      </c>
      <c r="K7" s="294">
        <v>39.506608642469402</v>
      </c>
      <c r="L7" s="294">
        <v>62.587086677696803</v>
      </c>
      <c r="M7" s="294">
        <v>100</v>
      </c>
      <c r="N7" s="295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</row>
    <row r="8" spans="1:50">
      <c r="A8" s="174">
        <v>2</v>
      </c>
      <c r="B8" s="179">
        <v>2</v>
      </c>
      <c r="C8" s="296">
        <v>0.99574895943253205</v>
      </c>
      <c r="D8" s="296">
        <v>1.5977736831715299</v>
      </c>
      <c r="E8" s="296">
        <v>2.5097471645417202</v>
      </c>
      <c r="F8" s="296">
        <v>3.9759870240397901</v>
      </c>
      <c r="G8" s="296">
        <v>6.3257217296163297</v>
      </c>
      <c r="H8" s="296">
        <v>9.9787221598385702</v>
      </c>
      <c r="I8" s="296">
        <v>15.8084728153328</v>
      </c>
      <c r="J8" s="296">
        <v>24.9376062903631</v>
      </c>
      <c r="K8" s="296">
        <v>39.506608642469402</v>
      </c>
      <c r="L8" s="296">
        <v>62.587086677696803</v>
      </c>
      <c r="M8" s="296">
        <v>100</v>
      </c>
      <c r="N8" s="297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</row>
    <row r="9" spans="1:50">
      <c r="A9" s="174">
        <v>2</v>
      </c>
      <c r="B9" s="179">
        <v>3</v>
      </c>
      <c r="C9" s="298">
        <v>0.99574895943253205</v>
      </c>
      <c r="D9" s="298">
        <v>1.5977736831715299</v>
      </c>
      <c r="E9" s="298">
        <v>2.5097471645417202</v>
      </c>
      <c r="F9" s="298">
        <v>3.9759870240397901</v>
      </c>
      <c r="G9" s="298">
        <v>6.3257217296163297</v>
      </c>
      <c r="H9" s="298">
        <v>9.9787221598385702</v>
      </c>
      <c r="I9" s="298">
        <v>15.8084728153328</v>
      </c>
      <c r="J9" s="298">
        <v>24.9376062903631</v>
      </c>
      <c r="K9" s="298">
        <v>39.506608642469402</v>
      </c>
      <c r="L9" s="298">
        <v>62.587086677696803</v>
      </c>
      <c r="M9" s="298">
        <v>100</v>
      </c>
      <c r="N9" s="295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</row>
    <row r="10" spans="1:50">
      <c r="A10" s="181">
        <v>3</v>
      </c>
      <c r="B10" s="178">
        <v>1</v>
      </c>
      <c r="C10" s="299">
        <v>0.10346139387845101</v>
      </c>
      <c r="D10" s="299">
        <v>0.15043188637608401</v>
      </c>
      <c r="E10" s="299">
        <v>0.22122162910704399</v>
      </c>
      <c r="F10" s="299">
        <v>0.325323376338084</v>
      </c>
      <c r="G10" s="299">
        <v>0.46240724558247598</v>
      </c>
      <c r="H10" s="299">
        <v>0.71968567300115205</v>
      </c>
      <c r="I10" s="299">
        <v>1</v>
      </c>
      <c r="J10" s="299">
        <v>1.50431886376084</v>
      </c>
      <c r="K10" s="299">
        <v>2.2374518320560699</v>
      </c>
      <c r="L10" s="299">
        <v>3.2532337633808401</v>
      </c>
      <c r="M10" s="299">
        <v>4.6768209011058604</v>
      </c>
      <c r="N10" s="299">
        <v>7.0354299039645598</v>
      </c>
      <c r="O10" s="299">
        <v>10.346139387845099</v>
      </c>
      <c r="P10" s="299">
        <v>15.2147916607627</v>
      </c>
      <c r="Q10" s="299">
        <v>22.1221629107045</v>
      </c>
      <c r="R10" s="299">
        <v>32.532337633808297</v>
      </c>
      <c r="S10" s="299">
        <v>47.301710667332898</v>
      </c>
      <c r="T10" s="299">
        <v>68.776239114488405</v>
      </c>
      <c r="U10" s="299">
        <v>102.29448417865601</v>
      </c>
      <c r="V10" s="299">
        <v>148.735210729351</v>
      </c>
      <c r="W10" s="299">
        <v>218.72653741020599</v>
      </c>
      <c r="X10" s="299">
        <v>329.03445623126601</v>
      </c>
      <c r="Y10" s="108">
        <v>473.01710667332901</v>
      </c>
    </row>
    <row r="11" spans="1:50">
      <c r="A11" s="182">
        <v>3</v>
      </c>
      <c r="B11" s="179">
        <v>2</v>
      </c>
      <c r="C11" s="300">
        <v>0.10346139387845101</v>
      </c>
      <c r="D11" s="300">
        <v>0.15043188637608401</v>
      </c>
      <c r="E11" s="300">
        <v>0.22122162910704399</v>
      </c>
      <c r="F11" s="300">
        <v>0.325323376338084</v>
      </c>
      <c r="G11" s="300">
        <v>0.46240724558247598</v>
      </c>
      <c r="H11" s="300">
        <v>0.71968567300115205</v>
      </c>
      <c r="I11" s="300">
        <v>1</v>
      </c>
      <c r="J11" s="300">
        <v>1.50431886376084</v>
      </c>
      <c r="K11" s="300">
        <v>2.2374518320560699</v>
      </c>
      <c r="L11" s="300">
        <v>3.2532337633808401</v>
      </c>
      <c r="M11" s="300">
        <v>4.6768209011058604</v>
      </c>
      <c r="N11" s="300">
        <v>7.0354299039645598</v>
      </c>
      <c r="O11" s="300">
        <v>10.346139387845099</v>
      </c>
      <c r="P11" s="300">
        <v>15.2147916607627</v>
      </c>
      <c r="Q11" s="300">
        <v>22.1221629107045</v>
      </c>
      <c r="R11" s="300">
        <v>32.532337633808297</v>
      </c>
      <c r="S11" s="300">
        <v>47.301710667332898</v>
      </c>
      <c r="T11" s="300">
        <v>68.776239114488405</v>
      </c>
      <c r="U11" s="300">
        <v>102.29448417865601</v>
      </c>
      <c r="V11" s="300">
        <v>148.735210729351</v>
      </c>
      <c r="W11" s="300">
        <v>218.72653741020599</v>
      </c>
      <c r="X11" s="300">
        <v>329.03445623126601</v>
      </c>
      <c r="Y11" s="109">
        <v>473.01710667332901</v>
      </c>
    </row>
    <row r="12" spans="1:50">
      <c r="A12" s="182">
        <v>3</v>
      </c>
      <c r="B12" s="179">
        <v>3</v>
      </c>
      <c r="C12" s="301">
        <v>0.10346139387845101</v>
      </c>
      <c r="D12" s="301">
        <v>0.15043188637608401</v>
      </c>
      <c r="E12" s="301">
        <v>0.22122162910704399</v>
      </c>
      <c r="F12" s="301">
        <v>0.325323376338084</v>
      </c>
      <c r="G12" s="301">
        <v>0.46240724558247598</v>
      </c>
      <c r="H12" s="301">
        <v>0.71968567300115205</v>
      </c>
      <c r="I12" s="301">
        <v>1</v>
      </c>
      <c r="J12" s="301">
        <v>1.50431886376084</v>
      </c>
      <c r="K12" s="301">
        <v>2.2374518320560699</v>
      </c>
      <c r="L12" s="301">
        <v>3.2532337633808401</v>
      </c>
      <c r="M12" s="301">
        <v>4.6768209011058604</v>
      </c>
      <c r="N12" s="301">
        <v>7.0354299039645598</v>
      </c>
      <c r="O12" s="301">
        <v>10.346139387845099</v>
      </c>
      <c r="P12" s="301">
        <v>15.2147916607627</v>
      </c>
      <c r="Q12" s="301">
        <v>22.1221629107045</v>
      </c>
      <c r="R12" s="301">
        <v>32.532337633808297</v>
      </c>
      <c r="S12" s="301">
        <v>47.301710667332898</v>
      </c>
      <c r="T12" s="301">
        <v>68.776239114488405</v>
      </c>
      <c r="U12" s="301">
        <v>102.29448417865601</v>
      </c>
      <c r="V12" s="301">
        <v>148.735210729351</v>
      </c>
      <c r="W12" s="301">
        <v>218.72653741020599</v>
      </c>
      <c r="X12" s="301">
        <v>329.03445623126601</v>
      </c>
      <c r="Y12" s="110">
        <v>473.01710667332901</v>
      </c>
    </row>
    <row r="13" spans="1:50">
      <c r="A13" s="182">
        <v>3</v>
      </c>
      <c r="B13" s="179">
        <v>4</v>
      </c>
      <c r="C13" s="300">
        <v>0.10346139387845101</v>
      </c>
      <c r="D13" s="300">
        <v>0.15043188637608401</v>
      </c>
      <c r="E13" s="300">
        <v>0.22122162910704399</v>
      </c>
      <c r="F13" s="300">
        <v>0.325323376338084</v>
      </c>
      <c r="G13" s="300">
        <v>0.46240724558247598</v>
      </c>
      <c r="H13" s="300">
        <v>0.71968567300115205</v>
      </c>
      <c r="I13" s="300">
        <v>1</v>
      </c>
      <c r="J13" s="300">
        <v>1.50431886376084</v>
      </c>
      <c r="K13" s="300">
        <v>2.2374518320560699</v>
      </c>
      <c r="L13" s="300">
        <v>3.2532337633808401</v>
      </c>
      <c r="M13" s="300">
        <v>4.6768209011058604</v>
      </c>
      <c r="N13" s="300">
        <v>7.0354299039645598</v>
      </c>
      <c r="O13" s="300">
        <v>10.346139387845099</v>
      </c>
      <c r="P13" s="300">
        <v>15.2147916607627</v>
      </c>
      <c r="Q13" s="300">
        <v>22.1221629107045</v>
      </c>
      <c r="R13" s="300">
        <v>32.532337633808297</v>
      </c>
      <c r="S13" s="300">
        <v>47.301710667332898</v>
      </c>
      <c r="T13" s="300">
        <v>68.776239114488405</v>
      </c>
      <c r="U13" s="300">
        <v>102.29448417865601</v>
      </c>
      <c r="V13" s="300">
        <v>148.735210729351</v>
      </c>
      <c r="W13" s="300">
        <v>218.72653741020599</v>
      </c>
      <c r="X13" s="300">
        <v>329.03445623126601</v>
      </c>
      <c r="Y13" s="109">
        <v>473.01710667332901</v>
      </c>
    </row>
    <row r="14" spans="1:50">
      <c r="A14" s="181">
        <v>4</v>
      </c>
      <c r="B14" s="178">
        <v>1</v>
      </c>
      <c r="C14" s="347">
        <v>9.7996099776150401E-3</v>
      </c>
      <c r="D14" s="347">
        <v>1.95033803395279E-2</v>
      </c>
      <c r="E14" s="347">
        <v>2.9237084702437001E-2</v>
      </c>
      <c r="F14" s="347">
        <v>3.9210880382297399E-2</v>
      </c>
      <c r="G14" s="347">
        <v>5.8780160722749102E-2</v>
      </c>
      <c r="H14" s="347">
        <v>0.10050734531764299</v>
      </c>
      <c r="I14" s="347">
        <v>0.156893299209549</v>
      </c>
      <c r="J14" s="347">
        <v>0.249920682271629</v>
      </c>
      <c r="K14" s="347">
        <v>0.39409814947923899</v>
      </c>
      <c r="L14" s="347">
        <v>0.62145057388310199</v>
      </c>
      <c r="M14" s="347">
        <v>0.989929794359935</v>
      </c>
      <c r="N14" s="347">
        <v>1.54529353981152</v>
      </c>
      <c r="O14" s="347">
        <v>2.48659121859979</v>
      </c>
      <c r="P14" s="347">
        <v>3.9210880382297399</v>
      </c>
      <c r="Q14" s="347">
        <v>6.2460347427116796</v>
      </c>
      <c r="R14" s="348">
        <v>9.84932783998382</v>
      </c>
      <c r="S14" s="348">
        <v>15.689329920954901</v>
      </c>
      <c r="T14" s="348">
        <v>24.491252116014198</v>
      </c>
      <c r="U14" s="348">
        <v>38.620081577963703</v>
      </c>
      <c r="V14" s="348">
        <v>62.777237075172302</v>
      </c>
      <c r="W14" s="348">
        <v>98.992979435993504</v>
      </c>
      <c r="X14" s="349"/>
      <c r="Y14" s="221"/>
    </row>
    <row r="15" spans="1:50">
      <c r="A15" s="182">
        <v>4</v>
      </c>
      <c r="B15" s="179">
        <v>2</v>
      </c>
      <c r="C15" s="350">
        <v>9.7996099776150401E-3</v>
      </c>
      <c r="D15" s="350">
        <v>1.95033803395279E-2</v>
      </c>
      <c r="E15" s="350">
        <v>2.9237084702437001E-2</v>
      </c>
      <c r="F15" s="350">
        <v>3.9210880382297399E-2</v>
      </c>
      <c r="G15" s="350">
        <v>5.8780160722749102E-2</v>
      </c>
      <c r="H15" s="350">
        <v>0.10050734531764299</v>
      </c>
      <c r="I15" s="350">
        <v>0.156893299209549</v>
      </c>
      <c r="J15" s="350">
        <v>0.249920682271629</v>
      </c>
      <c r="K15" s="350">
        <v>0.39409814947923899</v>
      </c>
      <c r="L15" s="350">
        <v>0.62145057388310199</v>
      </c>
      <c r="M15" s="350">
        <v>0.989929794359935</v>
      </c>
      <c r="N15" s="350">
        <v>1.54529353981152</v>
      </c>
      <c r="O15" s="350">
        <v>2.48659121859979</v>
      </c>
      <c r="P15" s="350">
        <v>3.9210880382297399</v>
      </c>
      <c r="Q15" s="350">
        <v>6.2460347427116796</v>
      </c>
      <c r="R15" s="351">
        <v>9.84932783998382</v>
      </c>
      <c r="S15" s="351">
        <v>15.689329920954901</v>
      </c>
      <c r="T15" s="351">
        <v>24.491252116014198</v>
      </c>
      <c r="U15" s="351">
        <v>38.620081577963703</v>
      </c>
      <c r="V15" s="351">
        <v>62.777237075172302</v>
      </c>
      <c r="W15" s="351">
        <v>98.992979435993504</v>
      </c>
      <c r="X15" s="297"/>
      <c r="Y15" s="239"/>
    </row>
    <row r="16" spans="1:50">
      <c r="A16" s="182">
        <v>4</v>
      </c>
      <c r="B16" s="179">
        <v>3</v>
      </c>
      <c r="C16" s="352">
        <v>9.7996099776150401E-3</v>
      </c>
      <c r="D16" s="352">
        <v>1.95033803395279E-2</v>
      </c>
      <c r="E16" s="352">
        <v>2.9237084702437001E-2</v>
      </c>
      <c r="F16" s="352">
        <v>3.9210880382297399E-2</v>
      </c>
      <c r="G16" s="352">
        <v>5.8780160722749102E-2</v>
      </c>
      <c r="H16" s="352">
        <v>0.10050734531764299</v>
      </c>
      <c r="I16" s="352">
        <v>0.156893299209549</v>
      </c>
      <c r="J16" s="352">
        <v>0.249920682271629</v>
      </c>
      <c r="K16" s="352">
        <v>0.39409814947923899</v>
      </c>
      <c r="L16" s="352">
        <v>0.62145057388310199</v>
      </c>
      <c r="M16" s="352">
        <v>0.989929794359935</v>
      </c>
      <c r="N16" s="352">
        <v>1.54529353981152</v>
      </c>
      <c r="O16" s="352">
        <v>2.48659121859979</v>
      </c>
      <c r="P16" s="352">
        <v>3.9210880382297399</v>
      </c>
      <c r="Q16" s="352">
        <v>6.2460347427116796</v>
      </c>
      <c r="R16" s="353">
        <v>9.84932783998382</v>
      </c>
      <c r="S16" s="353">
        <v>15.689329920954901</v>
      </c>
      <c r="T16" s="353">
        <v>24.491252116014198</v>
      </c>
      <c r="U16" s="353">
        <v>38.620081577963703</v>
      </c>
      <c r="V16" s="353">
        <v>62.777237075172302</v>
      </c>
      <c r="W16" s="353">
        <v>98.992979435993504</v>
      </c>
      <c r="X16" s="295"/>
      <c r="Y16" s="283"/>
    </row>
    <row r="17" spans="1:50">
      <c r="A17" s="181">
        <v>5</v>
      </c>
      <c r="B17" s="178">
        <v>1</v>
      </c>
      <c r="C17" s="306">
        <v>0.1</v>
      </c>
      <c r="D17" s="306">
        <v>0.120177348102179</v>
      </c>
      <c r="E17" s="306">
        <v>0.14442594996872399</v>
      </c>
      <c r="F17" s="306">
        <v>0.17224312920385301</v>
      </c>
      <c r="G17" s="306">
        <v>0.213436304443925</v>
      </c>
      <c r="H17" s="306">
        <v>0.248763775608522</v>
      </c>
      <c r="I17" s="306">
        <v>0.298957708565178</v>
      </c>
      <c r="J17" s="306">
        <v>0.36762936963128101</v>
      </c>
      <c r="K17" s="306">
        <v>0.441807227267633</v>
      </c>
      <c r="L17" s="306">
        <v>0.53503399206054303</v>
      </c>
      <c r="M17" s="306">
        <v>0.63808428501175996</v>
      </c>
      <c r="N17" s="306">
        <v>0.76098259329455098</v>
      </c>
      <c r="O17" s="306">
        <v>0.92155929022937599</v>
      </c>
      <c r="P17" s="306">
        <v>1.1160196473499899</v>
      </c>
      <c r="Q17" s="306">
        <v>1.35151353415493</v>
      </c>
      <c r="R17" s="306">
        <v>1.62421312458944</v>
      </c>
      <c r="S17" s="306">
        <v>1.9669420923252501</v>
      </c>
      <c r="T17" s="306">
        <v>2.3638188452620099</v>
      </c>
      <c r="U17" s="306">
        <v>2.7975955107325299</v>
      </c>
      <c r="V17" s="306">
        <v>3.4402132630397602</v>
      </c>
      <c r="W17" s="306">
        <v>4.0404538926578502</v>
      </c>
      <c r="X17" s="306">
        <v>4.9685606860952198</v>
      </c>
      <c r="Y17" s="306">
        <v>5.9255309755456702</v>
      </c>
      <c r="Z17" s="195">
        <v>7.1758909706655896</v>
      </c>
      <c r="AA17" s="195">
        <v>8.5580044021228598</v>
      </c>
      <c r="AB17" s="195">
        <v>10.363848703103701</v>
      </c>
      <c r="AC17" s="195">
        <v>12.6472343328848</v>
      </c>
      <c r="AD17" s="195">
        <v>15.1991108295293</v>
      </c>
      <c r="AE17" s="195">
        <v>18.265888330039498</v>
      </c>
      <c r="AF17" s="195">
        <v>22.120215670064201</v>
      </c>
      <c r="AG17" s="195">
        <v>26.787853536006899</v>
      </c>
      <c r="AH17" s="195">
        <v>31.9473316166209</v>
      </c>
      <c r="AI17" s="195">
        <v>38.6886119456085</v>
      </c>
      <c r="AJ17" s="195">
        <v>46.852385427368603</v>
      </c>
      <c r="AK17" s="195">
        <v>56.305954329223503</v>
      </c>
      <c r="AL17" s="195">
        <v>68.711404338152903</v>
      </c>
      <c r="AM17" s="195">
        <v>80.084353105042496</v>
      </c>
      <c r="AN17" s="195">
        <v>97.728711517531494</v>
      </c>
      <c r="AO17" s="195">
        <v>115.662587748265</v>
      </c>
      <c r="AP17" s="195">
        <v>143.32412216102901</v>
      </c>
      <c r="AQ17" s="195">
        <v>170.92908370522699</v>
      </c>
      <c r="AR17" s="195">
        <v>206.99722496540099</v>
      </c>
      <c r="AS17" s="253">
        <v>276.91745564046403</v>
      </c>
      <c r="AT17" s="19"/>
      <c r="AU17" s="19"/>
      <c r="AV17" s="19"/>
      <c r="AW17" s="19"/>
      <c r="AX17" s="19"/>
    </row>
    <row r="18" spans="1:50">
      <c r="A18" s="182">
        <v>5</v>
      </c>
      <c r="B18" s="179">
        <v>2</v>
      </c>
      <c r="C18" s="301">
        <v>0.1</v>
      </c>
      <c r="D18" s="301">
        <v>0.120177348102179</v>
      </c>
      <c r="E18" s="301">
        <v>0.14442594996872399</v>
      </c>
      <c r="F18" s="301">
        <v>0.17224312920385301</v>
      </c>
      <c r="G18" s="301">
        <v>0.213436304443925</v>
      </c>
      <c r="H18" s="301">
        <v>0.248763775608522</v>
      </c>
      <c r="I18" s="301">
        <v>0.298957708565178</v>
      </c>
      <c r="J18" s="301">
        <v>0.36762936963128101</v>
      </c>
      <c r="K18" s="301">
        <v>0.441807227267633</v>
      </c>
      <c r="L18" s="301">
        <v>0.53503399206054303</v>
      </c>
      <c r="M18" s="301">
        <v>0.63808428501175996</v>
      </c>
      <c r="N18" s="301">
        <v>0.76098259329455098</v>
      </c>
      <c r="O18" s="301">
        <v>0.92155929022937599</v>
      </c>
      <c r="P18" s="301">
        <v>1.1160196473499899</v>
      </c>
      <c r="Q18" s="301">
        <v>1.35151353415493</v>
      </c>
      <c r="R18" s="301">
        <v>1.62421312458944</v>
      </c>
      <c r="S18" s="301">
        <v>1.9669420923252501</v>
      </c>
      <c r="T18" s="301">
        <v>2.3638188452620099</v>
      </c>
      <c r="U18" s="301">
        <v>2.7975955107325299</v>
      </c>
      <c r="V18" s="301">
        <v>3.4402132630397602</v>
      </c>
      <c r="W18" s="301">
        <v>4.0404538926578502</v>
      </c>
      <c r="X18" s="301">
        <v>4.9685606860952198</v>
      </c>
      <c r="Y18" s="301">
        <v>5.9255309755456702</v>
      </c>
      <c r="Z18" s="19">
        <v>7.1758909706655896</v>
      </c>
      <c r="AA18" s="19">
        <v>8.5580044021228598</v>
      </c>
      <c r="AB18" s="19">
        <v>10.363848703103701</v>
      </c>
      <c r="AC18" s="19">
        <v>12.6472343328848</v>
      </c>
      <c r="AD18" s="19">
        <v>15.1991108295293</v>
      </c>
      <c r="AE18" s="19">
        <v>18.265888330039498</v>
      </c>
      <c r="AF18" s="19">
        <v>22.120215670064201</v>
      </c>
      <c r="AG18" s="19">
        <v>26.787853536006899</v>
      </c>
      <c r="AH18" s="19">
        <v>31.9473316166209</v>
      </c>
      <c r="AI18" s="19">
        <v>38.6886119456085</v>
      </c>
      <c r="AJ18" s="19">
        <v>46.852385427368603</v>
      </c>
      <c r="AK18" s="19">
        <v>56.305954329223503</v>
      </c>
      <c r="AL18" s="19">
        <v>68.711404338152903</v>
      </c>
      <c r="AM18" s="19">
        <v>80.084353105042496</v>
      </c>
      <c r="AN18" s="19">
        <v>97.728711517531494</v>
      </c>
      <c r="AO18" s="19">
        <v>115.662587748265</v>
      </c>
      <c r="AP18" s="19">
        <v>143.32412216102901</v>
      </c>
      <c r="AQ18" s="19">
        <v>170.92908370522699</v>
      </c>
      <c r="AR18" s="19">
        <v>206.99722496540099</v>
      </c>
      <c r="AS18" s="185">
        <v>276.91745564046403</v>
      </c>
      <c r="AT18" s="19"/>
      <c r="AU18" s="19"/>
      <c r="AV18" s="19"/>
      <c r="AW18" s="19"/>
      <c r="AX18" s="19"/>
    </row>
    <row r="19" spans="1:50">
      <c r="A19" s="182">
        <v>5</v>
      </c>
      <c r="B19" s="179">
        <v>3</v>
      </c>
      <c r="C19" s="300">
        <v>0.1</v>
      </c>
      <c r="D19" s="300">
        <v>0.120177348102179</v>
      </c>
      <c r="E19" s="300">
        <v>0.14442594996872399</v>
      </c>
      <c r="F19" s="300">
        <v>0.17224312920385301</v>
      </c>
      <c r="G19" s="300">
        <v>0.213436304443925</v>
      </c>
      <c r="H19" s="300">
        <v>0.248763775608522</v>
      </c>
      <c r="I19" s="300">
        <v>0.298957708565178</v>
      </c>
      <c r="J19" s="300">
        <v>0.36762936963128101</v>
      </c>
      <c r="K19" s="300">
        <v>0.441807227267633</v>
      </c>
      <c r="L19" s="300">
        <v>0.53503399206054303</v>
      </c>
      <c r="M19" s="300">
        <v>0.63808428501175996</v>
      </c>
      <c r="N19" s="300">
        <v>0.76098259329455098</v>
      </c>
      <c r="O19" s="300">
        <v>0.92155929022937599</v>
      </c>
      <c r="P19" s="300">
        <v>1.1160196473499899</v>
      </c>
      <c r="Q19" s="300">
        <v>1.35151353415493</v>
      </c>
      <c r="R19" s="300">
        <v>1.62421312458944</v>
      </c>
      <c r="S19" s="300">
        <v>1.9669420923252501</v>
      </c>
      <c r="T19" s="300">
        <v>2.3638188452620099</v>
      </c>
      <c r="U19" s="300">
        <v>2.7975955107325299</v>
      </c>
      <c r="V19" s="300">
        <v>3.4402132630397602</v>
      </c>
      <c r="W19" s="300">
        <v>4.0404538926578502</v>
      </c>
      <c r="X19" s="300">
        <v>4.9685606860952198</v>
      </c>
      <c r="Y19" s="300">
        <v>5.9255309755456702</v>
      </c>
      <c r="Z19" s="19">
        <v>7.1758909706655896</v>
      </c>
      <c r="AA19" s="19">
        <v>8.5580044021228598</v>
      </c>
      <c r="AB19" s="19">
        <v>10.363848703103701</v>
      </c>
      <c r="AC19" s="19">
        <v>12.6472343328848</v>
      </c>
      <c r="AD19" s="19">
        <v>15.1991108295293</v>
      </c>
      <c r="AE19" s="19">
        <v>18.265888330039498</v>
      </c>
      <c r="AF19" s="19">
        <v>22.120215670064201</v>
      </c>
      <c r="AG19" s="19">
        <v>26.787853536006899</v>
      </c>
      <c r="AH19" s="19">
        <v>31.9473316166209</v>
      </c>
      <c r="AI19" s="19">
        <v>38.6886119456085</v>
      </c>
      <c r="AJ19" s="19">
        <v>46.852385427368603</v>
      </c>
      <c r="AK19" s="19">
        <v>56.305954329223503</v>
      </c>
      <c r="AL19" s="19">
        <v>68.711404338152903</v>
      </c>
      <c r="AM19" s="19">
        <v>80.084353105042496</v>
      </c>
      <c r="AN19" s="19">
        <v>97.728711517531494</v>
      </c>
      <c r="AO19" s="19">
        <v>115.662587748265</v>
      </c>
      <c r="AP19" s="19">
        <v>143.32412216102901</v>
      </c>
      <c r="AQ19" s="19">
        <v>170.92908370522699</v>
      </c>
      <c r="AR19" s="19">
        <v>206.99722496540099</v>
      </c>
      <c r="AS19" s="185">
        <v>276.91745564046403</v>
      </c>
      <c r="AT19" s="19"/>
      <c r="AU19" s="19"/>
      <c r="AV19" s="19"/>
      <c r="AW19" s="19"/>
      <c r="AX19" s="19"/>
    </row>
    <row r="20" spans="1:50" ht="15.75" customHeight="1">
      <c r="A20" s="182">
        <v>5</v>
      </c>
      <c r="B20" s="179">
        <v>4</v>
      </c>
      <c r="C20" s="301">
        <v>0.1</v>
      </c>
      <c r="D20" s="301">
        <v>0.120177348102179</v>
      </c>
      <c r="E20" s="301">
        <v>0.14442594996872399</v>
      </c>
      <c r="F20" s="301">
        <v>0.17224312920385301</v>
      </c>
      <c r="G20" s="301">
        <v>0.213436304443925</v>
      </c>
      <c r="H20" s="301">
        <v>0.248763775608522</v>
      </c>
      <c r="I20" s="301">
        <v>0.298957708565178</v>
      </c>
      <c r="J20" s="301">
        <v>0.36762936963128101</v>
      </c>
      <c r="K20" s="301">
        <v>0.441807227267633</v>
      </c>
      <c r="L20" s="301">
        <v>0.53503399206054303</v>
      </c>
      <c r="M20" s="301">
        <v>0.63808428501175996</v>
      </c>
      <c r="N20" s="301">
        <v>0.76098259329455098</v>
      </c>
      <c r="O20" s="301">
        <v>0.92155929022937599</v>
      </c>
      <c r="P20" s="301">
        <v>1.1160196473499899</v>
      </c>
      <c r="Q20" s="301">
        <v>1.35151353415493</v>
      </c>
      <c r="R20" s="301">
        <v>1.62421312458944</v>
      </c>
      <c r="S20" s="301">
        <v>1.9669420923252501</v>
      </c>
      <c r="T20" s="301">
        <v>2.3638188452620099</v>
      </c>
      <c r="U20" s="301">
        <v>2.7975955107325299</v>
      </c>
      <c r="V20" s="301">
        <v>3.4402132630397602</v>
      </c>
      <c r="W20" s="301">
        <v>4.0404538926578502</v>
      </c>
      <c r="X20" s="301">
        <v>4.9685606860952198</v>
      </c>
      <c r="Y20" s="301">
        <v>5.9255309755456702</v>
      </c>
      <c r="Z20" s="19">
        <v>7.1758909706655896</v>
      </c>
      <c r="AA20" s="19">
        <v>8.5580044021228598</v>
      </c>
      <c r="AB20" s="19">
        <v>10.363848703103701</v>
      </c>
      <c r="AC20" s="19">
        <v>12.6472343328848</v>
      </c>
      <c r="AD20" s="19">
        <v>15.1991108295293</v>
      </c>
      <c r="AE20" s="19">
        <v>18.265888330039498</v>
      </c>
      <c r="AF20" s="19">
        <v>22.120215670064201</v>
      </c>
      <c r="AG20" s="19">
        <v>26.787853536006899</v>
      </c>
      <c r="AH20" s="19">
        <v>31.9473316166209</v>
      </c>
      <c r="AI20" s="19">
        <v>38.6886119456085</v>
      </c>
      <c r="AJ20" s="19">
        <v>46.852385427368603</v>
      </c>
      <c r="AK20" s="19">
        <v>56.305954329223503</v>
      </c>
      <c r="AL20" s="19">
        <v>68.711404338152903</v>
      </c>
      <c r="AM20" s="19">
        <v>80.084353105042496</v>
      </c>
      <c r="AN20" s="19">
        <v>97.728711517531494</v>
      </c>
      <c r="AO20" s="19">
        <v>115.662587748265</v>
      </c>
      <c r="AP20" s="19">
        <v>143.32412216102901</v>
      </c>
      <c r="AQ20" s="19">
        <v>170.92908370522699</v>
      </c>
      <c r="AR20" s="19">
        <v>206.99722496540099</v>
      </c>
      <c r="AS20" s="185">
        <v>276.91745564046403</v>
      </c>
      <c r="AT20" s="19"/>
      <c r="AU20" s="19"/>
      <c r="AV20" s="19"/>
      <c r="AW20" s="19"/>
      <c r="AX20" s="19"/>
    </row>
    <row r="21" spans="1:50" ht="15.75" customHeight="1">
      <c r="A21" s="182">
        <v>5</v>
      </c>
      <c r="B21" s="179">
        <v>5</v>
      </c>
      <c r="C21" s="300">
        <v>0.1</v>
      </c>
      <c r="D21" s="300">
        <v>0.120177348102179</v>
      </c>
      <c r="E21" s="300">
        <v>0.14442594996872399</v>
      </c>
      <c r="F21" s="300">
        <v>0.17224312920385301</v>
      </c>
      <c r="G21" s="300">
        <v>0.213436304443925</v>
      </c>
      <c r="H21" s="300">
        <v>0.248763775608522</v>
      </c>
      <c r="I21" s="300">
        <v>0.298957708565178</v>
      </c>
      <c r="J21" s="300">
        <v>0.36762936963128101</v>
      </c>
      <c r="K21" s="300">
        <v>0.441807227267633</v>
      </c>
      <c r="L21" s="300">
        <v>0.53503399206054303</v>
      </c>
      <c r="M21" s="300">
        <v>0.63808428501175996</v>
      </c>
      <c r="N21" s="300">
        <v>0.76098259329455098</v>
      </c>
      <c r="O21" s="300">
        <v>0.92155929022937599</v>
      </c>
      <c r="P21" s="300">
        <v>1.1160196473499899</v>
      </c>
      <c r="Q21" s="300">
        <v>1.35151353415493</v>
      </c>
      <c r="R21" s="300">
        <v>1.62421312458944</v>
      </c>
      <c r="S21" s="300">
        <v>1.9669420923252501</v>
      </c>
      <c r="T21" s="300">
        <v>2.3638188452620099</v>
      </c>
      <c r="U21" s="300">
        <v>2.7975955107325299</v>
      </c>
      <c r="V21" s="300">
        <v>3.4402132630397602</v>
      </c>
      <c r="W21" s="300">
        <v>4.0404538926578502</v>
      </c>
      <c r="X21" s="300">
        <v>4.9685606860952198</v>
      </c>
      <c r="Y21" s="300">
        <v>5.9255309755456702</v>
      </c>
      <c r="Z21" s="19">
        <v>7.1758909706655896</v>
      </c>
      <c r="AA21" s="19">
        <v>8.5580044021228598</v>
      </c>
      <c r="AB21" s="19">
        <v>10.363848703103701</v>
      </c>
      <c r="AC21" s="19">
        <v>12.6472343328848</v>
      </c>
      <c r="AD21" s="19">
        <v>15.1991108295293</v>
      </c>
      <c r="AE21" s="19">
        <v>18.265888330039498</v>
      </c>
      <c r="AF21" s="19">
        <v>22.120215670064201</v>
      </c>
      <c r="AG21" s="19">
        <v>26.787853536006899</v>
      </c>
      <c r="AH21" s="19">
        <v>31.9473316166209</v>
      </c>
      <c r="AI21" s="19">
        <v>38.6886119456085</v>
      </c>
      <c r="AJ21" s="19">
        <v>46.852385427368603</v>
      </c>
      <c r="AK21" s="19">
        <v>56.305954329223503</v>
      </c>
      <c r="AL21" s="19">
        <v>68.711404338152903</v>
      </c>
      <c r="AM21" s="19">
        <v>80.084353105042496</v>
      </c>
      <c r="AN21" s="19">
        <v>97.728711517531494</v>
      </c>
      <c r="AO21" s="19">
        <v>115.662587748265</v>
      </c>
      <c r="AP21" s="19">
        <v>143.32412216102901</v>
      </c>
      <c r="AQ21" s="19">
        <v>170.92908370522699</v>
      </c>
      <c r="AR21" s="19">
        <v>206.99722496540099</v>
      </c>
      <c r="AS21" s="185">
        <v>276.91745564046403</v>
      </c>
      <c r="AT21" s="19"/>
      <c r="AU21" s="19"/>
      <c r="AV21" s="19"/>
      <c r="AW21" s="19"/>
      <c r="AX21" s="19"/>
    </row>
    <row r="22" spans="1:50" ht="15.75" customHeight="1">
      <c r="A22" s="182">
        <v>5</v>
      </c>
      <c r="B22" s="179">
        <v>6</v>
      </c>
      <c r="C22" s="301">
        <v>0.1</v>
      </c>
      <c r="D22" s="301">
        <v>0.120177348102179</v>
      </c>
      <c r="E22" s="301">
        <v>0.14442594996872399</v>
      </c>
      <c r="F22" s="301">
        <v>0.17224312920385301</v>
      </c>
      <c r="G22" s="301">
        <v>0.213436304443925</v>
      </c>
      <c r="H22" s="301">
        <v>0.248763775608522</v>
      </c>
      <c r="I22" s="301">
        <v>0.298957708565178</v>
      </c>
      <c r="J22" s="301">
        <v>0.36762936963128101</v>
      </c>
      <c r="K22" s="301">
        <v>0.441807227267633</v>
      </c>
      <c r="L22" s="301">
        <v>0.53503399206054303</v>
      </c>
      <c r="M22" s="301">
        <v>0.63808428501175996</v>
      </c>
      <c r="N22" s="301">
        <v>0.76098259329455098</v>
      </c>
      <c r="O22" s="301">
        <v>0.92155929022937599</v>
      </c>
      <c r="P22" s="301">
        <v>1.1160196473499899</v>
      </c>
      <c r="Q22" s="301">
        <v>1.35151353415493</v>
      </c>
      <c r="R22" s="301">
        <v>1.62421312458944</v>
      </c>
      <c r="S22" s="301">
        <v>1.9669420923252501</v>
      </c>
      <c r="T22" s="301">
        <v>2.3638188452620099</v>
      </c>
      <c r="U22" s="301">
        <v>2.7975955107325299</v>
      </c>
      <c r="V22" s="301">
        <v>3.4402132630397602</v>
      </c>
      <c r="W22" s="301">
        <v>4.0404538926578502</v>
      </c>
      <c r="X22" s="301">
        <v>4.9685606860952198</v>
      </c>
      <c r="Y22" s="301">
        <v>5.9255309755456702</v>
      </c>
      <c r="Z22" s="21">
        <v>7.1758909706655896</v>
      </c>
      <c r="AA22" s="21">
        <v>8.5580044021228598</v>
      </c>
      <c r="AB22" s="21">
        <v>10.363848703103701</v>
      </c>
      <c r="AC22" s="21">
        <v>12.6472343328848</v>
      </c>
      <c r="AD22" s="21">
        <v>15.1991108295293</v>
      </c>
      <c r="AE22" s="21">
        <v>18.265888330039498</v>
      </c>
      <c r="AF22" s="21">
        <v>22.120215670064201</v>
      </c>
      <c r="AG22" s="21">
        <v>26.787853536006899</v>
      </c>
      <c r="AH22" s="21">
        <v>31.9473316166209</v>
      </c>
      <c r="AI22" s="21">
        <v>38.6886119456085</v>
      </c>
      <c r="AJ22" s="21">
        <v>46.852385427368603</v>
      </c>
      <c r="AK22" s="21">
        <v>56.305954329223503</v>
      </c>
      <c r="AL22" s="21">
        <v>68.711404338152903</v>
      </c>
      <c r="AM22" s="21">
        <v>80.084353105042496</v>
      </c>
      <c r="AN22" s="21">
        <v>97.728711517531494</v>
      </c>
      <c r="AO22" s="21">
        <v>115.662587748265</v>
      </c>
      <c r="AP22" s="21">
        <v>143.32412216102901</v>
      </c>
      <c r="AQ22" s="21">
        <v>170.92908370522699</v>
      </c>
      <c r="AR22" s="21">
        <v>206.99722496540099</v>
      </c>
      <c r="AS22" s="186">
        <v>276.91745564046403</v>
      </c>
      <c r="AT22" s="19"/>
      <c r="AU22" s="19"/>
      <c r="AV22" s="19"/>
      <c r="AW22" s="19"/>
      <c r="AX22" s="19"/>
    </row>
    <row r="23" spans="1:50" ht="15.75" customHeight="1">
      <c r="A23" s="181">
        <v>6</v>
      </c>
      <c r="B23" s="178">
        <v>1</v>
      </c>
      <c r="C23" s="306">
        <v>0.102983099197286</v>
      </c>
      <c r="D23" s="306">
        <v>0.12901443294311599</v>
      </c>
      <c r="E23" s="306">
        <v>0.16644723907633799</v>
      </c>
      <c r="F23" s="306">
        <v>0.218990629460591</v>
      </c>
      <c r="G23" s="306">
        <v>0.27977474632885402</v>
      </c>
      <c r="H23" s="306">
        <v>0.36094980249421399</v>
      </c>
      <c r="I23" s="306">
        <v>0.45218812069842801</v>
      </c>
      <c r="J23" s="306">
        <v>0.60670660559262002</v>
      </c>
      <c r="K23" s="306">
        <v>0.77510707692751502</v>
      </c>
      <c r="L23" s="306">
        <v>0.99024961186350602</v>
      </c>
      <c r="M23" s="306">
        <v>1.2775649214671101</v>
      </c>
      <c r="N23" s="306">
        <v>1.6004986757617301</v>
      </c>
      <c r="O23" s="306">
        <v>2.16855385825095</v>
      </c>
      <c r="P23" s="306">
        <v>2.7977474632885402</v>
      </c>
      <c r="Q23" s="306">
        <v>3.5743040182210501</v>
      </c>
      <c r="R23" s="306">
        <v>4.7026258361351099</v>
      </c>
      <c r="S23" s="306">
        <v>6.1268047805733099</v>
      </c>
      <c r="T23" s="306">
        <v>7.7510707692751497</v>
      </c>
      <c r="U23" s="306">
        <v>10.298309919728601</v>
      </c>
      <c r="V23" s="306">
        <v>13.0284759920612</v>
      </c>
      <c r="W23" s="306">
        <v>16.6447239076338</v>
      </c>
      <c r="X23" s="306">
        <v>21.8990629460591</v>
      </c>
      <c r="Y23" s="306">
        <v>27.704683396135898</v>
      </c>
      <c r="Z23" s="195">
        <v>35.049421245590501</v>
      </c>
      <c r="AA23" s="195">
        <v>45.664054323381599</v>
      </c>
      <c r="AB23" s="195">
        <v>59.493303545235797</v>
      </c>
      <c r="AC23" s="195">
        <v>77.510707692751595</v>
      </c>
      <c r="AD23" s="195">
        <v>99.024961186350595</v>
      </c>
      <c r="AE23" s="195">
        <v>129.01443294311599</v>
      </c>
      <c r="AF23" s="195">
        <v>163.217212856327</v>
      </c>
      <c r="AG23" s="195">
        <v>212.64715391898099</v>
      </c>
      <c r="AH23" s="195">
        <v>277.04683396135903</v>
      </c>
      <c r="AI23" s="195">
        <v>364.50385657304997</v>
      </c>
      <c r="AJ23" s="195">
        <v>465.67734089720898</v>
      </c>
      <c r="AK23" s="253">
        <v>594.93303545235801</v>
      </c>
      <c r="AL23" s="74"/>
      <c r="AM23" s="74"/>
      <c r="AN23" s="74"/>
      <c r="AO23" s="74"/>
      <c r="AP23" s="74"/>
      <c r="AQ23" s="74"/>
      <c r="AR23" s="74"/>
      <c r="AS23" s="74"/>
      <c r="AT23" s="74"/>
    </row>
    <row r="24" spans="1:50" ht="15.75" customHeight="1">
      <c r="A24" s="182">
        <v>6</v>
      </c>
      <c r="B24" s="179">
        <v>2</v>
      </c>
      <c r="C24" s="301">
        <v>0.102983099197286</v>
      </c>
      <c r="D24" s="301">
        <v>0.12901443294311599</v>
      </c>
      <c r="E24" s="301">
        <v>0.16644723907633799</v>
      </c>
      <c r="F24" s="301">
        <v>0.218990629460591</v>
      </c>
      <c r="G24" s="301">
        <v>0.27977474632885402</v>
      </c>
      <c r="H24" s="301">
        <v>0.36094980249421399</v>
      </c>
      <c r="I24" s="301">
        <v>0.45218812069842801</v>
      </c>
      <c r="J24" s="301">
        <v>0.60670660559262002</v>
      </c>
      <c r="K24" s="301">
        <v>0.77510707692751502</v>
      </c>
      <c r="L24" s="301">
        <v>0.99024961186350602</v>
      </c>
      <c r="M24" s="301">
        <v>1.2775649214671101</v>
      </c>
      <c r="N24" s="301">
        <v>1.6004986757617301</v>
      </c>
      <c r="O24" s="301">
        <v>2.16855385825095</v>
      </c>
      <c r="P24" s="301">
        <v>2.7977474632885402</v>
      </c>
      <c r="Q24" s="301">
        <v>3.5743040182210501</v>
      </c>
      <c r="R24" s="301">
        <v>4.7026258361351099</v>
      </c>
      <c r="S24" s="301">
        <v>6.1268047805733099</v>
      </c>
      <c r="T24" s="301">
        <v>7.7510707692751497</v>
      </c>
      <c r="U24" s="301">
        <v>10.298309919728601</v>
      </c>
      <c r="V24" s="301">
        <v>13.0284759920612</v>
      </c>
      <c r="W24" s="301">
        <v>16.6447239076338</v>
      </c>
      <c r="X24" s="301">
        <v>21.8990629460591</v>
      </c>
      <c r="Y24" s="301">
        <v>27.704683396135898</v>
      </c>
      <c r="Z24" s="19">
        <v>35.049421245590501</v>
      </c>
      <c r="AA24" s="19">
        <v>45.664054323381599</v>
      </c>
      <c r="AB24" s="19">
        <v>59.493303545235797</v>
      </c>
      <c r="AC24" s="19">
        <v>77.510707692751595</v>
      </c>
      <c r="AD24" s="19">
        <v>99.024961186350595</v>
      </c>
      <c r="AE24" s="19">
        <v>129.01443294311599</v>
      </c>
      <c r="AF24" s="19">
        <v>163.217212856327</v>
      </c>
      <c r="AG24" s="19">
        <v>212.64715391898099</v>
      </c>
      <c r="AH24" s="19">
        <v>277.04683396135903</v>
      </c>
      <c r="AI24" s="19">
        <v>364.50385657304997</v>
      </c>
      <c r="AJ24" s="19">
        <v>465.67734089720898</v>
      </c>
      <c r="AK24" s="185">
        <v>594.93303545235801</v>
      </c>
    </row>
    <row r="25" spans="1:50" ht="15.75" customHeight="1">
      <c r="A25" s="182">
        <v>6</v>
      </c>
      <c r="B25" s="179">
        <v>3</v>
      </c>
      <c r="C25" s="300">
        <v>0.102983099197286</v>
      </c>
      <c r="D25" s="300">
        <v>0.12901443294311599</v>
      </c>
      <c r="E25" s="300">
        <v>0.16644723907633799</v>
      </c>
      <c r="F25" s="300">
        <v>0.218990629460591</v>
      </c>
      <c r="G25" s="300">
        <v>0.27977474632885402</v>
      </c>
      <c r="H25" s="300">
        <v>0.36094980249421399</v>
      </c>
      <c r="I25" s="300">
        <v>0.45218812069842801</v>
      </c>
      <c r="J25" s="300">
        <v>0.60670660559262002</v>
      </c>
      <c r="K25" s="300">
        <v>0.77510707692751502</v>
      </c>
      <c r="L25" s="300">
        <v>0.99024961186350602</v>
      </c>
      <c r="M25" s="300">
        <v>1.2775649214671101</v>
      </c>
      <c r="N25" s="300">
        <v>1.6004986757617301</v>
      </c>
      <c r="O25" s="300">
        <v>2.16855385825095</v>
      </c>
      <c r="P25" s="300">
        <v>2.7977474632885402</v>
      </c>
      <c r="Q25" s="300">
        <v>3.5743040182210501</v>
      </c>
      <c r="R25" s="300">
        <v>4.7026258361351099</v>
      </c>
      <c r="S25" s="300">
        <v>6.1268047805733099</v>
      </c>
      <c r="T25" s="300">
        <v>7.7510707692751497</v>
      </c>
      <c r="U25" s="300">
        <v>10.298309919728601</v>
      </c>
      <c r="V25" s="300">
        <v>13.0284759920612</v>
      </c>
      <c r="W25" s="300">
        <v>16.6447239076338</v>
      </c>
      <c r="X25" s="300">
        <v>21.8990629460591</v>
      </c>
      <c r="Y25" s="300">
        <v>27.704683396135898</v>
      </c>
      <c r="Z25" s="19">
        <v>35.049421245590501</v>
      </c>
      <c r="AA25" s="19">
        <v>45.664054323381599</v>
      </c>
      <c r="AB25" s="19">
        <v>59.493303545235797</v>
      </c>
      <c r="AC25" s="19">
        <v>77.510707692751595</v>
      </c>
      <c r="AD25" s="19">
        <v>99.024961186350595</v>
      </c>
      <c r="AE25" s="19">
        <v>129.01443294311599</v>
      </c>
      <c r="AF25" s="19">
        <v>163.217212856327</v>
      </c>
      <c r="AG25" s="19">
        <v>212.64715391898099</v>
      </c>
      <c r="AH25" s="19">
        <v>277.04683396135903</v>
      </c>
      <c r="AI25" s="19">
        <v>364.50385657304997</v>
      </c>
      <c r="AJ25" s="19">
        <v>465.67734089720898</v>
      </c>
      <c r="AK25" s="185">
        <v>594.93303545235801</v>
      </c>
    </row>
    <row r="26" spans="1:50" ht="15.75" customHeight="1">
      <c r="A26" s="182">
        <v>6</v>
      </c>
      <c r="B26" s="179">
        <v>4</v>
      </c>
      <c r="C26" s="301">
        <v>0.102983099197286</v>
      </c>
      <c r="D26" s="301">
        <v>0.12901443294311599</v>
      </c>
      <c r="E26" s="301">
        <v>0.16644723907633799</v>
      </c>
      <c r="F26" s="301">
        <v>0.218990629460591</v>
      </c>
      <c r="G26" s="301">
        <v>0.27977474632885402</v>
      </c>
      <c r="H26" s="301">
        <v>0.36094980249421399</v>
      </c>
      <c r="I26" s="301">
        <v>0.45218812069842801</v>
      </c>
      <c r="J26" s="301">
        <v>0.60670660559262002</v>
      </c>
      <c r="K26" s="301">
        <v>0.77510707692751502</v>
      </c>
      <c r="L26" s="301">
        <v>0.99024961186350602</v>
      </c>
      <c r="M26" s="301">
        <v>1.2775649214671101</v>
      </c>
      <c r="N26" s="301">
        <v>1.6004986757617301</v>
      </c>
      <c r="O26" s="301">
        <v>2.16855385825095</v>
      </c>
      <c r="P26" s="301">
        <v>2.7977474632885402</v>
      </c>
      <c r="Q26" s="301">
        <v>3.5743040182210501</v>
      </c>
      <c r="R26" s="301">
        <v>4.7026258361351099</v>
      </c>
      <c r="S26" s="301">
        <v>6.1268047805733099</v>
      </c>
      <c r="T26" s="301">
        <v>7.7510707692751497</v>
      </c>
      <c r="U26" s="301">
        <v>10.298309919728601</v>
      </c>
      <c r="V26" s="301">
        <v>13.0284759920612</v>
      </c>
      <c r="W26" s="301">
        <v>16.6447239076338</v>
      </c>
      <c r="X26" s="301">
        <v>21.8990629460591</v>
      </c>
      <c r="Y26" s="301">
        <v>27.704683396135898</v>
      </c>
      <c r="Z26" s="21">
        <v>35.049421245590501</v>
      </c>
      <c r="AA26" s="21">
        <v>45.664054323381599</v>
      </c>
      <c r="AB26" s="21">
        <v>59.493303545235797</v>
      </c>
      <c r="AC26" s="21">
        <v>77.510707692751595</v>
      </c>
      <c r="AD26" s="21">
        <v>99.024961186350595</v>
      </c>
      <c r="AE26" s="21">
        <v>129.01443294311599</v>
      </c>
      <c r="AF26" s="21">
        <v>163.217212856327</v>
      </c>
      <c r="AG26" s="21">
        <v>212.64715391898099</v>
      </c>
      <c r="AH26" s="21">
        <v>277.04683396135903</v>
      </c>
      <c r="AI26" s="21">
        <v>364.50385657304997</v>
      </c>
      <c r="AJ26" s="21">
        <v>465.67734089720898</v>
      </c>
      <c r="AK26" s="186">
        <v>594.93303545235801</v>
      </c>
    </row>
    <row r="27" spans="1:50" ht="15.75" customHeight="1">
      <c r="A27" s="181">
        <v>7</v>
      </c>
      <c r="B27" s="178">
        <v>1</v>
      </c>
      <c r="C27" s="307">
        <v>7.1068089589057595E-2</v>
      </c>
      <c r="D27" s="307">
        <v>0.1</v>
      </c>
      <c r="E27" s="307">
        <v>0.147049690520796</v>
      </c>
      <c r="F27" s="307">
        <v>0.21152361090237501</v>
      </c>
      <c r="G27" s="307">
        <v>0.31449059016463299</v>
      </c>
      <c r="H27" s="307">
        <v>0.45739043814781299</v>
      </c>
      <c r="I27" s="307">
        <v>0.68004223365473404</v>
      </c>
      <c r="J27" s="307">
        <v>0.98904331302099402</v>
      </c>
      <c r="K27" s="307">
        <v>1.4704969052079599</v>
      </c>
      <c r="L27" s="307">
        <v>2.1386688339895299</v>
      </c>
      <c r="M27" s="307">
        <v>3.1797453764085799</v>
      </c>
      <c r="N27" s="307">
        <v>4.6245743955411998</v>
      </c>
      <c r="O27" s="307">
        <v>6.8757578631978298</v>
      </c>
      <c r="P27" s="307">
        <v>10</v>
      </c>
      <c r="Q27" s="307">
        <v>14.543851309140001</v>
      </c>
      <c r="R27" s="307">
        <v>21.152361090237498</v>
      </c>
      <c r="S27" s="307">
        <v>31.449059016463298</v>
      </c>
      <c r="T27" s="307">
        <v>46.758057353581599</v>
      </c>
      <c r="U27" s="307">
        <v>65.793322465756702</v>
      </c>
      <c r="V27" s="307">
        <v>101.107806587917</v>
      </c>
      <c r="W27" s="307">
        <v>140.71012824213699</v>
      </c>
      <c r="X27" s="307">
        <v>213.86688339895301</v>
      </c>
      <c r="Y27" s="308"/>
    </row>
    <row r="28" spans="1:50" ht="15.75" customHeight="1">
      <c r="A28" s="182">
        <v>7</v>
      </c>
      <c r="B28" s="179">
        <v>2</v>
      </c>
      <c r="C28" s="301">
        <v>0.14543851309139999</v>
      </c>
      <c r="D28" s="301">
        <v>0.32505864635467102</v>
      </c>
      <c r="E28" s="301">
        <v>0.69519279617756002</v>
      </c>
      <c r="F28" s="301">
        <v>1.50325789298109</v>
      </c>
      <c r="G28" s="301">
        <v>3.2149708051674399</v>
      </c>
      <c r="H28" s="301">
        <v>6.9519279617756</v>
      </c>
      <c r="I28" s="301">
        <v>14.543851309140001</v>
      </c>
      <c r="J28" s="301">
        <v>32.149708051674402</v>
      </c>
      <c r="K28" s="301">
        <v>67.259122376807596</v>
      </c>
      <c r="L28" s="301">
        <v>148.678716679898</v>
      </c>
      <c r="M28" s="301">
        <v>314.49059016463298</v>
      </c>
      <c r="N28" s="30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301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</row>
    <row r="29" spans="1:50" ht="15.75" customHeight="1">
      <c r="A29" s="181">
        <v>8</v>
      </c>
      <c r="B29" s="178">
        <v>1</v>
      </c>
      <c r="C29" s="310"/>
      <c r="D29" s="216"/>
      <c r="E29" s="216"/>
      <c r="F29" s="216"/>
      <c r="G29" s="216"/>
      <c r="H29" s="216"/>
      <c r="I29" s="216"/>
      <c r="J29" s="216"/>
      <c r="K29" s="311"/>
      <c r="L29" s="311"/>
      <c r="M29" s="216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</row>
    <row r="30" spans="1:50" ht="15.75" customHeight="1">
      <c r="A30" s="182">
        <v>8</v>
      </c>
      <c r="B30" s="179">
        <v>2</v>
      </c>
      <c r="C30" s="312"/>
      <c r="D30" s="283"/>
      <c r="E30" s="283"/>
      <c r="F30" s="283"/>
      <c r="G30" s="283"/>
      <c r="H30" s="283"/>
      <c r="I30" s="283"/>
      <c r="J30" s="283"/>
      <c r="K30" s="313"/>
      <c r="L30" s="31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</row>
    <row r="31" spans="1:50" ht="15.75" customHeight="1">
      <c r="A31" s="182">
        <v>8</v>
      </c>
      <c r="B31" s="179">
        <v>3</v>
      </c>
      <c r="C31" s="314"/>
      <c r="D31" s="239"/>
      <c r="E31" s="239"/>
      <c r="F31" s="239"/>
      <c r="G31" s="239"/>
      <c r="H31" s="239"/>
      <c r="I31" s="239"/>
      <c r="J31" s="239"/>
      <c r="K31" s="315"/>
      <c r="L31" s="315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</row>
    <row r="32" spans="1:50" ht="15.75" customHeight="1">
      <c r="A32" s="182">
        <v>8</v>
      </c>
      <c r="B32" s="179">
        <v>4</v>
      </c>
      <c r="C32" s="312"/>
      <c r="D32" s="283"/>
      <c r="E32" s="283"/>
      <c r="F32" s="283"/>
      <c r="G32" s="283"/>
      <c r="H32" s="283"/>
      <c r="I32" s="283"/>
      <c r="J32" s="283"/>
      <c r="K32" s="313"/>
      <c r="L32" s="31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</row>
    <row r="33" spans="1:28" ht="15.75" customHeight="1">
      <c r="A33" s="181">
        <v>9</v>
      </c>
      <c r="B33" s="178">
        <v>1</v>
      </c>
      <c r="C33" s="314"/>
      <c r="D33" s="239"/>
      <c r="E33" s="239"/>
      <c r="F33" s="239"/>
      <c r="G33" s="239"/>
      <c r="H33" s="239"/>
      <c r="I33" s="239"/>
      <c r="J33" s="239"/>
      <c r="K33" s="315"/>
      <c r="L33" s="315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</row>
    <row r="34" spans="1:28" ht="15.75" customHeight="1">
      <c r="A34" s="182">
        <v>9</v>
      </c>
      <c r="B34" s="179">
        <v>2</v>
      </c>
      <c r="C34" s="312"/>
      <c r="D34" s="283"/>
      <c r="E34" s="283"/>
      <c r="F34" s="283"/>
      <c r="G34" s="283"/>
      <c r="H34" s="283"/>
      <c r="I34" s="283"/>
      <c r="J34" s="283"/>
      <c r="K34" s="313"/>
      <c r="L34" s="31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</row>
    <row r="35" spans="1:28" ht="15.75" customHeight="1">
      <c r="A35" s="182">
        <v>9</v>
      </c>
      <c r="B35" s="179">
        <v>3</v>
      </c>
      <c r="C35" s="314"/>
      <c r="D35" s="239"/>
      <c r="E35" s="239"/>
      <c r="F35" s="239"/>
      <c r="G35" s="239"/>
      <c r="H35" s="239"/>
      <c r="I35" s="239"/>
      <c r="J35" s="239"/>
      <c r="K35" s="315"/>
      <c r="L35" s="315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</row>
    <row r="36" spans="1:28" ht="15.75" customHeight="1">
      <c r="A36" s="182">
        <v>9</v>
      </c>
      <c r="B36" s="179">
        <v>4</v>
      </c>
      <c r="C36" s="312"/>
      <c r="D36" s="283"/>
      <c r="E36" s="283"/>
      <c r="F36" s="283"/>
      <c r="G36" s="283"/>
      <c r="H36" s="283"/>
      <c r="I36" s="283"/>
      <c r="J36" s="283"/>
      <c r="K36" s="313"/>
      <c r="L36" s="31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</row>
    <row r="37" spans="1:28" ht="15.75" customHeight="1">
      <c r="A37" s="181">
        <v>11</v>
      </c>
      <c r="B37" s="178" t="s">
        <v>220</v>
      </c>
      <c r="C37" s="354">
        <v>1</v>
      </c>
      <c r="D37" s="217">
        <v>10</v>
      </c>
      <c r="E37" s="217">
        <v>20</v>
      </c>
      <c r="F37" s="217">
        <v>30</v>
      </c>
      <c r="G37" s="217">
        <v>40</v>
      </c>
      <c r="H37" s="217">
        <v>50</v>
      </c>
      <c r="I37" s="217">
        <v>60</v>
      </c>
      <c r="J37" s="217">
        <v>70</v>
      </c>
      <c r="K37" s="217">
        <v>80</v>
      </c>
      <c r="L37" s="217">
        <v>90</v>
      </c>
      <c r="M37" s="217">
        <v>100</v>
      </c>
      <c r="N37" s="297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</row>
    <row r="38" spans="1:28" ht="15.75" customHeight="1">
      <c r="A38" s="182">
        <v>11</v>
      </c>
      <c r="B38" s="179" t="s">
        <v>221</v>
      </c>
      <c r="C38" s="355">
        <v>1</v>
      </c>
      <c r="D38" s="233">
        <v>10</v>
      </c>
      <c r="E38" s="233">
        <v>20</v>
      </c>
      <c r="F38" s="233">
        <v>30</v>
      </c>
      <c r="G38" s="233">
        <v>40</v>
      </c>
      <c r="H38" s="233">
        <v>50</v>
      </c>
      <c r="I38" s="233">
        <v>60</v>
      </c>
      <c r="J38" s="233">
        <v>70</v>
      </c>
      <c r="K38" s="233">
        <v>80</v>
      </c>
      <c r="L38" s="233">
        <v>90</v>
      </c>
      <c r="M38" s="233">
        <v>100</v>
      </c>
      <c r="N38" s="295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</row>
    <row r="39" spans="1:28" ht="15.75" customHeight="1">
      <c r="A39" s="182">
        <v>11</v>
      </c>
      <c r="B39" s="179" t="s">
        <v>222</v>
      </c>
      <c r="C39" s="356">
        <v>1</v>
      </c>
      <c r="D39" s="232">
        <v>10</v>
      </c>
      <c r="E39" s="232">
        <v>20</v>
      </c>
      <c r="F39" s="232">
        <v>30</v>
      </c>
      <c r="G39" s="232">
        <v>40</v>
      </c>
      <c r="H39" s="232">
        <v>50</v>
      </c>
      <c r="I39" s="232">
        <v>60</v>
      </c>
      <c r="J39" s="232">
        <v>70</v>
      </c>
      <c r="K39" s="232">
        <v>80</v>
      </c>
      <c r="L39" s="232">
        <v>90</v>
      </c>
      <c r="M39" s="232">
        <v>100</v>
      </c>
      <c r="N39" s="297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</row>
    <row r="40" spans="1:28" ht="15.75" customHeight="1">
      <c r="A40" s="357">
        <v>11</v>
      </c>
      <c r="B40" s="179" t="s">
        <v>223</v>
      </c>
      <c r="C40" s="355">
        <v>1</v>
      </c>
      <c r="D40" s="233">
        <v>10</v>
      </c>
      <c r="E40" s="233">
        <v>20</v>
      </c>
      <c r="F40" s="233">
        <v>30</v>
      </c>
      <c r="G40" s="233">
        <v>40</v>
      </c>
      <c r="H40" s="233">
        <v>50</v>
      </c>
      <c r="I40" s="233">
        <v>60</v>
      </c>
      <c r="J40" s="233">
        <v>70</v>
      </c>
      <c r="K40" s="233">
        <v>80</v>
      </c>
      <c r="L40" s="233">
        <v>90</v>
      </c>
      <c r="M40" s="233">
        <v>100</v>
      </c>
      <c r="N40" s="295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</row>
    <row r="41" spans="1:28" ht="15.75" customHeight="1">
      <c r="A41" s="181">
        <v>11</v>
      </c>
      <c r="B41" s="178" t="s">
        <v>224</v>
      </c>
      <c r="C41" s="310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</row>
    <row r="42" spans="1:28" ht="15.75" customHeight="1">
      <c r="A42" s="182">
        <v>11</v>
      </c>
      <c r="B42" s="179" t="s">
        <v>225</v>
      </c>
      <c r="C42" s="312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</row>
    <row r="43" spans="1:28" ht="15.75" customHeight="1">
      <c r="A43" s="182">
        <v>11</v>
      </c>
      <c r="B43" s="179" t="s">
        <v>226</v>
      </c>
      <c r="C43" s="314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</row>
    <row r="44" spans="1:28" ht="15.75" customHeight="1">
      <c r="A44" s="182">
        <v>11</v>
      </c>
      <c r="B44" s="179" t="s">
        <v>227</v>
      </c>
      <c r="C44" s="312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"/>
      <c r="AA44" s="2"/>
    </row>
    <row r="45" spans="1:28" ht="15.75" customHeight="1">
      <c r="A45" s="177">
        <v>12</v>
      </c>
      <c r="B45" s="178" t="s">
        <v>220</v>
      </c>
      <c r="C45" s="307">
        <v>1.01690230953915E-2</v>
      </c>
      <c r="D45" s="307">
        <v>1.47036404358208E-2</v>
      </c>
      <c r="E45" s="307">
        <v>2.0732486243725999E-2</v>
      </c>
      <c r="F45" s="307">
        <v>3.1523541691542402E-2</v>
      </c>
      <c r="G45" s="307">
        <v>4.6351111866184097E-2</v>
      </c>
      <c r="H45" s="307">
        <v>6.8153008268088205E-2</v>
      </c>
      <c r="I45" s="307">
        <v>9.93734316165239E-2</v>
      </c>
      <c r="J45" s="307">
        <v>0.14611512073630001</v>
      </c>
      <c r="K45" s="307">
        <v>0.211271444404206</v>
      </c>
      <c r="L45" s="307">
        <v>0.31326025145951297</v>
      </c>
      <c r="M45" s="307">
        <v>0.46448295661164102</v>
      </c>
      <c r="N45" s="307">
        <v>0.68295947493800302</v>
      </c>
      <c r="O45" s="307">
        <v>0.99581850316337595</v>
      </c>
      <c r="P45" s="307">
        <v>1.4398775290807899</v>
      </c>
      <c r="Q45" s="307">
        <v>2.1529301481842098</v>
      </c>
      <c r="R45" s="307">
        <v>3.1391726101680102</v>
      </c>
      <c r="S45" s="307">
        <v>4.7332503557851897</v>
      </c>
      <c r="T45" s="307">
        <v>6.78679832852636</v>
      </c>
      <c r="U45" s="307">
        <v>10.063058335878001</v>
      </c>
      <c r="V45" s="307">
        <v>14.4289742481771</v>
      </c>
      <c r="W45" s="307">
        <v>21.394419365016802</v>
      </c>
      <c r="X45" s="307">
        <v>31.195055416801299</v>
      </c>
      <c r="Y45" s="307">
        <v>46.643334617315801</v>
      </c>
      <c r="Z45" s="196">
        <v>68.582725945387807</v>
      </c>
      <c r="AA45" s="261">
        <v>99.1653857185551</v>
      </c>
      <c r="AB45" s="2"/>
    </row>
    <row r="46" spans="1:28" ht="15.75" customHeight="1">
      <c r="A46" s="174">
        <v>12</v>
      </c>
      <c r="B46" s="179" t="s">
        <v>221</v>
      </c>
      <c r="C46" s="332">
        <v>1.01690230953915E-2</v>
      </c>
      <c r="D46" s="332">
        <v>1.47036404358208E-2</v>
      </c>
      <c r="E46" s="332">
        <v>2.0732486243725999E-2</v>
      </c>
      <c r="F46" s="332">
        <v>3.1523541691542402E-2</v>
      </c>
      <c r="G46" s="332">
        <v>4.6351111866184097E-2</v>
      </c>
      <c r="H46" s="332">
        <v>6.8153008268088205E-2</v>
      </c>
      <c r="I46" s="332">
        <v>9.93734316165239E-2</v>
      </c>
      <c r="J46" s="332">
        <v>0.14611512073630001</v>
      </c>
      <c r="K46" s="332">
        <v>0.211271444404206</v>
      </c>
      <c r="L46" s="332">
        <v>0.31326025145951297</v>
      </c>
      <c r="M46" s="332">
        <v>0.46448295661164102</v>
      </c>
      <c r="N46" s="332">
        <v>0.68295947493800302</v>
      </c>
      <c r="O46" s="332">
        <v>0.99581850316337595</v>
      </c>
      <c r="P46" s="332">
        <v>1.4398775290807899</v>
      </c>
      <c r="Q46" s="332">
        <v>2.1529301481842098</v>
      </c>
      <c r="R46" s="332">
        <v>3.1391726101680102</v>
      </c>
      <c r="S46" s="332">
        <v>4.7332503557851897</v>
      </c>
      <c r="T46" s="332">
        <v>6.78679832852636</v>
      </c>
      <c r="U46" s="332">
        <v>10.063058335878001</v>
      </c>
      <c r="V46" s="332">
        <v>14.4289742481771</v>
      </c>
      <c r="W46" s="332">
        <v>21.394419365016802</v>
      </c>
      <c r="X46" s="332">
        <v>31.195055416801299</v>
      </c>
      <c r="Y46" s="332">
        <v>46.643334617315801</v>
      </c>
      <c r="Z46" s="22">
        <v>68.582725945387807</v>
      </c>
      <c r="AA46" s="259">
        <v>99.1653857185551</v>
      </c>
      <c r="AB46" s="2"/>
    </row>
    <row r="47" spans="1:28" ht="15.75" customHeight="1">
      <c r="A47" s="174">
        <v>12</v>
      </c>
      <c r="B47" s="179" t="s">
        <v>222</v>
      </c>
      <c r="C47" s="323">
        <v>1.01690230953915E-2</v>
      </c>
      <c r="D47" s="323">
        <v>1.47036404358208E-2</v>
      </c>
      <c r="E47" s="323">
        <v>2.0732486243725999E-2</v>
      </c>
      <c r="F47" s="323">
        <v>3.1523541691542402E-2</v>
      </c>
      <c r="G47" s="323">
        <v>4.6351111866184097E-2</v>
      </c>
      <c r="H47" s="323">
        <v>6.8153008268088205E-2</v>
      </c>
      <c r="I47" s="323">
        <v>9.93734316165239E-2</v>
      </c>
      <c r="J47" s="323">
        <v>0.14611512073630001</v>
      </c>
      <c r="K47" s="323">
        <v>0.211271444404206</v>
      </c>
      <c r="L47" s="323">
        <v>0.31326025145951297</v>
      </c>
      <c r="M47" s="323">
        <v>0.46448295661164102</v>
      </c>
      <c r="N47" s="323">
        <v>0.68295947493800302</v>
      </c>
      <c r="O47" s="323">
        <v>0.99581850316337595</v>
      </c>
      <c r="P47" s="323">
        <v>1.4398775290807899</v>
      </c>
      <c r="Q47" s="323">
        <v>2.1529301481842098</v>
      </c>
      <c r="R47" s="323">
        <v>3.1391726101680102</v>
      </c>
      <c r="S47" s="323">
        <v>4.7332503557851897</v>
      </c>
      <c r="T47" s="323">
        <v>6.78679832852636</v>
      </c>
      <c r="U47" s="323">
        <v>10.063058335878001</v>
      </c>
      <c r="V47" s="323">
        <v>14.4289742481771</v>
      </c>
      <c r="W47" s="323">
        <v>21.394419365016802</v>
      </c>
      <c r="X47" s="323">
        <v>31.195055416801299</v>
      </c>
      <c r="Y47" s="323">
        <v>46.643334617315801</v>
      </c>
      <c r="Z47" s="22">
        <v>68.582725945387807</v>
      </c>
      <c r="AA47" s="259">
        <v>99.1653857185551</v>
      </c>
      <c r="AB47" s="2"/>
    </row>
    <row r="48" spans="1:28" ht="15.75" customHeight="1">
      <c r="A48" s="174">
        <v>12</v>
      </c>
      <c r="B48" s="179" t="s">
        <v>223</v>
      </c>
      <c r="C48" s="332">
        <v>1.01690230953915E-2</v>
      </c>
      <c r="D48" s="332">
        <v>1.47036404358208E-2</v>
      </c>
      <c r="E48" s="332">
        <v>2.0732486243725999E-2</v>
      </c>
      <c r="F48" s="332">
        <v>3.1523541691542402E-2</v>
      </c>
      <c r="G48" s="332">
        <v>4.6351111866184097E-2</v>
      </c>
      <c r="H48" s="332">
        <v>6.8153008268088205E-2</v>
      </c>
      <c r="I48" s="332">
        <v>9.93734316165239E-2</v>
      </c>
      <c r="J48" s="332">
        <v>0.14611512073630001</v>
      </c>
      <c r="K48" s="332">
        <v>0.211271444404206</v>
      </c>
      <c r="L48" s="332">
        <v>0.31326025145951297</v>
      </c>
      <c r="M48" s="332">
        <v>0.46448295661164102</v>
      </c>
      <c r="N48" s="332">
        <v>0.68295947493800302</v>
      </c>
      <c r="O48" s="332">
        <v>0.99581850316337595</v>
      </c>
      <c r="P48" s="332">
        <v>1.4398775290807899</v>
      </c>
      <c r="Q48" s="332">
        <v>2.1529301481842098</v>
      </c>
      <c r="R48" s="332">
        <v>3.1391726101680102</v>
      </c>
      <c r="S48" s="332">
        <v>4.7332503557851897</v>
      </c>
      <c r="T48" s="332">
        <v>6.78679832852636</v>
      </c>
      <c r="U48" s="332">
        <v>10.063058335878001</v>
      </c>
      <c r="V48" s="332">
        <v>14.4289742481771</v>
      </c>
      <c r="W48" s="332">
        <v>21.394419365016802</v>
      </c>
      <c r="X48" s="332">
        <v>31.195055416801299</v>
      </c>
      <c r="Y48" s="332">
        <v>46.643334617315801</v>
      </c>
      <c r="Z48" s="22">
        <v>68.582725945387807</v>
      </c>
      <c r="AA48" s="259">
        <v>99.1653857185551</v>
      </c>
      <c r="AB48" s="2"/>
    </row>
    <row r="49" spans="1:45" ht="15.75" customHeight="1">
      <c r="A49" s="174">
        <v>12</v>
      </c>
      <c r="B49" s="179" t="s">
        <v>228</v>
      </c>
      <c r="C49" s="323">
        <v>1.01690230953915E-2</v>
      </c>
      <c r="D49" s="323">
        <v>1.47036404358208E-2</v>
      </c>
      <c r="E49" s="323">
        <v>2.0732486243725999E-2</v>
      </c>
      <c r="F49" s="323">
        <v>3.1523541691542402E-2</v>
      </c>
      <c r="G49" s="323">
        <v>4.6351111866184097E-2</v>
      </c>
      <c r="H49" s="323">
        <v>6.8153008268088205E-2</v>
      </c>
      <c r="I49" s="323">
        <v>9.93734316165239E-2</v>
      </c>
      <c r="J49" s="323">
        <v>0.14611512073630001</v>
      </c>
      <c r="K49" s="323">
        <v>0.211271444404206</v>
      </c>
      <c r="L49" s="323">
        <v>0.31326025145951297</v>
      </c>
      <c r="M49" s="323">
        <v>0.46448295661164102</v>
      </c>
      <c r="N49" s="323">
        <v>0.68295947493800302</v>
      </c>
      <c r="O49" s="323">
        <v>0.99581850316337595</v>
      </c>
      <c r="P49" s="323">
        <v>1.4398775290807899</v>
      </c>
      <c r="Q49" s="323">
        <v>2.1529301481842098</v>
      </c>
      <c r="R49" s="323">
        <v>3.1391726101680102</v>
      </c>
      <c r="S49" s="323">
        <v>4.7332503557851897</v>
      </c>
      <c r="T49" s="323">
        <v>6.78679832852636</v>
      </c>
      <c r="U49" s="323">
        <v>10.063058335878001</v>
      </c>
      <c r="V49" s="323">
        <v>14.4289742481771</v>
      </c>
      <c r="W49" s="323">
        <v>21.394419365016802</v>
      </c>
      <c r="X49" s="323">
        <v>31.195055416801299</v>
      </c>
      <c r="Y49" s="323">
        <v>46.643334617315801</v>
      </c>
      <c r="Z49" s="27">
        <v>68.582725945387807</v>
      </c>
      <c r="AA49" s="262">
        <v>99.1653857185551</v>
      </c>
      <c r="AB49" s="2"/>
    </row>
    <row r="50" spans="1:45" ht="15.75" customHeight="1">
      <c r="A50" s="181">
        <v>12</v>
      </c>
      <c r="B50" s="178" t="s">
        <v>224</v>
      </c>
      <c r="C50" s="33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"/>
      <c r="AA50" s="2"/>
    </row>
    <row r="51" spans="1:45" ht="15.75" customHeight="1">
      <c r="A51" s="182">
        <v>12</v>
      </c>
      <c r="B51" s="179" t="s">
        <v>225</v>
      </c>
      <c r="C51" s="228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</row>
    <row r="52" spans="1:45" ht="15.75" customHeight="1">
      <c r="A52" s="182">
        <v>12</v>
      </c>
      <c r="B52" s="179" t="s">
        <v>226</v>
      </c>
      <c r="C52" s="326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</row>
    <row r="53" spans="1:45" ht="15.75" customHeight="1">
      <c r="A53" s="182">
        <v>12</v>
      </c>
      <c r="B53" s="179" t="s">
        <v>227</v>
      </c>
      <c r="C53" s="228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</row>
    <row r="54" spans="1:45" ht="15.75" customHeight="1">
      <c r="A54" s="182">
        <v>12</v>
      </c>
      <c r="B54" s="179" t="s">
        <v>229</v>
      </c>
      <c r="C54" s="326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</row>
    <row r="55" spans="1:45" ht="15.75" customHeight="1">
      <c r="A55" s="181">
        <v>13</v>
      </c>
      <c r="B55" s="178">
        <v>1</v>
      </c>
      <c r="C55" s="306">
        <v>0.51553025672583197</v>
      </c>
      <c r="D55" s="306">
        <v>0.574760139586875</v>
      </c>
      <c r="E55" s="306">
        <v>0.64736193128836494</v>
      </c>
      <c r="F55" s="306">
        <v>0.72913454016248402</v>
      </c>
      <c r="G55" s="306">
        <v>0.81567321766900003</v>
      </c>
      <c r="H55" s="306">
        <v>0.91248266109909704</v>
      </c>
      <c r="I55" s="306">
        <v>1.03475428361372</v>
      </c>
      <c r="J55" s="306">
        <v>1.16546100766585</v>
      </c>
      <c r="K55" s="306">
        <v>1.29495352405761</v>
      </c>
      <c r="L55" s="306">
        <v>1.46349313372846</v>
      </c>
      <c r="M55" s="306">
        <v>1.6539683569177099</v>
      </c>
      <c r="N55" s="306">
        <v>1.83150301570848</v>
      </c>
      <c r="O55" s="306">
        <v>2.0769223041159601</v>
      </c>
      <c r="P55" s="306">
        <v>2.31554207165465</v>
      </c>
      <c r="Q55" s="306">
        <v>2.6347613288793599</v>
      </c>
      <c r="R55" s="306">
        <v>2.9675756282842101</v>
      </c>
      <c r="S55" s="306">
        <v>3.3424299245093598</v>
      </c>
      <c r="T55" s="306">
        <v>3.7138019901048298</v>
      </c>
      <c r="U55" s="306">
        <v>4.1404845702896003</v>
      </c>
      <c r="V55" s="306">
        <v>4.6793731406980497</v>
      </c>
      <c r="W55" s="306">
        <v>5.3064037360798197</v>
      </c>
      <c r="X55" s="306">
        <v>5.8560479863541897</v>
      </c>
      <c r="Y55" s="306">
        <v>6.6633592899835996</v>
      </c>
      <c r="Z55" s="195">
        <v>7.4542123753105303</v>
      </c>
      <c r="AA55" s="195">
        <v>8.42438840828145</v>
      </c>
      <c r="AB55" s="195">
        <v>9.3286505214771491</v>
      </c>
      <c r="AC55" s="195">
        <v>10.542781799870401</v>
      </c>
      <c r="AD55" s="195">
        <v>11.754052985754701</v>
      </c>
      <c r="AE55" s="195">
        <v>13.419994977144899</v>
      </c>
      <c r="AF55" s="195">
        <v>15.3220486591533</v>
      </c>
      <c r="AG55" s="195">
        <v>16.8517611267464</v>
      </c>
      <c r="AH55" s="195">
        <v>18.9804196172372</v>
      </c>
      <c r="AI55" s="195">
        <v>21.377963177665698</v>
      </c>
      <c r="AJ55" s="195">
        <v>24.0783564769342</v>
      </c>
      <c r="AK55" s="195">
        <v>27.119854488103002</v>
      </c>
      <c r="AL55" s="195">
        <v>30.338624430131301</v>
      </c>
      <c r="AM55" s="195">
        <v>34.170898694956499</v>
      </c>
      <c r="AN55" s="195">
        <v>38.487253115579897</v>
      </c>
      <c r="AO55" s="195">
        <v>43.793083012851199</v>
      </c>
      <c r="AP55" s="195">
        <v>49.157516169684001</v>
      </c>
      <c r="AQ55" s="195">
        <v>55.366930329961797</v>
      </c>
      <c r="AR55" s="195">
        <v>63.645417461403902</v>
      </c>
      <c r="AS55" s="253">
        <v>68.820099754706305</v>
      </c>
    </row>
    <row r="56" spans="1:45" ht="15.75" customHeight="1">
      <c r="A56" s="182">
        <v>13</v>
      </c>
      <c r="B56" s="179">
        <v>2</v>
      </c>
      <c r="C56" s="301">
        <v>0.51553025672583197</v>
      </c>
      <c r="D56" s="301">
        <v>0.574760139586875</v>
      </c>
      <c r="E56" s="301">
        <v>0.64736193128836494</v>
      </c>
      <c r="F56" s="301">
        <v>0.72913454016248402</v>
      </c>
      <c r="G56" s="301">
        <v>0.81567321766900003</v>
      </c>
      <c r="H56" s="301">
        <v>0.91248266109909704</v>
      </c>
      <c r="I56" s="301">
        <v>1.03475428361372</v>
      </c>
      <c r="J56" s="301">
        <v>1.16546100766585</v>
      </c>
      <c r="K56" s="301">
        <v>1.29495352405761</v>
      </c>
      <c r="L56" s="301">
        <v>1.46349313372846</v>
      </c>
      <c r="M56" s="301">
        <v>1.6539683569177099</v>
      </c>
      <c r="N56" s="301">
        <v>1.83150301570848</v>
      </c>
      <c r="O56" s="301">
        <v>2.0769223041159601</v>
      </c>
      <c r="P56" s="301">
        <v>2.31554207165465</v>
      </c>
      <c r="Q56" s="301">
        <v>2.6347613288793599</v>
      </c>
      <c r="R56" s="301">
        <v>2.9675756282842101</v>
      </c>
      <c r="S56" s="301">
        <v>3.3424299245093598</v>
      </c>
      <c r="T56" s="301">
        <v>3.7138019901048298</v>
      </c>
      <c r="U56" s="301">
        <v>4.1404845702896003</v>
      </c>
      <c r="V56" s="301">
        <v>4.6793731406980497</v>
      </c>
      <c r="W56" s="301">
        <v>5.3064037360798197</v>
      </c>
      <c r="X56" s="301">
        <v>5.8560479863541897</v>
      </c>
      <c r="Y56" s="301">
        <v>6.6633592899835996</v>
      </c>
      <c r="Z56" s="19">
        <v>7.4542123753105303</v>
      </c>
      <c r="AA56" s="19">
        <v>8.42438840828145</v>
      </c>
      <c r="AB56" s="19">
        <v>9.3286505214771491</v>
      </c>
      <c r="AC56" s="19">
        <v>10.542781799870401</v>
      </c>
      <c r="AD56" s="19">
        <v>11.754052985754701</v>
      </c>
      <c r="AE56" s="19">
        <v>13.419994977144899</v>
      </c>
      <c r="AF56" s="19">
        <v>15.3220486591533</v>
      </c>
      <c r="AG56" s="19">
        <v>16.8517611267464</v>
      </c>
      <c r="AH56" s="19">
        <v>18.9804196172372</v>
      </c>
      <c r="AI56" s="19">
        <v>21.377963177665698</v>
      </c>
      <c r="AJ56" s="19">
        <v>24.0783564769342</v>
      </c>
      <c r="AK56" s="19">
        <v>27.119854488103002</v>
      </c>
      <c r="AL56" s="19">
        <v>30.338624430131301</v>
      </c>
      <c r="AM56" s="19">
        <v>34.170898694956499</v>
      </c>
      <c r="AN56" s="19">
        <v>38.487253115579897</v>
      </c>
      <c r="AO56" s="19">
        <v>43.793083012851199</v>
      </c>
      <c r="AP56" s="19">
        <v>49.157516169684001</v>
      </c>
      <c r="AQ56" s="19">
        <v>55.366930329961797</v>
      </c>
      <c r="AR56" s="19">
        <v>63.645417461403902</v>
      </c>
      <c r="AS56" s="185">
        <v>68.820099754706305</v>
      </c>
    </row>
    <row r="57" spans="1:45" ht="15.75" customHeight="1">
      <c r="A57" s="182">
        <v>13</v>
      </c>
      <c r="B57" s="179">
        <v>3</v>
      </c>
      <c r="C57" s="300">
        <v>0.51553025672583197</v>
      </c>
      <c r="D57" s="300">
        <v>0.574760139586875</v>
      </c>
      <c r="E57" s="300">
        <v>0.64736193128836494</v>
      </c>
      <c r="F57" s="300">
        <v>0.72913454016248402</v>
      </c>
      <c r="G57" s="300">
        <v>0.81567321766900003</v>
      </c>
      <c r="H57" s="300">
        <v>0.91248266109909704</v>
      </c>
      <c r="I57" s="300">
        <v>1.03475428361372</v>
      </c>
      <c r="J57" s="300">
        <v>1.16546100766585</v>
      </c>
      <c r="K57" s="300">
        <v>1.29495352405761</v>
      </c>
      <c r="L57" s="300">
        <v>1.46349313372846</v>
      </c>
      <c r="M57" s="300">
        <v>1.6539683569177099</v>
      </c>
      <c r="N57" s="300">
        <v>1.83150301570848</v>
      </c>
      <c r="O57" s="300">
        <v>2.0769223041159601</v>
      </c>
      <c r="P57" s="300">
        <v>2.31554207165465</v>
      </c>
      <c r="Q57" s="300">
        <v>2.6347613288793599</v>
      </c>
      <c r="R57" s="300">
        <v>2.9675756282842101</v>
      </c>
      <c r="S57" s="300">
        <v>3.3424299245093598</v>
      </c>
      <c r="T57" s="300">
        <v>3.7138019901048298</v>
      </c>
      <c r="U57" s="300">
        <v>4.1404845702896003</v>
      </c>
      <c r="V57" s="300">
        <v>4.6793731406980497</v>
      </c>
      <c r="W57" s="300">
        <v>5.3064037360798197</v>
      </c>
      <c r="X57" s="300">
        <v>5.8560479863541897</v>
      </c>
      <c r="Y57" s="300">
        <v>6.6633592899835996</v>
      </c>
      <c r="Z57" s="19">
        <v>7.4542123753105303</v>
      </c>
      <c r="AA57" s="19">
        <v>8.42438840828145</v>
      </c>
      <c r="AB57" s="19">
        <v>9.3286505214771491</v>
      </c>
      <c r="AC57" s="19">
        <v>10.542781799870401</v>
      </c>
      <c r="AD57" s="19">
        <v>11.754052985754701</v>
      </c>
      <c r="AE57" s="19">
        <v>13.419994977144899</v>
      </c>
      <c r="AF57" s="19">
        <v>15.3220486591533</v>
      </c>
      <c r="AG57" s="19">
        <v>16.8517611267464</v>
      </c>
      <c r="AH57" s="19">
        <v>18.9804196172372</v>
      </c>
      <c r="AI57" s="19">
        <v>21.377963177665698</v>
      </c>
      <c r="AJ57" s="19">
        <v>24.0783564769342</v>
      </c>
      <c r="AK57" s="19">
        <v>27.119854488103002</v>
      </c>
      <c r="AL57" s="19">
        <v>30.338624430131301</v>
      </c>
      <c r="AM57" s="19">
        <v>34.170898694956499</v>
      </c>
      <c r="AN57" s="19">
        <v>38.487253115579897</v>
      </c>
      <c r="AO57" s="19">
        <v>43.793083012851199</v>
      </c>
      <c r="AP57" s="19">
        <v>49.157516169684001</v>
      </c>
      <c r="AQ57" s="19">
        <v>55.366930329961797</v>
      </c>
      <c r="AR57" s="19">
        <v>63.645417461403902</v>
      </c>
      <c r="AS57" s="185">
        <v>68.820099754706305</v>
      </c>
    </row>
    <row r="58" spans="1:45" ht="15.75" customHeight="1">
      <c r="A58" s="182">
        <v>13</v>
      </c>
      <c r="B58" s="179">
        <v>4</v>
      </c>
      <c r="C58" s="301">
        <v>0.51553025672583197</v>
      </c>
      <c r="D58" s="301">
        <v>0.574760139586875</v>
      </c>
      <c r="E58" s="301">
        <v>0.64736193128836494</v>
      </c>
      <c r="F58" s="301">
        <v>0.72913454016248402</v>
      </c>
      <c r="G58" s="301">
        <v>0.81567321766900003</v>
      </c>
      <c r="H58" s="301">
        <v>0.91248266109909704</v>
      </c>
      <c r="I58" s="301">
        <v>1.03475428361372</v>
      </c>
      <c r="J58" s="301">
        <v>1.16546100766585</v>
      </c>
      <c r="K58" s="301">
        <v>1.29495352405761</v>
      </c>
      <c r="L58" s="301">
        <v>1.46349313372846</v>
      </c>
      <c r="M58" s="301">
        <v>1.6539683569177099</v>
      </c>
      <c r="N58" s="301">
        <v>1.83150301570848</v>
      </c>
      <c r="O58" s="301">
        <v>2.0769223041159601</v>
      </c>
      <c r="P58" s="301">
        <v>2.31554207165465</v>
      </c>
      <c r="Q58" s="301">
        <v>2.6347613288793599</v>
      </c>
      <c r="R58" s="301">
        <v>2.9675756282842101</v>
      </c>
      <c r="S58" s="301">
        <v>3.3424299245093598</v>
      </c>
      <c r="T58" s="301">
        <v>3.7138019901048298</v>
      </c>
      <c r="U58" s="301">
        <v>4.1404845702896003</v>
      </c>
      <c r="V58" s="301">
        <v>4.6793731406980497</v>
      </c>
      <c r="W58" s="301">
        <v>5.3064037360798197</v>
      </c>
      <c r="X58" s="301">
        <v>5.8560479863541897</v>
      </c>
      <c r="Y58" s="301">
        <v>6.6633592899835996</v>
      </c>
      <c r="Z58" s="19">
        <v>7.4542123753105303</v>
      </c>
      <c r="AA58" s="19">
        <v>8.42438840828145</v>
      </c>
      <c r="AB58" s="19">
        <v>9.3286505214771491</v>
      </c>
      <c r="AC58" s="19">
        <v>10.542781799870401</v>
      </c>
      <c r="AD58" s="19">
        <v>11.754052985754701</v>
      </c>
      <c r="AE58" s="19">
        <v>13.419994977144899</v>
      </c>
      <c r="AF58" s="19">
        <v>15.3220486591533</v>
      </c>
      <c r="AG58" s="19">
        <v>16.8517611267464</v>
      </c>
      <c r="AH58" s="19">
        <v>18.9804196172372</v>
      </c>
      <c r="AI58" s="19">
        <v>21.377963177665698</v>
      </c>
      <c r="AJ58" s="19">
        <v>24.0783564769342</v>
      </c>
      <c r="AK58" s="19">
        <v>27.119854488103002</v>
      </c>
      <c r="AL58" s="19">
        <v>30.338624430131301</v>
      </c>
      <c r="AM58" s="19">
        <v>34.170898694956499</v>
      </c>
      <c r="AN58" s="19">
        <v>38.487253115579897</v>
      </c>
      <c r="AO58" s="19">
        <v>43.793083012851199</v>
      </c>
      <c r="AP58" s="19">
        <v>49.157516169684001</v>
      </c>
      <c r="AQ58" s="19">
        <v>55.366930329961797</v>
      </c>
      <c r="AR58" s="19">
        <v>63.645417461403902</v>
      </c>
      <c r="AS58" s="185">
        <v>68.820099754706305</v>
      </c>
    </row>
    <row r="59" spans="1:45" ht="15.75" customHeight="1">
      <c r="A59" s="182">
        <v>13</v>
      </c>
      <c r="B59" s="179">
        <v>5</v>
      </c>
      <c r="C59" s="300">
        <v>0.51553025672583197</v>
      </c>
      <c r="D59" s="300">
        <v>0.574760139586875</v>
      </c>
      <c r="E59" s="300">
        <v>0.64736193128836494</v>
      </c>
      <c r="F59" s="300">
        <v>0.72913454016248402</v>
      </c>
      <c r="G59" s="300">
        <v>0.81567321766900003</v>
      </c>
      <c r="H59" s="300">
        <v>0.91248266109909704</v>
      </c>
      <c r="I59" s="300">
        <v>1.03475428361372</v>
      </c>
      <c r="J59" s="300">
        <v>1.16546100766585</v>
      </c>
      <c r="K59" s="300">
        <v>1.29495352405761</v>
      </c>
      <c r="L59" s="300">
        <v>1.46349313372846</v>
      </c>
      <c r="M59" s="300">
        <v>1.6539683569177099</v>
      </c>
      <c r="N59" s="300">
        <v>1.83150301570848</v>
      </c>
      <c r="O59" s="300">
        <v>2.0769223041159601</v>
      </c>
      <c r="P59" s="300">
        <v>2.31554207165465</v>
      </c>
      <c r="Q59" s="300">
        <v>2.6347613288793599</v>
      </c>
      <c r="R59" s="300">
        <v>2.9675756282842101</v>
      </c>
      <c r="S59" s="300">
        <v>3.3424299245093598</v>
      </c>
      <c r="T59" s="300">
        <v>3.7138019901048298</v>
      </c>
      <c r="U59" s="300">
        <v>4.1404845702896003</v>
      </c>
      <c r="V59" s="300">
        <v>4.6793731406980497</v>
      </c>
      <c r="W59" s="300">
        <v>5.3064037360798197</v>
      </c>
      <c r="X59" s="300">
        <v>5.8560479863541897</v>
      </c>
      <c r="Y59" s="300">
        <v>6.6633592899835996</v>
      </c>
      <c r="Z59" s="19">
        <v>7.4542123753105303</v>
      </c>
      <c r="AA59" s="19">
        <v>8.42438840828145</v>
      </c>
      <c r="AB59" s="19">
        <v>9.3286505214771491</v>
      </c>
      <c r="AC59" s="19">
        <v>10.542781799870401</v>
      </c>
      <c r="AD59" s="19">
        <v>11.754052985754701</v>
      </c>
      <c r="AE59" s="19">
        <v>13.419994977144899</v>
      </c>
      <c r="AF59" s="19">
        <v>15.3220486591533</v>
      </c>
      <c r="AG59" s="19">
        <v>16.8517611267464</v>
      </c>
      <c r="AH59" s="19">
        <v>18.9804196172372</v>
      </c>
      <c r="AI59" s="19">
        <v>21.377963177665698</v>
      </c>
      <c r="AJ59" s="19">
        <v>24.0783564769342</v>
      </c>
      <c r="AK59" s="19">
        <v>27.119854488103002</v>
      </c>
      <c r="AL59" s="19">
        <v>30.338624430131301</v>
      </c>
      <c r="AM59" s="19">
        <v>34.170898694956499</v>
      </c>
      <c r="AN59" s="19">
        <v>38.487253115579897</v>
      </c>
      <c r="AO59" s="19">
        <v>43.793083012851199</v>
      </c>
      <c r="AP59" s="19">
        <v>49.157516169684001</v>
      </c>
      <c r="AQ59" s="19">
        <v>55.366930329961797</v>
      </c>
      <c r="AR59" s="19">
        <v>63.645417461403902</v>
      </c>
      <c r="AS59" s="185">
        <v>68.820099754706305</v>
      </c>
    </row>
    <row r="60" spans="1:45" ht="15.75" customHeight="1">
      <c r="A60" s="182">
        <v>13</v>
      </c>
      <c r="B60" s="179">
        <v>6</v>
      </c>
      <c r="C60" s="301">
        <v>0.51553025672583197</v>
      </c>
      <c r="D60" s="301">
        <v>0.574760139586875</v>
      </c>
      <c r="E60" s="301">
        <v>0.64736193128836494</v>
      </c>
      <c r="F60" s="301">
        <v>0.72913454016248402</v>
      </c>
      <c r="G60" s="301">
        <v>0.81567321766900003</v>
      </c>
      <c r="H60" s="301">
        <v>0.91248266109909704</v>
      </c>
      <c r="I60" s="301">
        <v>1.03475428361372</v>
      </c>
      <c r="J60" s="301">
        <v>1.16546100766585</v>
      </c>
      <c r="K60" s="301">
        <v>1.29495352405761</v>
      </c>
      <c r="L60" s="301">
        <v>1.46349313372846</v>
      </c>
      <c r="M60" s="301">
        <v>1.6539683569177099</v>
      </c>
      <c r="N60" s="301">
        <v>1.83150301570848</v>
      </c>
      <c r="O60" s="301">
        <v>2.0769223041159601</v>
      </c>
      <c r="P60" s="301">
        <v>2.31554207165465</v>
      </c>
      <c r="Q60" s="301">
        <v>2.6347613288793599</v>
      </c>
      <c r="R60" s="301">
        <v>2.9675756282842101</v>
      </c>
      <c r="S60" s="301">
        <v>3.3424299245093598</v>
      </c>
      <c r="T60" s="301">
        <v>3.7138019901048298</v>
      </c>
      <c r="U60" s="301">
        <v>4.1404845702896003</v>
      </c>
      <c r="V60" s="301">
        <v>4.6793731406980497</v>
      </c>
      <c r="W60" s="301">
        <v>5.3064037360798197</v>
      </c>
      <c r="X60" s="301">
        <v>5.8560479863541897</v>
      </c>
      <c r="Y60" s="301">
        <v>6.6633592899835996</v>
      </c>
      <c r="Z60" s="19">
        <v>7.4542123753105303</v>
      </c>
      <c r="AA60" s="19">
        <v>8.42438840828145</v>
      </c>
      <c r="AB60" s="19">
        <v>9.3286505214771491</v>
      </c>
      <c r="AC60" s="19">
        <v>10.542781799870401</v>
      </c>
      <c r="AD60" s="19">
        <v>11.754052985754701</v>
      </c>
      <c r="AE60" s="19">
        <v>13.419994977144899</v>
      </c>
      <c r="AF60" s="19">
        <v>15.3220486591533</v>
      </c>
      <c r="AG60" s="19">
        <v>16.8517611267464</v>
      </c>
      <c r="AH60" s="19">
        <v>18.9804196172372</v>
      </c>
      <c r="AI60" s="19">
        <v>21.377963177665698</v>
      </c>
      <c r="AJ60" s="19">
        <v>24.0783564769342</v>
      </c>
      <c r="AK60" s="19">
        <v>27.119854488103002</v>
      </c>
      <c r="AL60" s="19">
        <v>30.338624430131301</v>
      </c>
      <c r="AM60" s="19">
        <v>34.170898694956499</v>
      </c>
      <c r="AN60" s="19">
        <v>38.487253115579897</v>
      </c>
      <c r="AO60" s="19">
        <v>43.793083012851199</v>
      </c>
      <c r="AP60" s="19">
        <v>49.157516169684001</v>
      </c>
      <c r="AQ60" s="19">
        <v>55.366930329961797</v>
      </c>
      <c r="AR60" s="19">
        <v>63.645417461403902</v>
      </c>
      <c r="AS60" s="185">
        <v>68.820099754706305</v>
      </c>
    </row>
    <row r="61" spans="1:45" ht="15.75" customHeight="1">
      <c r="A61" s="182">
        <v>13</v>
      </c>
      <c r="B61" s="179">
        <v>7</v>
      </c>
      <c r="C61" s="300">
        <v>0.51553025672583197</v>
      </c>
      <c r="D61" s="300">
        <v>0.574760139586875</v>
      </c>
      <c r="E61" s="300">
        <v>0.64736193128836494</v>
      </c>
      <c r="F61" s="300">
        <v>0.72913454016248402</v>
      </c>
      <c r="G61" s="300">
        <v>0.81567321766900003</v>
      </c>
      <c r="H61" s="300">
        <v>0.91248266109909704</v>
      </c>
      <c r="I61" s="300">
        <v>1.03475428361372</v>
      </c>
      <c r="J61" s="300">
        <v>1.16546100766585</v>
      </c>
      <c r="K61" s="300">
        <v>1.29495352405761</v>
      </c>
      <c r="L61" s="300">
        <v>1.46349313372846</v>
      </c>
      <c r="M61" s="300">
        <v>1.6539683569177099</v>
      </c>
      <c r="N61" s="300">
        <v>1.83150301570848</v>
      </c>
      <c r="O61" s="300">
        <v>2.0769223041159601</v>
      </c>
      <c r="P61" s="300">
        <v>2.31554207165465</v>
      </c>
      <c r="Q61" s="300">
        <v>2.6347613288793599</v>
      </c>
      <c r="R61" s="300">
        <v>2.9675756282842101</v>
      </c>
      <c r="S61" s="300">
        <v>3.3424299245093598</v>
      </c>
      <c r="T61" s="300">
        <v>3.7138019901048298</v>
      </c>
      <c r="U61" s="300">
        <v>4.1404845702896003</v>
      </c>
      <c r="V61" s="300">
        <v>4.6793731406980497</v>
      </c>
      <c r="W61" s="300">
        <v>5.3064037360798197</v>
      </c>
      <c r="X61" s="300">
        <v>5.8560479863541897</v>
      </c>
      <c r="Y61" s="300">
        <v>6.6633592899835996</v>
      </c>
      <c r="Z61" s="19">
        <v>7.4542123753105303</v>
      </c>
      <c r="AA61" s="19">
        <v>8.42438840828145</v>
      </c>
      <c r="AB61" s="19">
        <v>9.3286505214771491</v>
      </c>
      <c r="AC61" s="19">
        <v>10.542781799870401</v>
      </c>
      <c r="AD61" s="19">
        <v>11.754052985754701</v>
      </c>
      <c r="AE61" s="19">
        <v>13.419994977144899</v>
      </c>
      <c r="AF61" s="19">
        <v>15.3220486591533</v>
      </c>
      <c r="AG61" s="19">
        <v>16.8517611267464</v>
      </c>
      <c r="AH61" s="19">
        <v>18.9804196172372</v>
      </c>
      <c r="AI61" s="19">
        <v>21.377963177665698</v>
      </c>
      <c r="AJ61" s="19">
        <v>24.0783564769342</v>
      </c>
      <c r="AK61" s="19">
        <v>27.119854488103002</v>
      </c>
      <c r="AL61" s="19">
        <v>30.338624430131301</v>
      </c>
      <c r="AM61" s="19">
        <v>34.170898694956499</v>
      </c>
      <c r="AN61" s="19">
        <v>38.487253115579897</v>
      </c>
      <c r="AO61" s="19">
        <v>43.793083012851199</v>
      </c>
      <c r="AP61" s="19">
        <v>49.157516169684001</v>
      </c>
      <c r="AQ61" s="19">
        <v>55.366930329961797</v>
      </c>
      <c r="AR61" s="19">
        <v>63.645417461403902</v>
      </c>
      <c r="AS61" s="185">
        <v>68.820099754706305</v>
      </c>
    </row>
    <row r="62" spans="1:45" ht="15.75" customHeight="1">
      <c r="A62" s="182">
        <v>13</v>
      </c>
      <c r="B62" s="179">
        <v>8</v>
      </c>
      <c r="C62" s="301">
        <v>0.51553025672583197</v>
      </c>
      <c r="D62" s="301">
        <v>0.574760139586875</v>
      </c>
      <c r="E62" s="301">
        <v>0.64736193128836494</v>
      </c>
      <c r="F62" s="301">
        <v>0.72913454016248402</v>
      </c>
      <c r="G62" s="301">
        <v>0.81567321766900003</v>
      </c>
      <c r="H62" s="301">
        <v>0.91248266109909704</v>
      </c>
      <c r="I62" s="301">
        <v>1.03475428361372</v>
      </c>
      <c r="J62" s="301">
        <v>1.16546100766585</v>
      </c>
      <c r="K62" s="301">
        <v>1.29495352405761</v>
      </c>
      <c r="L62" s="301">
        <v>1.46349313372846</v>
      </c>
      <c r="M62" s="301">
        <v>1.6539683569177099</v>
      </c>
      <c r="N62" s="301">
        <v>1.83150301570848</v>
      </c>
      <c r="O62" s="301">
        <v>2.0769223041159601</v>
      </c>
      <c r="P62" s="301">
        <v>2.31554207165465</v>
      </c>
      <c r="Q62" s="301">
        <v>2.6347613288793599</v>
      </c>
      <c r="R62" s="301">
        <v>2.9675756282842101</v>
      </c>
      <c r="S62" s="301">
        <v>3.3424299245093598</v>
      </c>
      <c r="T62" s="301">
        <v>3.7138019901048298</v>
      </c>
      <c r="U62" s="301">
        <v>4.1404845702896003</v>
      </c>
      <c r="V62" s="301">
        <v>4.6793731406980497</v>
      </c>
      <c r="W62" s="301">
        <v>5.3064037360798197</v>
      </c>
      <c r="X62" s="301">
        <v>5.8560479863541897</v>
      </c>
      <c r="Y62" s="301">
        <v>6.6633592899835996</v>
      </c>
      <c r="Z62" s="21">
        <v>7.4542123753105303</v>
      </c>
      <c r="AA62" s="21">
        <v>8.42438840828145</v>
      </c>
      <c r="AB62" s="21">
        <v>9.3286505214771491</v>
      </c>
      <c r="AC62" s="21">
        <v>10.542781799870401</v>
      </c>
      <c r="AD62" s="21">
        <v>11.754052985754701</v>
      </c>
      <c r="AE62" s="21">
        <v>13.419994977144899</v>
      </c>
      <c r="AF62" s="21">
        <v>15.3220486591533</v>
      </c>
      <c r="AG62" s="21">
        <v>16.8517611267464</v>
      </c>
      <c r="AH62" s="21">
        <v>18.9804196172372</v>
      </c>
      <c r="AI62" s="21">
        <v>21.377963177665698</v>
      </c>
      <c r="AJ62" s="21">
        <v>24.0783564769342</v>
      </c>
      <c r="AK62" s="21">
        <v>27.119854488103002</v>
      </c>
      <c r="AL62" s="21">
        <v>30.338624430131301</v>
      </c>
      <c r="AM62" s="21">
        <v>34.170898694956499</v>
      </c>
      <c r="AN62" s="21">
        <v>38.487253115579897</v>
      </c>
      <c r="AO62" s="21">
        <v>43.793083012851199</v>
      </c>
      <c r="AP62" s="21">
        <v>49.157516169684001</v>
      </c>
      <c r="AQ62" s="21">
        <v>55.366930329961797</v>
      </c>
      <c r="AR62" s="21">
        <v>63.645417461403902</v>
      </c>
      <c r="AS62" s="186">
        <v>68.820099754706305</v>
      </c>
    </row>
    <row r="63" spans="1:45" ht="15.75" customHeight="1">
      <c r="A63" s="177">
        <v>14</v>
      </c>
      <c r="B63" s="178">
        <v>1</v>
      </c>
      <c r="C63" s="306">
        <v>1.4660177833749599</v>
      </c>
      <c r="D63" s="306">
        <v>2.42378322217687</v>
      </c>
      <c r="E63" s="306">
        <v>3.79414525395867</v>
      </c>
      <c r="F63" s="306">
        <v>5.9392845351937398</v>
      </c>
      <c r="G63" s="306">
        <v>9.3994282086104697</v>
      </c>
      <c r="H63" s="306">
        <v>14.7136903999174</v>
      </c>
      <c r="I63" s="306">
        <v>24.061860570751801</v>
      </c>
      <c r="J63" s="306">
        <v>38.0799305136442</v>
      </c>
      <c r="K63" s="306">
        <v>60.927058832994803</v>
      </c>
      <c r="L63" s="306">
        <v>95.374086673168307</v>
      </c>
      <c r="M63" s="306">
        <v>150.93756289699201</v>
      </c>
      <c r="N63" s="306">
        <v>236.275055550628</v>
      </c>
      <c r="O63" s="306">
        <v>357.92942381455799</v>
      </c>
      <c r="P63" s="308"/>
      <c r="Q63" s="216"/>
      <c r="R63" s="216"/>
      <c r="S63" s="216"/>
      <c r="T63" s="216"/>
      <c r="U63" s="216"/>
      <c r="V63" s="216"/>
      <c r="W63" s="216"/>
      <c r="X63" s="216"/>
      <c r="Y63" s="216"/>
    </row>
    <row r="64" spans="1:45" ht="15.75" customHeight="1">
      <c r="A64" s="174">
        <v>14</v>
      </c>
      <c r="B64" s="179">
        <v>2</v>
      </c>
      <c r="C64" s="301">
        <v>1.4660177833749599</v>
      </c>
      <c r="D64" s="301">
        <v>2.42378322217687</v>
      </c>
      <c r="E64" s="301">
        <v>3.79414525395867</v>
      </c>
      <c r="F64" s="301">
        <v>5.9392845351937398</v>
      </c>
      <c r="G64" s="301">
        <v>9.3994282086104697</v>
      </c>
      <c r="H64" s="301">
        <v>14.7136903999174</v>
      </c>
      <c r="I64" s="301">
        <v>24.061860570751801</v>
      </c>
      <c r="J64" s="301">
        <v>38.0799305136442</v>
      </c>
      <c r="K64" s="301">
        <v>60.927058832994803</v>
      </c>
      <c r="L64" s="301">
        <v>95.374086673168307</v>
      </c>
      <c r="M64" s="301">
        <v>150.93756289699201</v>
      </c>
      <c r="N64" s="301">
        <v>236.275055550628</v>
      </c>
      <c r="O64" s="301">
        <v>357.92942381455799</v>
      </c>
      <c r="P64" s="295"/>
      <c r="Q64" s="283"/>
      <c r="R64" s="283"/>
      <c r="S64" s="283"/>
      <c r="T64" s="283"/>
      <c r="U64" s="283"/>
      <c r="V64" s="283"/>
      <c r="W64" s="283"/>
      <c r="X64" s="283"/>
      <c r="Y64" s="283"/>
    </row>
    <row r="65" spans="1:25" ht="15.75" customHeight="1">
      <c r="A65" s="174">
        <v>14</v>
      </c>
      <c r="B65" s="179">
        <v>3</v>
      </c>
      <c r="C65" s="300">
        <v>1.4660177833749599</v>
      </c>
      <c r="D65" s="300">
        <v>2.42378322217687</v>
      </c>
      <c r="E65" s="300">
        <v>3.79414525395867</v>
      </c>
      <c r="F65" s="300">
        <v>5.9392845351937398</v>
      </c>
      <c r="G65" s="300">
        <v>9.3994282086104697</v>
      </c>
      <c r="H65" s="300">
        <v>14.7136903999174</v>
      </c>
      <c r="I65" s="300">
        <v>24.061860570751801</v>
      </c>
      <c r="J65" s="300">
        <v>38.0799305136442</v>
      </c>
      <c r="K65" s="300">
        <v>60.927058832994803</v>
      </c>
      <c r="L65" s="300">
        <v>95.374086673168307</v>
      </c>
      <c r="M65" s="300">
        <v>150.93756289699201</v>
      </c>
      <c r="N65" s="300">
        <v>236.275055550628</v>
      </c>
      <c r="O65" s="300">
        <v>357.92942381455799</v>
      </c>
      <c r="P65" s="297"/>
      <c r="Q65" s="239"/>
      <c r="R65" s="239"/>
      <c r="S65" s="239"/>
      <c r="T65" s="239"/>
      <c r="U65" s="239"/>
      <c r="V65" s="239"/>
      <c r="W65" s="239"/>
      <c r="X65" s="239"/>
      <c r="Y65" s="239"/>
    </row>
    <row r="66" spans="1:25" ht="15.75" customHeight="1">
      <c r="A66" s="174">
        <v>14</v>
      </c>
      <c r="B66" s="179">
        <v>4</v>
      </c>
      <c r="C66" s="301">
        <v>1.4660177833749599</v>
      </c>
      <c r="D66" s="301">
        <v>2.42378322217687</v>
      </c>
      <c r="E66" s="301">
        <v>3.79414525395867</v>
      </c>
      <c r="F66" s="301">
        <v>5.9392845351937398</v>
      </c>
      <c r="G66" s="301">
        <v>9.3994282086104697</v>
      </c>
      <c r="H66" s="301">
        <v>14.7136903999174</v>
      </c>
      <c r="I66" s="301">
        <v>24.061860570751801</v>
      </c>
      <c r="J66" s="301">
        <v>38.0799305136442</v>
      </c>
      <c r="K66" s="301">
        <v>60.927058832994803</v>
      </c>
      <c r="L66" s="301">
        <v>95.374086673168307</v>
      </c>
      <c r="M66" s="301">
        <v>150.93756289699201</v>
      </c>
      <c r="N66" s="301">
        <v>236.275055550628</v>
      </c>
      <c r="O66" s="301">
        <v>357.92942381455799</v>
      </c>
      <c r="P66" s="295"/>
      <c r="Q66" s="283"/>
      <c r="R66" s="283"/>
      <c r="S66" s="283"/>
      <c r="T66" s="283"/>
      <c r="U66" s="283"/>
      <c r="V66" s="283"/>
      <c r="W66" s="283"/>
      <c r="X66" s="283"/>
      <c r="Y66" s="283"/>
    </row>
    <row r="67" spans="1:25" ht="15.75" customHeight="1">
      <c r="A67" s="174">
        <v>14</v>
      </c>
      <c r="B67" s="179">
        <v>5</v>
      </c>
      <c r="C67" s="300">
        <v>1.4660177833749599</v>
      </c>
      <c r="D67" s="300">
        <v>2.42378322217687</v>
      </c>
      <c r="E67" s="300">
        <v>3.79414525395867</v>
      </c>
      <c r="F67" s="300">
        <v>5.9392845351937398</v>
      </c>
      <c r="G67" s="300">
        <v>9.3994282086104697</v>
      </c>
      <c r="H67" s="300">
        <v>14.7136903999174</v>
      </c>
      <c r="I67" s="300">
        <v>24.061860570751801</v>
      </c>
      <c r="J67" s="300">
        <v>38.0799305136442</v>
      </c>
      <c r="K67" s="300">
        <v>60.927058832994803</v>
      </c>
      <c r="L67" s="300">
        <v>95.374086673168307</v>
      </c>
      <c r="M67" s="300">
        <v>150.93756289699201</v>
      </c>
      <c r="N67" s="300">
        <v>236.275055550628</v>
      </c>
      <c r="O67" s="300">
        <v>357.92942381455799</v>
      </c>
      <c r="P67" s="297"/>
      <c r="Q67" s="239"/>
      <c r="R67" s="239"/>
      <c r="S67" s="239"/>
      <c r="T67" s="239"/>
      <c r="U67" s="239"/>
      <c r="V67" s="239"/>
      <c r="W67" s="239"/>
      <c r="X67" s="239"/>
      <c r="Y67" s="239"/>
    </row>
    <row r="68" spans="1:25" ht="15.75" customHeight="1">
      <c r="A68" s="174">
        <v>14</v>
      </c>
      <c r="B68" s="179">
        <v>6</v>
      </c>
      <c r="C68" s="301">
        <v>1.4660177833749599</v>
      </c>
      <c r="D68" s="301">
        <v>2.42378322217687</v>
      </c>
      <c r="E68" s="301">
        <v>3.79414525395867</v>
      </c>
      <c r="F68" s="301">
        <v>5.9392845351937398</v>
      </c>
      <c r="G68" s="301">
        <v>9.3994282086104697</v>
      </c>
      <c r="H68" s="301">
        <v>14.7136903999174</v>
      </c>
      <c r="I68" s="301">
        <v>24.061860570751801</v>
      </c>
      <c r="J68" s="301">
        <v>38.0799305136442</v>
      </c>
      <c r="K68" s="301">
        <v>60.927058832994803</v>
      </c>
      <c r="L68" s="301">
        <v>95.374086673168307</v>
      </c>
      <c r="M68" s="301">
        <v>150.93756289699201</v>
      </c>
      <c r="N68" s="301">
        <v>236.275055550628</v>
      </c>
      <c r="O68" s="301">
        <v>357.92942381455799</v>
      </c>
      <c r="P68" s="295"/>
      <c r="Q68" s="283"/>
      <c r="R68" s="283"/>
      <c r="S68" s="283"/>
      <c r="T68" s="283"/>
      <c r="U68" s="283"/>
      <c r="V68" s="283"/>
      <c r="W68" s="283"/>
      <c r="X68" s="283"/>
      <c r="Y68" s="283"/>
    </row>
    <row r="69" spans="1:25" ht="15.75" customHeight="1">
      <c r="A69" s="174">
        <v>14</v>
      </c>
      <c r="B69" s="179">
        <v>7</v>
      </c>
      <c r="C69" s="300">
        <v>1.4660177833749599</v>
      </c>
      <c r="D69" s="300">
        <v>2.42378322217687</v>
      </c>
      <c r="E69" s="300">
        <v>3.79414525395867</v>
      </c>
      <c r="F69" s="300">
        <v>5.9392845351937398</v>
      </c>
      <c r="G69" s="300">
        <v>9.3994282086104697</v>
      </c>
      <c r="H69" s="300">
        <v>14.7136903999174</v>
      </c>
      <c r="I69" s="300">
        <v>24.061860570751801</v>
      </c>
      <c r="J69" s="300">
        <v>38.0799305136442</v>
      </c>
      <c r="K69" s="300">
        <v>60.927058832994803</v>
      </c>
      <c r="L69" s="300">
        <v>95.374086673168307</v>
      </c>
      <c r="M69" s="300">
        <v>150.93756289699201</v>
      </c>
      <c r="N69" s="300">
        <v>236.275055550628</v>
      </c>
      <c r="O69" s="300">
        <v>357.92942381455799</v>
      </c>
      <c r="P69" s="297"/>
      <c r="Q69" s="239"/>
      <c r="R69" s="239"/>
      <c r="S69" s="239"/>
      <c r="T69" s="239"/>
      <c r="U69" s="239"/>
      <c r="V69" s="239"/>
      <c r="W69" s="239"/>
      <c r="X69" s="239"/>
      <c r="Y69" s="239"/>
    </row>
    <row r="70" spans="1:25" ht="15.75" customHeight="1">
      <c r="A70" s="174">
        <v>14</v>
      </c>
      <c r="B70" s="179">
        <v>8</v>
      </c>
      <c r="C70" s="301">
        <v>1.4660177833749599</v>
      </c>
      <c r="D70" s="301">
        <v>2.42378322217687</v>
      </c>
      <c r="E70" s="301">
        <v>3.79414525395867</v>
      </c>
      <c r="F70" s="301">
        <v>5.9392845351937398</v>
      </c>
      <c r="G70" s="301">
        <v>9.3994282086104697</v>
      </c>
      <c r="H70" s="301">
        <v>14.7136903999174</v>
      </c>
      <c r="I70" s="301">
        <v>24.061860570751801</v>
      </c>
      <c r="J70" s="301">
        <v>38.0799305136442</v>
      </c>
      <c r="K70" s="301">
        <v>60.927058832994803</v>
      </c>
      <c r="L70" s="301">
        <v>95.374086673168307</v>
      </c>
      <c r="M70" s="301">
        <v>150.93756289699201</v>
      </c>
      <c r="N70" s="301">
        <v>236.275055550628</v>
      </c>
      <c r="O70" s="301">
        <v>357.92942381455799</v>
      </c>
      <c r="P70" s="295"/>
      <c r="Q70" s="283"/>
      <c r="R70" s="283"/>
      <c r="S70" s="283"/>
      <c r="T70" s="283"/>
      <c r="U70" s="283"/>
      <c r="V70" s="283"/>
      <c r="W70" s="283"/>
      <c r="X70" s="283"/>
      <c r="Y70" s="283"/>
    </row>
    <row r="71" spans="1:25" ht="15.75" customHeight="1">
      <c r="A71" s="174">
        <v>14</v>
      </c>
      <c r="B71" s="179">
        <v>9</v>
      </c>
      <c r="C71" s="300">
        <v>1.4660177833749599</v>
      </c>
      <c r="D71" s="300">
        <v>2.42378322217687</v>
      </c>
      <c r="E71" s="300">
        <v>3.79414525395867</v>
      </c>
      <c r="F71" s="300">
        <v>5.9392845351937398</v>
      </c>
      <c r="G71" s="300">
        <v>9.3994282086104697</v>
      </c>
      <c r="H71" s="300">
        <v>14.7136903999174</v>
      </c>
      <c r="I71" s="300">
        <v>24.061860570751801</v>
      </c>
      <c r="J71" s="300">
        <v>38.0799305136442</v>
      </c>
      <c r="K71" s="300">
        <v>60.927058832994803</v>
      </c>
      <c r="L71" s="300">
        <v>95.374086673168307</v>
      </c>
      <c r="M71" s="300">
        <v>150.93756289699201</v>
      </c>
      <c r="N71" s="300">
        <v>236.275055550628</v>
      </c>
      <c r="O71" s="300">
        <v>357.92942381455799</v>
      </c>
      <c r="P71" s="297"/>
      <c r="Q71" s="239"/>
      <c r="R71" s="239"/>
      <c r="S71" s="239"/>
      <c r="T71" s="239"/>
      <c r="U71" s="239"/>
      <c r="V71" s="239"/>
      <c r="W71" s="239"/>
      <c r="X71" s="239"/>
      <c r="Y71" s="239"/>
    </row>
    <row r="72" spans="1:25" ht="15.75" customHeight="1">
      <c r="A72" s="174">
        <v>14</v>
      </c>
      <c r="B72" s="179">
        <v>10</v>
      </c>
      <c r="C72" s="301">
        <v>1.4660177833749599</v>
      </c>
      <c r="D72" s="301">
        <v>2.42378322217687</v>
      </c>
      <c r="E72" s="301">
        <v>3.79414525395867</v>
      </c>
      <c r="F72" s="301">
        <v>5.9392845351937398</v>
      </c>
      <c r="G72" s="301">
        <v>9.3994282086104697</v>
      </c>
      <c r="H72" s="301">
        <v>14.7136903999174</v>
      </c>
      <c r="I72" s="301">
        <v>24.061860570751801</v>
      </c>
      <c r="J72" s="301">
        <v>38.0799305136442</v>
      </c>
      <c r="K72" s="301">
        <v>60.927058832994803</v>
      </c>
      <c r="L72" s="301">
        <v>95.374086673168307</v>
      </c>
      <c r="M72" s="301">
        <v>150.93756289699201</v>
      </c>
      <c r="N72" s="301">
        <v>236.275055550628</v>
      </c>
      <c r="O72" s="301">
        <v>357.92942381455799</v>
      </c>
      <c r="P72" s="295"/>
      <c r="Q72" s="283"/>
      <c r="R72" s="283"/>
      <c r="S72" s="283"/>
      <c r="T72" s="283"/>
      <c r="U72" s="283"/>
      <c r="V72" s="283"/>
      <c r="W72" s="283"/>
      <c r="X72" s="283"/>
      <c r="Y72" s="283"/>
    </row>
    <row r="73" spans="1:25" ht="15.75" customHeight="1">
      <c r="A73" s="177">
        <v>15</v>
      </c>
      <c r="B73" s="178">
        <v>1</v>
      </c>
      <c r="C73" s="306">
        <v>1.4797715552584101</v>
      </c>
      <c r="D73" s="306">
        <v>2.3352421822689502</v>
      </c>
      <c r="E73" s="306">
        <v>3.7505047782463801</v>
      </c>
      <c r="F73" s="306">
        <v>5.7818398167551699</v>
      </c>
      <c r="G73" s="306">
        <v>9.3403689883800798</v>
      </c>
      <c r="H73" s="306">
        <v>14.913571066174701</v>
      </c>
      <c r="I73" s="306">
        <v>22.8569349813184</v>
      </c>
      <c r="J73" s="306">
        <v>38.920445002713699</v>
      </c>
      <c r="K73" s="306">
        <v>62.874678136849099</v>
      </c>
      <c r="L73" s="306">
        <v>88.786921572692407</v>
      </c>
      <c r="M73" s="306">
        <v>140.11552239504201</v>
      </c>
      <c r="N73" s="306">
        <v>234.43654725803901</v>
      </c>
      <c r="O73" s="306">
        <v>376.51588761529399</v>
      </c>
      <c r="P73" s="297"/>
      <c r="Q73" s="239"/>
      <c r="R73" s="239"/>
      <c r="S73" s="239"/>
      <c r="T73" s="239"/>
      <c r="U73" s="239"/>
      <c r="V73" s="239"/>
      <c r="W73" s="239"/>
      <c r="X73" s="239"/>
      <c r="Y73" s="239"/>
    </row>
    <row r="74" spans="1:25" ht="15.75" customHeight="1">
      <c r="A74" s="174">
        <v>15</v>
      </c>
      <c r="B74" s="179">
        <v>2</v>
      </c>
      <c r="C74" s="301">
        <v>1.4797715552584101</v>
      </c>
      <c r="D74" s="301">
        <v>2.3352421822689502</v>
      </c>
      <c r="E74" s="301">
        <v>3.7505047782463801</v>
      </c>
      <c r="F74" s="301">
        <v>5.7818398167551699</v>
      </c>
      <c r="G74" s="301">
        <v>9.3403689883800798</v>
      </c>
      <c r="H74" s="301">
        <v>14.913571066174701</v>
      </c>
      <c r="I74" s="301">
        <v>22.8569349813184</v>
      </c>
      <c r="J74" s="301">
        <v>38.920445002713699</v>
      </c>
      <c r="K74" s="301">
        <v>62.874678136849099</v>
      </c>
      <c r="L74" s="301">
        <v>88.786921572692407</v>
      </c>
      <c r="M74" s="301">
        <v>140.11552239504201</v>
      </c>
      <c r="N74" s="301">
        <v>234.43654725803901</v>
      </c>
      <c r="O74" s="301">
        <v>376.51588761529399</v>
      </c>
      <c r="P74" s="295"/>
      <c r="Q74" s="283"/>
      <c r="R74" s="283"/>
      <c r="S74" s="283"/>
      <c r="T74" s="283"/>
      <c r="U74" s="283"/>
      <c r="V74" s="283"/>
      <c r="W74" s="283"/>
      <c r="X74" s="283"/>
      <c r="Y74" s="283"/>
    </row>
    <row r="75" spans="1:25" ht="15.75" customHeight="1">
      <c r="A75" s="174">
        <v>15</v>
      </c>
      <c r="B75" s="179">
        <v>3</v>
      </c>
      <c r="C75" s="300">
        <v>1.4797715552584101</v>
      </c>
      <c r="D75" s="300">
        <v>2.3352421822689502</v>
      </c>
      <c r="E75" s="300">
        <v>3.7505047782463801</v>
      </c>
      <c r="F75" s="300">
        <v>5.7818398167551699</v>
      </c>
      <c r="G75" s="300">
        <v>9.3403689883800798</v>
      </c>
      <c r="H75" s="300">
        <v>14.913571066174701</v>
      </c>
      <c r="I75" s="300">
        <v>22.8569349813184</v>
      </c>
      <c r="J75" s="300">
        <v>38.920445002713699</v>
      </c>
      <c r="K75" s="300">
        <v>62.874678136849099</v>
      </c>
      <c r="L75" s="300">
        <v>88.786921572692407</v>
      </c>
      <c r="M75" s="300">
        <v>140.11552239504201</v>
      </c>
      <c r="N75" s="300">
        <v>234.43654725803901</v>
      </c>
      <c r="O75" s="300">
        <v>376.51588761529399</v>
      </c>
      <c r="P75" s="297"/>
      <c r="Q75" s="239"/>
      <c r="R75" s="239"/>
      <c r="S75" s="239"/>
      <c r="T75" s="239"/>
      <c r="U75" s="239"/>
      <c r="V75" s="239"/>
      <c r="W75" s="239"/>
      <c r="X75" s="239"/>
      <c r="Y75" s="239"/>
    </row>
    <row r="76" spans="1:25" ht="15.75" customHeight="1">
      <c r="A76" s="174">
        <v>15</v>
      </c>
      <c r="B76" s="179">
        <v>4</v>
      </c>
      <c r="C76" s="301">
        <v>1.4797715552584101</v>
      </c>
      <c r="D76" s="301">
        <v>2.3352421822689502</v>
      </c>
      <c r="E76" s="301">
        <v>3.7505047782463801</v>
      </c>
      <c r="F76" s="301">
        <v>5.7818398167551699</v>
      </c>
      <c r="G76" s="301">
        <v>9.3403689883800798</v>
      </c>
      <c r="H76" s="301">
        <v>14.913571066174701</v>
      </c>
      <c r="I76" s="301">
        <v>22.8569349813184</v>
      </c>
      <c r="J76" s="301">
        <v>38.920445002713699</v>
      </c>
      <c r="K76" s="301">
        <v>62.874678136849099</v>
      </c>
      <c r="L76" s="301">
        <v>88.786921572692407</v>
      </c>
      <c r="M76" s="301">
        <v>140.11552239504201</v>
      </c>
      <c r="N76" s="301">
        <v>234.43654725803901</v>
      </c>
      <c r="O76" s="301">
        <v>376.51588761529399</v>
      </c>
      <c r="P76" s="295"/>
      <c r="Q76" s="283"/>
      <c r="R76" s="283"/>
      <c r="S76" s="283"/>
      <c r="T76" s="283"/>
      <c r="U76" s="283"/>
      <c r="V76" s="283"/>
      <c r="W76" s="283"/>
      <c r="X76" s="283"/>
      <c r="Y76" s="283"/>
    </row>
    <row r="77" spans="1:25" ht="15.75" customHeight="1">
      <c r="A77" s="174">
        <v>15</v>
      </c>
      <c r="B77" s="179">
        <v>5</v>
      </c>
      <c r="C77" s="300">
        <v>1.4797715552584101</v>
      </c>
      <c r="D77" s="300">
        <v>2.3352421822689502</v>
      </c>
      <c r="E77" s="300">
        <v>3.7505047782463801</v>
      </c>
      <c r="F77" s="300">
        <v>5.7818398167551699</v>
      </c>
      <c r="G77" s="300">
        <v>9.3403689883800798</v>
      </c>
      <c r="H77" s="300">
        <v>14.913571066174701</v>
      </c>
      <c r="I77" s="300">
        <v>22.8569349813184</v>
      </c>
      <c r="J77" s="300">
        <v>38.920445002713699</v>
      </c>
      <c r="K77" s="300">
        <v>62.874678136849099</v>
      </c>
      <c r="L77" s="300">
        <v>88.786921572692407</v>
      </c>
      <c r="M77" s="300">
        <v>140.11552239504201</v>
      </c>
      <c r="N77" s="300">
        <v>234.43654725803901</v>
      </c>
      <c r="O77" s="300">
        <v>376.51588761529399</v>
      </c>
      <c r="P77" s="297"/>
      <c r="Q77" s="239"/>
      <c r="R77" s="239"/>
      <c r="S77" s="239"/>
      <c r="T77" s="239"/>
      <c r="U77" s="239"/>
      <c r="V77" s="239"/>
      <c r="W77" s="239"/>
      <c r="X77" s="239"/>
      <c r="Y77" s="239"/>
    </row>
    <row r="78" spans="1:25" ht="15.75" customHeight="1">
      <c r="A78" s="174">
        <v>15</v>
      </c>
      <c r="B78" s="179">
        <v>6</v>
      </c>
      <c r="C78" s="301">
        <v>1.4797715552584101</v>
      </c>
      <c r="D78" s="301">
        <v>2.3352421822689502</v>
      </c>
      <c r="E78" s="301">
        <v>3.7505047782463801</v>
      </c>
      <c r="F78" s="301">
        <v>5.7818398167551699</v>
      </c>
      <c r="G78" s="301">
        <v>9.3403689883800798</v>
      </c>
      <c r="H78" s="301">
        <v>14.913571066174701</v>
      </c>
      <c r="I78" s="301">
        <v>22.8569349813184</v>
      </c>
      <c r="J78" s="301">
        <v>38.920445002713699</v>
      </c>
      <c r="K78" s="301">
        <v>62.874678136849099</v>
      </c>
      <c r="L78" s="301">
        <v>88.786921572692407</v>
      </c>
      <c r="M78" s="301">
        <v>140.11552239504201</v>
      </c>
      <c r="N78" s="301">
        <v>234.43654725803901</v>
      </c>
      <c r="O78" s="301">
        <v>376.51588761529399</v>
      </c>
      <c r="P78" s="295"/>
      <c r="Q78" s="283"/>
      <c r="R78" s="283"/>
      <c r="S78" s="283"/>
      <c r="T78" s="283"/>
      <c r="U78" s="283"/>
      <c r="V78" s="283"/>
      <c r="W78" s="283"/>
      <c r="X78" s="283"/>
      <c r="Y78" s="283"/>
    </row>
    <row r="79" spans="1:25" ht="15.75" customHeight="1">
      <c r="A79" s="237">
        <v>16</v>
      </c>
      <c r="B79" s="58">
        <v>1</v>
      </c>
      <c r="C79" s="226"/>
      <c r="D79" s="226"/>
      <c r="E79" s="310"/>
      <c r="F79" s="310"/>
      <c r="G79" s="226"/>
      <c r="H79" s="226"/>
      <c r="I79" s="226"/>
      <c r="J79" s="226"/>
      <c r="K79" s="226"/>
      <c r="L79" s="226"/>
      <c r="M79" s="226"/>
      <c r="N79" s="226"/>
      <c r="O79" s="226"/>
      <c r="P79" s="228"/>
      <c r="Q79" s="228"/>
      <c r="R79" s="228"/>
      <c r="S79" s="228"/>
      <c r="T79" s="228"/>
      <c r="U79" s="228"/>
      <c r="V79" s="228"/>
      <c r="W79" s="228"/>
      <c r="X79" s="228"/>
      <c r="Y79" s="228"/>
    </row>
    <row r="80" spans="1:25" ht="15.75" customHeight="1">
      <c r="A80" s="205">
        <v>16</v>
      </c>
      <c r="B80" s="59">
        <v>2</v>
      </c>
      <c r="C80" s="326"/>
      <c r="D80" s="326"/>
      <c r="E80" s="312"/>
      <c r="F80" s="312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</row>
    <row r="81" spans="1:28" ht="15.75" customHeight="1">
      <c r="A81" s="205">
        <v>16</v>
      </c>
      <c r="B81" s="59">
        <v>3</v>
      </c>
      <c r="C81" s="228"/>
      <c r="D81" s="228"/>
      <c r="E81" s="314"/>
      <c r="F81" s="314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</row>
    <row r="82" spans="1:28" ht="15.75" customHeight="1">
      <c r="A82" s="237">
        <v>17</v>
      </c>
      <c r="B82" s="58">
        <v>1</v>
      </c>
      <c r="C82" s="221">
        <v>0.16</v>
      </c>
      <c r="D82" s="221">
        <v>0.25</v>
      </c>
      <c r="E82" s="221">
        <v>0.41</v>
      </c>
      <c r="F82" s="221">
        <v>0.66</v>
      </c>
      <c r="G82" s="221">
        <v>1.02</v>
      </c>
      <c r="H82" s="221">
        <v>1.6</v>
      </c>
      <c r="I82" s="221">
        <v>2.52</v>
      </c>
      <c r="J82" s="221">
        <v>3.97</v>
      </c>
      <c r="K82" s="221">
        <v>6.4</v>
      </c>
      <c r="L82" s="221">
        <v>10</v>
      </c>
      <c r="M82" s="221">
        <v>16</v>
      </c>
      <c r="N82" s="283"/>
      <c r="O82" s="283"/>
      <c r="P82" s="283"/>
      <c r="Q82" s="283"/>
      <c r="R82" s="283"/>
      <c r="S82" s="283"/>
      <c r="T82" s="283"/>
      <c r="U82" s="283"/>
      <c r="V82" s="283"/>
      <c r="W82" s="326"/>
      <c r="X82" s="326"/>
      <c r="Y82" s="326"/>
    </row>
    <row r="83" spans="1:28" ht="15.75" customHeight="1">
      <c r="A83" s="205">
        <v>17</v>
      </c>
      <c r="B83" s="59">
        <v>2</v>
      </c>
      <c r="C83" s="239">
        <v>0.16</v>
      </c>
      <c r="D83" s="239">
        <v>0.25</v>
      </c>
      <c r="E83" s="239">
        <v>0.41</v>
      </c>
      <c r="F83" s="239">
        <v>0.66</v>
      </c>
      <c r="G83" s="239">
        <v>1.02</v>
      </c>
      <c r="H83" s="239">
        <v>1.6</v>
      </c>
      <c r="I83" s="239">
        <v>2.5299999999999998</v>
      </c>
      <c r="J83" s="239">
        <v>3.97</v>
      </c>
      <c r="K83" s="239">
        <v>6.4</v>
      </c>
      <c r="L83" s="239">
        <v>10</v>
      </c>
      <c r="M83" s="239">
        <v>16</v>
      </c>
      <c r="N83" s="239"/>
      <c r="O83" s="239"/>
      <c r="P83" s="239"/>
      <c r="Q83" s="239"/>
      <c r="R83" s="239"/>
      <c r="S83" s="239"/>
      <c r="T83" s="239"/>
      <c r="U83" s="239"/>
      <c r="V83" s="239"/>
      <c r="W83" s="228"/>
      <c r="X83" s="228"/>
      <c r="Y83" s="228"/>
    </row>
    <row r="84" spans="1:28" ht="15.75" customHeight="1">
      <c r="A84" s="205">
        <v>17</v>
      </c>
      <c r="B84" s="59">
        <v>3</v>
      </c>
      <c r="C84" s="283">
        <v>0.16</v>
      </c>
      <c r="D84" s="283">
        <v>0.25</v>
      </c>
      <c r="E84" s="283">
        <v>0.41</v>
      </c>
      <c r="F84" s="283">
        <v>0.66</v>
      </c>
      <c r="G84" s="283">
        <v>1.02</v>
      </c>
      <c r="H84" s="283">
        <v>1.6</v>
      </c>
      <c r="I84" s="283">
        <v>2.54</v>
      </c>
      <c r="J84" s="283">
        <v>3.97</v>
      </c>
      <c r="K84" s="283">
        <v>6.4</v>
      </c>
      <c r="L84" s="283">
        <v>10</v>
      </c>
      <c r="M84" s="283">
        <v>16</v>
      </c>
      <c r="N84" s="283"/>
      <c r="O84" s="283"/>
      <c r="P84" s="283"/>
      <c r="Q84" s="283"/>
      <c r="R84" s="283"/>
      <c r="S84" s="283"/>
      <c r="T84" s="283"/>
      <c r="U84" s="283"/>
      <c r="V84" s="283"/>
      <c r="W84" s="326"/>
      <c r="X84" s="326"/>
      <c r="Y84" s="326"/>
    </row>
    <row r="85" spans="1:28" ht="15.75" customHeight="1">
      <c r="A85" s="205">
        <v>17</v>
      </c>
      <c r="B85" s="59">
        <v>4</v>
      </c>
      <c r="C85" s="239">
        <v>0.16</v>
      </c>
      <c r="D85" s="239">
        <v>0.25</v>
      </c>
      <c r="E85" s="239">
        <v>0.41</v>
      </c>
      <c r="F85" s="239">
        <v>0.66</v>
      </c>
      <c r="G85" s="239">
        <v>1.02</v>
      </c>
      <c r="H85" s="239">
        <v>1.6</v>
      </c>
      <c r="I85" s="239">
        <v>2.5499999999999998</v>
      </c>
      <c r="J85" s="239">
        <v>3.97</v>
      </c>
      <c r="K85" s="239">
        <v>6.4</v>
      </c>
      <c r="L85" s="239">
        <v>10</v>
      </c>
      <c r="M85" s="239">
        <v>16</v>
      </c>
      <c r="N85" s="239"/>
      <c r="O85" s="239"/>
      <c r="P85" s="239"/>
      <c r="Q85" s="239"/>
      <c r="R85" s="239"/>
      <c r="S85" s="239"/>
      <c r="T85" s="239"/>
      <c r="U85" s="239"/>
      <c r="V85" s="239"/>
      <c r="W85" s="228"/>
      <c r="X85" s="228"/>
      <c r="Y85" s="228"/>
    </row>
    <row r="86" spans="1:28" ht="15.75" customHeight="1">
      <c r="A86" s="201">
        <v>18</v>
      </c>
      <c r="B86" s="58">
        <v>1</v>
      </c>
      <c r="C86" s="221">
        <v>0.19</v>
      </c>
      <c r="D86" s="221">
        <v>0.28999999999999998</v>
      </c>
      <c r="E86" s="221">
        <v>0.41</v>
      </c>
      <c r="F86" s="221">
        <v>0.6</v>
      </c>
      <c r="G86" s="221">
        <v>0.83</v>
      </c>
      <c r="H86" s="221">
        <v>1.21</v>
      </c>
      <c r="I86" s="221">
        <v>1.82</v>
      </c>
      <c r="J86" s="221">
        <v>2.4900000000000002</v>
      </c>
      <c r="K86" s="221">
        <v>3.57</v>
      </c>
      <c r="L86" s="221">
        <v>5.1100000000000003</v>
      </c>
      <c r="M86" s="221">
        <v>7.5</v>
      </c>
      <c r="N86" s="221">
        <v>10.49</v>
      </c>
      <c r="O86" s="221">
        <v>15.77</v>
      </c>
      <c r="P86" s="221">
        <v>22.6</v>
      </c>
      <c r="Q86" s="221">
        <v>31.62</v>
      </c>
      <c r="R86" s="221">
        <v>46.42</v>
      </c>
      <c r="S86" s="221">
        <v>68.13</v>
      </c>
      <c r="T86" s="221">
        <v>100</v>
      </c>
      <c r="U86" s="221">
        <v>143.30000000000001</v>
      </c>
      <c r="V86" s="221">
        <v>205.35</v>
      </c>
      <c r="W86" s="327"/>
      <c r="X86" s="326"/>
      <c r="Y86" s="326"/>
    </row>
    <row r="87" spans="1:28" ht="15.75" customHeight="1">
      <c r="A87" s="200">
        <v>18</v>
      </c>
      <c r="B87" s="59">
        <v>2</v>
      </c>
      <c r="C87" s="239">
        <v>1.24</v>
      </c>
      <c r="D87" s="239">
        <v>1.78</v>
      </c>
      <c r="E87" s="239">
        <v>2.4900000000000002</v>
      </c>
      <c r="F87" s="239">
        <v>3.48</v>
      </c>
      <c r="G87" s="239">
        <v>4.87</v>
      </c>
      <c r="H87" s="239">
        <v>6.49</v>
      </c>
      <c r="I87" s="239">
        <v>9.5299999999999994</v>
      </c>
      <c r="J87" s="239">
        <v>13.02</v>
      </c>
      <c r="K87" s="239">
        <v>17.78</v>
      </c>
      <c r="L87" s="239">
        <v>26.1</v>
      </c>
      <c r="M87" s="239">
        <v>35.65</v>
      </c>
      <c r="N87" s="239">
        <v>51.09</v>
      </c>
      <c r="O87" s="239">
        <v>69.78</v>
      </c>
      <c r="P87" s="239">
        <v>100</v>
      </c>
      <c r="Q87" s="239">
        <v>133.35</v>
      </c>
      <c r="R87" s="239">
        <v>191.1</v>
      </c>
      <c r="S87" s="239">
        <v>273.83999999999997</v>
      </c>
      <c r="T87" s="239"/>
      <c r="U87" s="239"/>
      <c r="V87" s="239"/>
      <c r="W87" s="328"/>
      <c r="X87" s="228"/>
      <c r="Y87" s="228"/>
    </row>
    <row r="88" spans="1:28" ht="15.75" customHeight="1">
      <c r="A88" s="201">
        <v>19</v>
      </c>
      <c r="B88" s="58">
        <v>1</v>
      </c>
      <c r="C88" s="221"/>
      <c r="D88" s="221"/>
      <c r="E88" s="329"/>
      <c r="F88" s="329"/>
      <c r="G88" s="221"/>
      <c r="H88" s="221"/>
      <c r="I88" s="221"/>
      <c r="J88" s="221"/>
      <c r="K88" s="221"/>
      <c r="L88" s="221"/>
      <c r="M88" s="221"/>
      <c r="N88" s="221"/>
      <c r="O88" s="330"/>
      <c r="P88" s="331"/>
      <c r="Q88" s="331"/>
      <c r="R88" s="331"/>
      <c r="S88" s="331"/>
      <c r="T88" s="331"/>
      <c r="U88" s="331"/>
      <c r="V88" s="331"/>
      <c r="W88" s="326"/>
      <c r="X88" s="326"/>
      <c r="Y88" s="326"/>
    </row>
    <row r="89" spans="1:28" ht="15.75" customHeight="1">
      <c r="A89" s="200">
        <v>19</v>
      </c>
      <c r="B89" s="59">
        <v>2</v>
      </c>
      <c r="C89" s="239"/>
      <c r="D89" s="239"/>
      <c r="E89" s="323"/>
      <c r="F89" s="323"/>
      <c r="G89" s="239"/>
      <c r="H89" s="239"/>
      <c r="I89" s="239"/>
      <c r="J89" s="239"/>
      <c r="K89" s="239"/>
      <c r="L89" s="239"/>
      <c r="M89" s="239"/>
      <c r="N89" s="239"/>
      <c r="O89" s="3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</row>
    <row r="90" spans="1:28" ht="15.75" customHeight="1">
      <c r="A90" s="200">
        <v>19</v>
      </c>
      <c r="B90" s="59">
        <v>3</v>
      </c>
      <c r="C90" s="283"/>
      <c r="D90" s="283"/>
      <c r="E90" s="332"/>
      <c r="F90" s="332"/>
      <c r="G90" s="283"/>
      <c r="H90" s="283"/>
      <c r="I90" s="283"/>
      <c r="J90" s="283"/>
      <c r="K90" s="283"/>
      <c r="L90" s="283"/>
      <c r="M90" s="283"/>
      <c r="N90" s="283"/>
      <c r="O90" s="327"/>
      <c r="P90" s="326"/>
      <c r="Q90" s="326"/>
      <c r="R90" s="326"/>
      <c r="S90" s="326"/>
      <c r="T90" s="326"/>
      <c r="U90" s="326"/>
      <c r="V90" s="326"/>
      <c r="W90" s="326"/>
      <c r="X90" s="326"/>
      <c r="Y90" s="326"/>
    </row>
    <row r="91" spans="1:28" ht="15.75" customHeight="1">
      <c r="A91" s="200">
        <v>19</v>
      </c>
      <c r="B91" s="59">
        <v>4</v>
      </c>
      <c r="C91" s="239"/>
      <c r="D91" s="239"/>
      <c r="E91" s="323"/>
      <c r="F91" s="323"/>
      <c r="G91" s="239"/>
      <c r="H91" s="239"/>
      <c r="I91" s="239"/>
      <c r="J91" s="239"/>
      <c r="K91" s="239"/>
      <c r="L91" s="239"/>
      <c r="M91" s="239"/>
      <c r="N91" s="239"/>
      <c r="O91" s="3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</row>
    <row r="92" spans="1:28" ht="15.75" customHeight="1">
      <c r="A92" s="202">
        <v>19</v>
      </c>
      <c r="B92" s="59">
        <v>5</v>
      </c>
      <c r="C92" s="283"/>
      <c r="D92" s="283"/>
      <c r="E92" s="332"/>
      <c r="F92" s="332"/>
      <c r="G92" s="283"/>
      <c r="H92" s="283"/>
      <c r="I92" s="283"/>
      <c r="J92" s="283"/>
      <c r="K92" s="283"/>
      <c r="L92" s="283"/>
      <c r="M92" s="283"/>
      <c r="N92" s="283"/>
      <c r="O92" s="327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2"/>
      <c r="AA92" s="2"/>
    </row>
    <row r="93" spans="1:28" ht="15.75" customHeight="1">
      <c r="A93" s="237">
        <v>20</v>
      </c>
      <c r="B93" s="178" t="s">
        <v>220</v>
      </c>
      <c r="C93" s="195">
        <v>0.1</v>
      </c>
      <c r="D93" s="195">
        <v>0.24556039520355999</v>
      </c>
      <c r="E93" s="195">
        <v>0.61781862824222999</v>
      </c>
      <c r="F93" s="195">
        <v>1.55440468444548</v>
      </c>
      <c r="G93" s="195">
        <v>3.91081429496607</v>
      </c>
      <c r="H93" s="195">
        <v>9.8394379550954696</v>
      </c>
      <c r="I93" s="195">
        <v>25.057939345604101</v>
      </c>
      <c r="J93" s="195">
        <v>98.793231355898996</v>
      </c>
      <c r="K93" s="196"/>
      <c r="L93" s="194"/>
      <c r="M93" s="194"/>
      <c r="N93" s="194"/>
      <c r="O93" s="196"/>
      <c r="P93" s="196"/>
      <c r="Q93" s="194"/>
      <c r="R93" s="194"/>
      <c r="S93" s="194"/>
      <c r="T93" s="196"/>
      <c r="U93" s="196"/>
      <c r="V93" s="194"/>
      <c r="W93" s="194"/>
      <c r="X93" s="194"/>
      <c r="Y93" s="196"/>
      <c r="Z93" s="194"/>
      <c r="AA93" s="197"/>
      <c r="AB93" s="2"/>
    </row>
    <row r="94" spans="1:28" ht="15.75" customHeight="1">
      <c r="A94" s="205">
        <v>20</v>
      </c>
      <c r="B94" s="179" t="s">
        <v>221</v>
      </c>
      <c r="C94" s="19">
        <v>0.1</v>
      </c>
      <c r="D94" s="19">
        <v>0.156703667858656</v>
      </c>
      <c r="E94" s="19">
        <v>0.99193892886254598</v>
      </c>
      <c r="F94" s="19">
        <v>2.4655603947361699</v>
      </c>
      <c r="G94" s="19">
        <v>6.2790032424797699</v>
      </c>
      <c r="H94" s="19">
        <v>15.7976979126181</v>
      </c>
      <c r="I94" s="19">
        <v>61.5323748869342</v>
      </c>
      <c r="J94" s="19">
        <v>96.423582143358601</v>
      </c>
      <c r="K94" s="22"/>
      <c r="L94" s="20"/>
      <c r="M94" s="20"/>
      <c r="N94" s="20"/>
      <c r="O94" s="22"/>
      <c r="P94" s="22"/>
      <c r="Q94" s="20"/>
      <c r="R94" s="20"/>
      <c r="S94" s="20"/>
      <c r="T94" s="22"/>
      <c r="U94" s="22"/>
      <c r="V94" s="20"/>
      <c r="W94" s="20"/>
      <c r="X94" s="20"/>
      <c r="Y94" s="22"/>
      <c r="Z94" s="20"/>
      <c r="AA94" s="198"/>
      <c r="AB94" s="2"/>
    </row>
    <row r="95" spans="1:28" ht="15.75" customHeight="1">
      <c r="A95" s="205">
        <v>20</v>
      </c>
      <c r="B95" s="179" t="s">
        <v>222</v>
      </c>
      <c r="C95" s="19">
        <v>9.7601215457868901E-2</v>
      </c>
      <c r="D95" s="19">
        <v>0.31304479344083602</v>
      </c>
      <c r="E95" s="19">
        <v>0.74122016431039695</v>
      </c>
      <c r="F95" s="19">
        <v>3.1431405860308699</v>
      </c>
      <c r="G95" s="19">
        <v>7.4422622455649998</v>
      </c>
      <c r="H95" s="19">
        <v>23.2975918162848</v>
      </c>
      <c r="I95" s="19">
        <v>41.220536589744803</v>
      </c>
      <c r="J95" s="19">
        <v>97.601200000000006</v>
      </c>
      <c r="K95" s="22"/>
      <c r="L95" s="20"/>
      <c r="M95" s="20"/>
      <c r="N95" s="20"/>
      <c r="O95" s="22"/>
      <c r="P95" s="22"/>
      <c r="Q95" s="20"/>
      <c r="R95" s="20"/>
      <c r="S95" s="20"/>
      <c r="T95" s="22"/>
      <c r="U95" s="22"/>
      <c r="V95" s="20"/>
      <c r="W95" s="20"/>
      <c r="X95" s="20"/>
      <c r="Y95" s="22"/>
      <c r="Z95" s="20"/>
      <c r="AA95" s="198"/>
      <c r="AB95" s="2"/>
    </row>
    <row r="96" spans="1:28" ht="15.75" customHeight="1">
      <c r="A96" s="205">
        <v>20</v>
      </c>
      <c r="B96" s="179" t="s">
        <v>223</v>
      </c>
      <c r="C96" s="19">
        <v>0.1</v>
      </c>
      <c r="D96" s="19">
        <v>0.156703667858656</v>
      </c>
      <c r="E96" s="19">
        <v>0.99193892886254598</v>
      </c>
      <c r="F96" s="19">
        <v>2.4655603947361699</v>
      </c>
      <c r="G96" s="19">
        <v>6.2790032424797699</v>
      </c>
      <c r="H96" s="19">
        <v>15.7976979126181</v>
      </c>
      <c r="I96" s="19">
        <v>61.5323748869342</v>
      </c>
      <c r="J96" s="19">
        <v>96.423582143358601</v>
      </c>
      <c r="K96" s="22"/>
      <c r="L96" s="20"/>
      <c r="M96" s="20"/>
      <c r="N96" s="20"/>
      <c r="O96" s="22"/>
      <c r="P96" s="22"/>
      <c r="Q96" s="20"/>
      <c r="R96" s="20"/>
      <c r="S96" s="20"/>
      <c r="T96" s="22"/>
      <c r="U96" s="22"/>
      <c r="V96" s="20"/>
      <c r="W96" s="20"/>
      <c r="X96" s="20"/>
      <c r="Y96" s="22"/>
      <c r="Z96" s="20"/>
      <c r="AA96" s="198"/>
      <c r="AB96" s="2"/>
    </row>
    <row r="97" spans="1:28" ht="15.75" customHeight="1">
      <c r="A97" s="205">
        <v>20</v>
      </c>
      <c r="B97" s="179" t="s">
        <v>224</v>
      </c>
      <c r="C97" s="19">
        <v>9.7269999999999995E-2</v>
      </c>
      <c r="D97" s="19">
        <v>0.12937526846038699</v>
      </c>
      <c r="E97" s="19">
        <v>0.173652329579458</v>
      </c>
      <c r="F97" s="19">
        <v>0.23094865758781999</v>
      </c>
      <c r="G97" s="19">
        <v>0.30714982385082601</v>
      </c>
      <c r="H97" s="19">
        <v>0.40849345164831602</v>
      </c>
      <c r="I97" s="19">
        <v>0.548295552485765</v>
      </c>
      <c r="J97" s="19">
        <v>0.72920485498018195</v>
      </c>
      <c r="K97" s="19">
        <v>0.97876667844574705</v>
      </c>
      <c r="L97" s="19">
        <v>1.3137381139100499</v>
      </c>
      <c r="M97" s="19">
        <v>1.7153572610085099</v>
      </c>
      <c r="N97" s="19">
        <v>2.3024152903961701</v>
      </c>
      <c r="O97" s="19">
        <v>3.0903899648954098</v>
      </c>
      <c r="P97" s="19">
        <v>4.1100595399089501</v>
      </c>
      <c r="Q97" s="19">
        <v>5.4661744801146597</v>
      </c>
      <c r="R97" s="19">
        <v>7.3368994255983502</v>
      </c>
      <c r="S97" s="19">
        <v>9.7577108102580095</v>
      </c>
      <c r="T97" s="19">
        <v>12.8584309009932</v>
      </c>
      <c r="U97" s="19">
        <v>17.418565873262899</v>
      </c>
      <c r="V97" s="19">
        <v>23.1657957902279</v>
      </c>
      <c r="W97" s="19">
        <v>31.094018154569302</v>
      </c>
      <c r="X97" s="19">
        <v>40.974855341396101</v>
      </c>
      <c r="Y97" s="19">
        <v>54.997950342038699</v>
      </c>
      <c r="Z97" s="19">
        <v>73.144534695700401</v>
      </c>
      <c r="AA97" s="185">
        <v>97.278342309736303</v>
      </c>
      <c r="AB97" s="2"/>
    </row>
    <row r="98" spans="1:28" ht="15.75" customHeight="1">
      <c r="A98" s="205">
        <v>20</v>
      </c>
      <c r="B98" s="179" t="s">
        <v>225</v>
      </c>
      <c r="C98" s="46">
        <v>9.7278342309736504E-2</v>
      </c>
      <c r="D98" s="46">
        <v>0.152670593281933</v>
      </c>
      <c r="E98" s="46">
        <v>0.24630781387886</v>
      </c>
      <c r="F98" s="46">
        <v>0.38656020890200798</v>
      </c>
      <c r="G98" s="46">
        <v>0.60667500861282597</v>
      </c>
      <c r="H98" s="46">
        <v>0.96980491290866999</v>
      </c>
      <c r="I98" s="46">
        <v>1.5360952043218301</v>
      </c>
      <c r="J98" s="46">
        <v>2.4330547776496401</v>
      </c>
      <c r="K98" s="46">
        <v>3.8184828500034702</v>
      </c>
      <c r="L98" s="46">
        <v>6.16047485592411</v>
      </c>
      <c r="M98" s="46">
        <v>9.6683674372296302</v>
      </c>
      <c r="N98" s="46">
        <v>15.455431961653</v>
      </c>
      <c r="O98" s="46">
        <v>24.480196584911901</v>
      </c>
      <c r="P98" s="46">
        <v>38.774767558228397</v>
      </c>
      <c r="Q98" s="46">
        <v>60.853787292089301</v>
      </c>
      <c r="R98" s="46">
        <v>99.084506991156204</v>
      </c>
      <c r="S98" s="20"/>
      <c r="T98" s="20"/>
      <c r="U98" s="20"/>
      <c r="V98" s="20"/>
      <c r="W98" s="20"/>
      <c r="X98" s="20"/>
      <c r="Y98" s="20"/>
      <c r="Z98" s="20"/>
      <c r="AA98" s="198"/>
      <c r="AB98" s="2"/>
    </row>
    <row r="99" spans="1:28" ht="15.75" customHeight="1">
      <c r="A99" s="205">
        <v>20</v>
      </c>
      <c r="B99" s="179" t="s">
        <v>226</v>
      </c>
      <c r="C99" s="19">
        <v>9.6387644133333797E-2</v>
      </c>
      <c r="D99" s="19">
        <v>0.12937526846038699</v>
      </c>
      <c r="E99" s="19">
        <v>0.17048701095409499</v>
      </c>
      <c r="F99" s="19">
        <v>0.233082658897869</v>
      </c>
      <c r="G99" s="19">
        <v>0.31285246977541098</v>
      </c>
      <c r="H99" s="19">
        <v>0.41226825469207901</v>
      </c>
      <c r="I99" s="19">
        <v>0.54327560191187296</v>
      </c>
      <c r="J99" s="19">
        <v>0.74274398427981103</v>
      </c>
      <c r="K99" s="19">
        <v>1.2546869171799599</v>
      </c>
      <c r="L99" s="19">
        <v>1.69965113826852</v>
      </c>
      <c r="M99" s="19">
        <v>2.2813368393780502</v>
      </c>
      <c r="N99" s="19">
        <v>3.0340605382948298</v>
      </c>
      <c r="O99" s="19">
        <v>4.0724322321617796</v>
      </c>
      <c r="P99" s="19">
        <v>5.3665341671306797</v>
      </c>
      <c r="Q99" s="19">
        <v>7.4046981875412303</v>
      </c>
      <c r="R99" s="19">
        <v>9.6683674372296302</v>
      </c>
      <c r="S99" s="19">
        <v>12.8584309009932</v>
      </c>
      <c r="T99" s="19">
        <v>17.259078319399499</v>
      </c>
      <c r="U99" s="19">
        <v>22.7435174397183</v>
      </c>
      <c r="V99" s="19">
        <v>30.809315674965799</v>
      </c>
      <c r="W99" s="19">
        <v>40.974855341396101</v>
      </c>
      <c r="X99" s="19">
        <v>54.494379116291803</v>
      </c>
      <c r="Y99" s="19">
        <v>72.474718499129906</v>
      </c>
      <c r="Z99" s="19">
        <v>98.177271242773799</v>
      </c>
      <c r="AA99" s="198"/>
      <c r="AB99" s="2"/>
    </row>
    <row r="100" spans="1:28" ht="15.75" customHeight="1">
      <c r="A100" s="205">
        <v>20</v>
      </c>
      <c r="B100" s="179" t="s">
        <v>227</v>
      </c>
      <c r="C100" s="19">
        <v>9.7841180949089002E-2</v>
      </c>
      <c r="D100" s="19">
        <v>0.15335214006051601</v>
      </c>
      <c r="E100" s="19">
        <v>0.24417799921022301</v>
      </c>
      <c r="F100" s="19">
        <v>0.376726958756473</v>
      </c>
      <c r="G100" s="19">
        <v>0.60459855965556197</v>
      </c>
      <c r="H100" s="19">
        <v>1.5328500236423499</v>
      </c>
      <c r="I100" s="19">
        <v>2.4600281315711201</v>
      </c>
      <c r="J100" s="19">
        <v>3.8862633022462498</v>
      </c>
      <c r="K100" s="19">
        <v>6.1879762345611997</v>
      </c>
      <c r="L100" s="19">
        <v>9.5470474308631808</v>
      </c>
      <c r="M100" s="19">
        <v>15.565309093814699</v>
      </c>
      <c r="N100" s="19">
        <v>24.589511291799301</v>
      </c>
      <c r="O100" s="19">
        <v>38.540587150162999</v>
      </c>
      <c r="P100" s="19">
        <v>60.885023047701402</v>
      </c>
      <c r="Q100" s="19">
        <v>97.712732345747497</v>
      </c>
      <c r="R100" s="20"/>
      <c r="S100" s="20"/>
      <c r="T100" s="20"/>
      <c r="U100" s="20"/>
      <c r="V100" s="20"/>
      <c r="W100" s="20"/>
      <c r="X100" s="20"/>
      <c r="Y100" s="20"/>
      <c r="Z100" s="20"/>
      <c r="AA100" s="198"/>
      <c r="AB100" s="2"/>
    </row>
    <row r="101" spans="1:28" ht="15.75" customHeight="1">
      <c r="A101" s="205">
        <v>20</v>
      </c>
      <c r="B101" s="179" t="s">
        <v>230</v>
      </c>
      <c r="C101" s="19">
        <v>0.101775190930399</v>
      </c>
      <c r="D101" s="19">
        <v>0.13517797972835599</v>
      </c>
      <c r="E101" s="19">
        <v>0.23847043918164099</v>
      </c>
      <c r="F101" s="19">
        <v>0.31673683830819799</v>
      </c>
      <c r="G101" s="19">
        <v>0.55876205121047695</v>
      </c>
      <c r="H101" s="19">
        <v>1.0013905511180601</v>
      </c>
      <c r="I101" s="19">
        <v>1.31960369156694</v>
      </c>
      <c r="J101" s="19">
        <v>1.76657392109554</v>
      </c>
      <c r="K101" s="19">
        <v>3.16598170653198</v>
      </c>
      <c r="L101" s="19">
        <v>5.6293819976902002</v>
      </c>
      <c r="M101" s="19">
        <v>9.8529221778055902</v>
      </c>
      <c r="N101" s="19">
        <v>17.381756138725201</v>
      </c>
      <c r="O101" s="19">
        <v>23.2692411268632</v>
      </c>
      <c r="P101" s="19">
        <v>31.150874189559602</v>
      </c>
      <c r="Q101" s="19">
        <v>41.049778685089798</v>
      </c>
      <c r="R101" s="19">
        <v>73.567645632033305</v>
      </c>
      <c r="S101" s="19">
        <v>97.712732345747497</v>
      </c>
      <c r="T101" s="20"/>
      <c r="U101" s="20"/>
      <c r="V101" s="20"/>
      <c r="W101" s="20"/>
      <c r="X101" s="20"/>
      <c r="Y101" s="20"/>
      <c r="Z101" s="20"/>
      <c r="AA101" s="198"/>
      <c r="AB101" s="2"/>
    </row>
    <row r="102" spans="1:28" ht="15.75" customHeight="1">
      <c r="A102" s="205">
        <v>20</v>
      </c>
      <c r="B102" s="179" t="s">
        <v>231</v>
      </c>
      <c r="C102" s="19">
        <v>0.101775190930399</v>
      </c>
      <c r="D102" s="19">
        <v>0.157022574843277</v>
      </c>
      <c r="E102" s="19">
        <v>0.25200097953550099</v>
      </c>
      <c r="F102" s="19">
        <v>0.63388586387008095</v>
      </c>
      <c r="G102" s="19">
        <v>1.5819615060449701</v>
      </c>
      <c r="H102" s="19">
        <v>3.9480328387967001</v>
      </c>
      <c r="I102" s="19">
        <v>9.8529221778055902</v>
      </c>
      <c r="J102" s="19">
        <v>24.589511291799301</v>
      </c>
      <c r="K102" s="19">
        <v>60.885023047701402</v>
      </c>
      <c r="L102" s="19">
        <v>99.265684996793198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198"/>
      <c r="AB102" s="2"/>
    </row>
    <row r="103" spans="1:28" ht="15.75" customHeight="1">
      <c r="A103" s="205">
        <v>20</v>
      </c>
      <c r="B103" s="179" t="s">
        <v>232</v>
      </c>
      <c r="C103" s="19">
        <v>0.101775190930399</v>
      </c>
      <c r="D103" s="19">
        <v>0.17813365711203899</v>
      </c>
      <c r="E103" s="19">
        <v>0.31673683830819799</v>
      </c>
      <c r="F103" s="19">
        <v>0.73053868205783301</v>
      </c>
      <c r="G103" s="19">
        <v>1.31960369156694</v>
      </c>
      <c r="H103" s="19">
        <v>3.16598170653198</v>
      </c>
      <c r="I103" s="19">
        <v>5.4978009874522797</v>
      </c>
      <c r="J103" s="19">
        <v>9.7755529799156999</v>
      </c>
      <c r="K103" s="19">
        <v>17.519347215572001</v>
      </c>
      <c r="L103" s="19">
        <v>41.374669610129899</v>
      </c>
      <c r="M103" s="19">
        <v>100.051329189195</v>
      </c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198"/>
      <c r="AB103" s="2"/>
    </row>
    <row r="104" spans="1:28" ht="15.75" customHeight="1">
      <c r="A104" s="205">
        <v>20</v>
      </c>
      <c r="B104" s="179" t="s">
        <v>233</v>
      </c>
      <c r="C104" s="19">
        <v>0.159518141367955</v>
      </c>
      <c r="D104" s="19">
        <v>0.25200097953550099</v>
      </c>
      <c r="E104" s="19">
        <v>0.39810226755753703</v>
      </c>
      <c r="F104" s="19">
        <v>0.62890793411430201</v>
      </c>
      <c r="G104" s="19">
        <v>1.0013905511180601</v>
      </c>
      <c r="H104" s="19">
        <v>1.5572116748900799</v>
      </c>
      <c r="I104" s="19">
        <v>3.91702631309502</v>
      </c>
      <c r="J104" s="19">
        <v>9.93091626319673</v>
      </c>
      <c r="K104" s="19">
        <v>15.6885016622526</v>
      </c>
      <c r="L104" s="19">
        <v>39.153163813527897</v>
      </c>
      <c r="M104" s="19">
        <v>61.852671333457401</v>
      </c>
      <c r="N104" s="19">
        <v>98.486210005760199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198"/>
      <c r="AB104" s="2"/>
    </row>
    <row r="105" spans="1:28" ht="15.75" customHeight="1">
      <c r="A105" s="200">
        <v>20</v>
      </c>
      <c r="B105" s="59" t="s">
        <v>234</v>
      </c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08"/>
      <c r="AB105" s="2"/>
    </row>
    <row r="106" spans="1:28" ht="15.75" customHeight="1">
      <c r="A106" s="200">
        <v>20</v>
      </c>
      <c r="B106" s="59" t="s">
        <v>235</v>
      </c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08"/>
      <c r="AB106" s="2"/>
    </row>
    <row r="107" spans="1:28" ht="15.75" customHeight="1">
      <c r="A107" s="200">
        <v>20</v>
      </c>
      <c r="B107" s="59" t="s">
        <v>236</v>
      </c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08"/>
      <c r="AB107" s="2"/>
    </row>
    <row r="108" spans="1:28" ht="15.75" customHeight="1">
      <c r="A108" s="200">
        <v>20</v>
      </c>
      <c r="B108" s="59" t="s">
        <v>237</v>
      </c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08"/>
      <c r="AB108" s="2"/>
    </row>
    <row r="109" spans="1:28" ht="15.75" customHeight="1">
      <c r="A109" s="200">
        <v>20</v>
      </c>
      <c r="B109" s="59" t="s">
        <v>238</v>
      </c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08"/>
      <c r="AB109" s="2"/>
    </row>
    <row r="110" spans="1:28" ht="15.75" customHeight="1">
      <c r="A110" s="200">
        <v>20</v>
      </c>
      <c r="B110" s="59" t="s">
        <v>239</v>
      </c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08"/>
      <c r="AB110" s="2"/>
    </row>
    <row r="111" spans="1:28" ht="15.75" customHeight="1">
      <c r="A111" s="200">
        <v>20</v>
      </c>
      <c r="B111" s="59" t="s">
        <v>240</v>
      </c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08"/>
      <c r="AB111" s="2"/>
    </row>
    <row r="112" spans="1:28" ht="15.75" customHeight="1">
      <c r="A112" s="202">
        <v>20</v>
      </c>
      <c r="B112" s="203" t="s">
        <v>241</v>
      </c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209"/>
      <c r="AB112" s="2"/>
    </row>
    <row r="113" spans="1:27" ht="15.75" customHeight="1">
      <c r="A113" s="205">
        <v>21</v>
      </c>
      <c r="B113" s="59" t="s">
        <v>220</v>
      </c>
      <c r="C113" s="2"/>
      <c r="D113" s="2"/>
      <c r="E113" s="75"/>
      <c r="F113" s="7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05">
        <v>21</v>
      </c>
      <c r="B114" s="59" t="s">
        <v>221</v>
      </c>
      <c r="E114" s="75"/>
      <c r="F114" s="75"/>
    </row>
    <row r="115" spans="1:27" ht="15.75" customHeight="1">
      <c r="A115" s="205">
        <v>21</v>
      </c>
      <c r="B115" s="59" t="s">
        <v>222</v>
      </c>
      <c r="E115" s="75"/>
      <c r="F115" s="75"/>
    </row>
    <row r="116" spans="1:27" ht="15.75" customHeight="1">
      <c r="A116" s="205">
        <v>21</v>
      </c>
      <c r="B116" s="59" t="s">
        <v>223</v>
      </c>
      <c r="E116" s="75"/>
      <c r="F116" s="75"/>
    </row>
    <row r="117" spans="1:27" ht="15.75" customHeight="1">
      <c r="A117" s="205">
        <v>21</v>
      </c>
      <c r="B117" s="59" t="s">
        <v>228</v>
      </c>
      <c r="E117" s="75"/>
      <c r="F117" s="75"/>
    </row>
    <row r="118" spans="1:27" ht="15.75" customHeight="1">
      <c r="A118" s="205">
        <v>21</v>
      </c>
      <c r="B118" s="59" t="s">
        <v>242</v>
      </c>
      <c r="E118" s="75"/>
      <c r="F118" s="75"/>
    </row>
    <row r="119" spans="1:27" ht="15.75" customHeight="1">
      <c r="A119" s="205">
        <v>21</v>
      </c>
      <c r="B119" s="59" t="s">
        <v>243</v>
      </c>
      <c r="C119" s="2"/>
      <c r="E119" s="75"/>
      <c r="F119" s="75"/>
    </row>
    <row r="120" spans="1:27" ht="15.75" customHeight="1">
      <c r="A120" s="205">
        <v>21</v>
      </c>
      <c r="B120" s="59" t="s">
        <v>244</v>
      </c>
      <c r="C120" s="2"/>
      <c r="D120" s="2"/>
      <c r="E120" s="75"/>
      <c r="F120" s="75"/>
    </row>
    <row r="121" spans="1:27" ht="15.75" customHeight="1">
      <c r="A121" s="200">
        <v>21</v>
      </c>
      <c r="B121" s="59" t="s">
        <v>224</v>
      </c>
      <c r="C121" s="2">
        <v>0.98</v>
      </c>
      <c r="D121" s="8">
        <v>1.32</v>
      </c>
      <c r="E121" s="8">
        <v>1.79</v>
      </c>
      <c r="F121" s="8">
        <v>2.44</v>
      </c>
      <c r="G121" s="8">
        <v>3.32</v>
      </c>
      <c r="H121" s="8">
        <v>4.42</v>
      </c>
      <c r="I121" s="8">
        <v>6.27</v>
      </c>
      <c r="J121" s="8">
        <v>8.36</v>
      </c>
      <c r="K121" s="8">
        <v>11.49</v>
      </c>
      <c r="L121" s="8">
        <v>15.31</v>
      </c>
      <c r="M121" s="8">
        <v>21.25</v>
      </c>
      <c r="N121" s="8">
        <v>28.32</v>
      </c>
      <c r="O121" s="8">
        <v>38.130000000000003</v>
      </c>
      <c r="P121" s="8">
        <v>52.41</v>
      </c>
      <c r="Q121" s="8">
        <v>70.56</v>
      </c>
      <c r="R121" s="8">
        <v>95</v>
      </c>
      <c r="S121" s="8">
        <v>130.56</v>
      </c>
      <c r="T121" s="8">
        <v>181.28</v>
      </c>
      <c r="U121" s="8">
        <v>249</v>
      </c>
    </row>
    <row r="122" spans="1:27" ht="15.75" customHeight="1">
      <c r="A122" s="200">
        <v>21</v>
      </c>
      <c r="B122" s="59" t="s">
        <v>225</v>
      </c>
      <c r="C122" s="8">
        <v>0.98</v>
      </c>
      <c r="D122" s="8">
        <v>1.32</v>
      </c>
      <c r="E122" s="8">
        <v>1.79</v>
      </c>
      <c r="F122" s="8">
        <v>2.44</v>
      </c>
      <c r="G122" s="8">
        <v>3.32</v>
      </c>
      <c r="H122" s="8">
        <v>4.42</v>
      </c>
      <c r="I122" s="8">
        <v>6.27</v>
      </c>
      <c r="J122" s="8">
        <v>8.36</v>
      </c>
      <c r="K122" s="8">
        <v>11.49</v>
      </c>
      <c r="L122" s="8">
        <v>15.31</v>
      </c>
      <c r="M122" s="8">
        <v>21.25</v>
      </c>
      <c r="N122" s="8">
        <v>28.32</v>
      </c>
      <c r="O122" s="8">
        <v>38.130000000000003</v>
      </c>
      <c r="P122" s="8">
        <v>52.41</v>
      </c>
      <c r="Q122" s="8">
        <v>70.56</v>
      </c>
      <c r="R122" s="8">
        <v>95</v>
      </c>
      <c r="S122" s="8">
        <v>130.56</v>
      </c>
      <c r="T122" s="8">
        <v>181.28</v>
      </c>
      <c r="U122" s="8">
        <v>249</v>
      </c>
    </row>
    <row r="123" spans="1:27" ht="15.75" customHeight="1">
      <c r="A123" s="200">
        <v>21</v>
      </c>
      <c r="B123" s="59" t="s">
        <v>226</v>
      </c>
      <c r="C123" s="8">
        <v>0.98</v>
      </c>
      <c r="D123" s="8">
        <v>1.32</v>
      </c>
      <c r="E123" s="8">
        <v>1.79</v>
      </c>
      <c r="F123" s="8">
        <v>2.44</v>
      </c>
      <c r="G123" s="8">
        <v>3.32</v>
      </c>
      <c r="H123" s="8">
        <v>4.42</v>
      </c>
      <c r="I123" s="8">
        <v>6.27</v>
      </c>
      <c r="J123" s="8">
        <v>8.36</v>
      </c>
      <c r="K123" s="8">
        <v>11.49</v>
      </c>
      <c r="L123" s="8">
        <v>15.31</v>
      </c>
      <c r="M123" s="8">
        <v>21.25</v>
      </c>
      <c r="N123" s="8">
        <v>28.32</v>
      </c>
      <c r="O123" s="8">
        <v>38.130000000000003</v>
      </c>
      <c r="P123" s="8">
        <v>52.41</v>
      </c>
      <c r="Q123" s="8">
        <v>70.56</v>
      </c>
      <c r="R123" s="8">
        <v>95</v>
      </c>
      <c r="S123" s="8">
        <v>130.56</v>
      </c>
      <c r="T123" s="8">
        <v>181.28</v>
      </c>
      <c r="U123" s="8">
        <v>249</v>
      </c>
    </row>
    <row r="124" spans="1:27" ht="15.75" customHeight="1">
      <c r="A124" s="200">
        <v>21</v>
      </c>
      <c r="B124" s="59" t="s">
        <v>227</v>
      </c>
      <c r="C124" s="8">
        <v>0.98</v>
      </c>
      <c r="D124" s="8">
        <v>1.32</v>
      </c>
      <c r="E124" s="8">
        <v>1.79</v>
      </c>
      <c r="F124" s="8">
        <v>2.44</v>
      </c>
      <c r="G124" s="8">
        <v>3.32</v>
      </c>
      <c r="H124" s="8">
        <v>4.42</v>
      </c>
      <c r="I124" s="8">
        <v>6.27</v>
      </c>
      <c r="J124" s="8">
        <v>8.36</v>
      </c>
      <c r="K124" s="8">
        <v>11.49</v>
      </c>
      <c r="L124" s="8">
        <v>15.31</v>
      </c>
      <c r="M124" s="8">
        <v>21.25</v>
      </c>
      <c r="N124" s="8">
        <v>28.32</v>
      </c>
      <c r="O124" s="8">
        <v>38.130000000000003</v>
      </c>
      <c r="P124" s="8">
        <v>52.41</v>
      </c>
      <c r="Q124" s="8">
        <v>70.56</v>
      </c>
      <c r="R124" s="8">
        <v>95</v>
      </c>
      <c r="S124" s="8">
        <v>130.56</v>
      </c>
      <c r="T124" s="8">
        <v>181.28</v>
      </c>
      <c r="U124" s="8">
        <v>249</v>
      </c>
    </row>
    <row r="125" spans="1:27" ht="15.75" customHeight="1">
      <c r="A125" s="200">
        <v>21</v>
      </c>
      <c r="B125" s="59" t="s">
        <v>229</v>
      </c>
      <c r="C125" s="8">
        <v>0.98</v>
      </c>
      <c r="D125" s="8">
        <v>1.32</v>
      </c>
      <c r="E125" s="8">
        <v>1.79</v>
      </c>
      <c r="F125" s="8">
        <v>2.44</v>
      </c>
      <c r="G125" s="8">
        <v>3.32</v>
      </c>
      <c r="H125" s="8">
        <v>4.42</v>
      </c>
      <c r="I125" s="8">
        <v>6.27</v>
      </c>
      <c r="J125" s="8">
        <v>8.36</v>
      </c>
      <c r="K125" s="8">
        <v>11.49</v>
      </c>
      <c r="L125" s="8">
        <v>15.31</v>
      </c>
      <c r="M125" s="8">
        <v>21.25</v>
      </c>
      <c r="N125" s="8">
        <v>28.32</v>
      </c>
      <c r="O125" s="8">
        <v>38.130000000000003</v>
      </c>
      <c r="P125" s="8">
        <v>52.41</v>
      </c>
      <c r="Q125" s="8">
        <v>70.56</v>
      </c>
      <c r="R125" s="8">
        <v>95</v>
      </c>
      <c r="S125" s="8">
        <v>130.56</v>
      </c>
      <c r="T125" s="8">
        <v>181.28</v>
      </c>
      <c r="U125" s="8">
        <v>249</v>
      </c>
    </row>
    <row r="126" spans="1:27" ht="15.75" customHeight="1">
      <c r="A126" s="200">
        <v>21</v>
      </c>
      <c r="B126" s="59" t="s">
        <v>245</v>
      </c>
      <c r="C126" s="8">
        <v>0.98</v>
      </c>
      <c r="D126" s="8">
        <v>1.32</v>
      </c>
      <c r="E126" s="8">
        <v>1.79</v>
      </c>
      <c r="F126" s="8">
        <v>2.44</v>
      </c>
      <c r="G126" s="8">
        <v>3.32</v>
      </c>
      <c r="H126" s="8">
        <v>4.42</v>
      </c>
      <c r="I126" s="8">
        <v>6.27</v>
      </c>
      <c r="J126" s="8">
        <v>8.36</v>
      </c>
      <c r="K126" s="8">
        <v>11.49</v>
      </c>
      <c r="L126" s="8">
        <v>15.31</v>
      </c>
      <c r="M126" s="8">
        <v>21.25</v>
      </c>
      <c r="N126" s="8">
        <v>28.32</v>
      </c>
      <c r="O126" s="8">
        <v>38.130000000000003</v>
      </c>
      <c r="P126" s="8">
        <v>52.41</v>
      </c>
      <c r="Q126" s="8">
        <v>70.56</v>
      </c>
      <c r="R126" s="8">
        <v>95</v>
      </c>
      <c r="S126" s="8">
        <v>130.56</v>
      </c>
      <c r="T126" s="8">
        <v>181.28</v>
      </c>
      <c r="U126" s="8">
        <v>249</v>
      </c>
    </row>
    <row r="127" spans="1:27" ht="15.75" customHeight="1">
      <c r="A127" s="200">
        <v>21</v>
      </c>
      <c r="B127" s="59" t="s">
        <v>246</v>
      </c>
      <c r="C127" s="8">
        <v>0.98</v>
      </c>
      <c r="D127" s="8">
        <v>1.32</v>
      </c>
      <c r="E127" s="8">
        <v>1.79</v>
      </c>
      <c r="F127" s="8">
        <v>2.44</v>
      </c>
      <c r="G127" s="8">
        <v>3.32</v>
      </c>
      <c r="H127" s="8">
        <v>4.42</v>
      </c>
      <c r="I127" s="8">
        <v>6.27</v>
      </c>
      <c r="J127" s="8">
        <v>8.36</v>
      </c>
      <c r="K127" s="8">
        <v>11.49</v>
      </c>
      <c r="L127" s="8">
        <v>15.31</v>
      </c>
      <c r="M127" s="8">
        <v>21.25</v>
      </c>
      <c r="N127" s="8">
        <v>28.32</v>
      </c>
      <c r="O127" s="8">
        <v>38.130000000000003</v>
      </c>
      <c r="P127" s="8">
        <v>52.41</v>
      </c>
      <c r="Q127" s="8">
        <v>70.56</v>
      </c>
      <c r="R127" s="8">
        <v>95</v>
      </c>
      <c r="S127" s="8">
        <v>130.56</v>
      </c>
      <c r="T127" s="8">
        <v>181.28</v>
      </c>
      <c r="U127" s="8">
        <v>249</v>
      </c>
    </row>
    <row r="128" spans="1:27" ht="15.75" customHeight="1">
      <c r="A128" s="200">
        <v>21</v>
      </c>
      <c r="B128" s="59" t="s">
        <v>247</v>
      </c>
      <c r="C128" s="2">
        <v>0.98</v>
      </c>
      <c r="D128" s="2">
        <v>1.32</v>
      </c>
      <c r="E128" s="2">
        <v>1.79</v>
      </c>
      <c r="F128" s="2">
        <v>2.44</v>
      </c>
      <c r="G128" s="2">
        <v>3.32</v>
      </c>
      <c r="H128" s="2">
        <v>4.42</v>
      </c>
      <c r="I128" s="2">
        <v>6.27</v>
      </c>
      <c r="J128" s="2">
        <v>8.36</v>
      </c>
      <c r="K128" s="2">
        <v>11.49</v>
      </c>
      <c r="L128" s="2">
        <v>15.31</v>
      </c>
      <c r="M128" s="2">
        <v>21.25</v>
      </c>
      <c r="N128" s="2">
        <v>28.32</v>
      </c>
      <c r="O128" s="2">
        <v>38.130000000000003</v>
      </c>
      <c r="P128" s="2">
        <v>52.41</v>
      </c>
      <c r="Q128" s="2">
        <v>70.56</v>
      </c>
      <c r="R128" s="2">
        <v>95</v>
      </c>
      <c r="S128" s="2">
        <v>130.56</v>
      </c>
      <c r="T128" s="2">
        <v>181.28</v>
      </c>
      <c r="U128" s="2">
        <v>249</v>
      </c>
      <c r="V128" s="2"/>
    </row>
    <row r="129" spans="1:37" ht="15.75" customHeight="1">
      <c r="A129" s="201">
        <v>22</v>
      </c>
      <c r="B129" s="58">
        <v>1</v>
      </c>
      <c r="C129" s="206">
        <v>0.1</v>
      </c>
      <c r="D129" s="206">
        <v>0.14000000000000001</v>
      </c>
      <c r="E129" s="206">
        <v>0.21</v>
      </c>
      <c r="F129" s="206">
        <v>0.3</v>
      </c>
      <c r="G129" s="206">
        <v>0.45</v>
      </c>
      <c r="H129" s="206">
        <v>0.61</v>
      </c>
      <c r="I129" s="206">
        <v>0.87</v>
      </c>
      <c r="J129" s="206">
        <v>1.29</v>
      </c>
      <c r="K129" s="206">
        <v>1.85</v>
      </c>
      <c r="L129" s="206">
        <v>2.62</v>
      </c>
      <c r="M129" s="206">
        <v>3.78</v>
      </c>
      <c r="N129" s="206">
        <v>5.28</v>
      </c>
      <c r="O129" s="206">
        <v>7.7</v>
      </c>
      <c r="P129" s="206">
        <v>11.1</v>
      </c>
      <c r="Q129" s="206">
        <v>16.18</v>
      </c>
      <c r="R129" s="206">
        <v>22.86</v>
      </c>
      <c r="S129" s="206">
        <v>34.75</v>
      </c>
      <c r="T129" s="206">
        <v>49.6</v>
      </c>
      <c r="U129" s="206">
        <v>70.790000000000006</v>
      </c>
      <c r="V129" s="207">
        <v>98.96</v>
      </c>
      <c r="W129" s="2"/>
    </row>
    <row r="130" spans="1:37" ht="15.75" customHeight="1">
      <c r="A130" s="200">
        <v>22</v>
      </c>
      <c r="B130" s="59">
        <v>2</v>
      </c>
      <c r="C130" s="2">
        <v>0.1</v>
      </c>
      <c r="D130" s="2">
        <v>0.14000000000000001</v>
      </c>
      <c r="E130" s="2">
        <v>0.21</v>
      </c>
      <c r="F130" s="2">
        <v>0.3</v>
      </c>
      <c r="G130" s="2">
        <v>0.45</v>
      </c>
      <c r="H130" s="2">
        <v>0.61</v>
      </c>
      <c r="I130" s="2">
        <v>0.87</v>
      </c>
      <c r="J130" s="2">
        <v>1.29</v>
      </c>
      <c r="K130" s="2">
        <v>1.85</v>
      </c>
      <c r="L130" s="2">
        <v>2.62</v>
      </c>
      <c r="M130" s="2">
        <v>3.78</v>
      </c>
      <c r="N130" s="2">
        <v>5.28</v>
      </c>
      <c r="O130" s="2">
        <v>7.7</v>
      </c>
      <c r="P130" s="2">
        <v>11.1</v>
      </c>
      <c r="Q130" s="2">
        <v>16.18</v>
      </c>
      <c r="R130" s="2">
        <v>22.86</v>
      </c>
      <c r="S130" s="2">
        <v>34.75</v>
      </c>
      <c r="T130" s="2">
        <v>49.6</v>
      </c>
      <c r="U130" s="2">
        <v>70.790000000000006</v>
      </c>
      <c r="V130" s="208">
        <v>98.96</v>
      </c>
      <c r="W130" s="2"/>
    </row>
    <row r="131" spans="1:37" ht="15.75" customHeight="1">
      <c r="A131" s="200">
        <v>22</v>
      </c>
      <c r="B131" s="59">
        <v>3</v>
      </c>
      <c r="C131" s="2">
        <v>0.1</v>
      </c>
      <c r="D131" s="2">
        <v>0.14000000000000001</v>
      </c>
      <c r="E131" s="2">
        <v>0.21</v>
      </c>
      <c r="F131" s="2">
        <v>0.3</v>
      </c>
      <c r="G131" s="2">
        <v>0.45</v>
      </c>
      <c r="H131" s="2">
        <v>0.61</v>
      </c>
      <c r="I131" s="2">
        <v>0.87</v>
      </c>
      <c r="J131" s="2">
        <v>1.29</v>
      </c>
      <c r="K131" s="2">
        <v>1.85</v>
      </c>
      <c r="L131" s="2">
        <v>2.62</v>
      </c>
      <c r="M131" s="2">
        <v>3.78</v>
      </c>
      <c r="N131" s="2">
        <v>5.28</v>
      </c>
      <c r="O131" s="2">
        <v>7.7</v>
      </c>
      <c r="P131" s="2">
        <v>11.1</v>
      </c>
      <c r="Q131" s="2">
        <v>16.18</v>
      </c>
      <c r="R131" s="2">
        <v>22.86</v>
      </c>
      <c r="S131" s="2">
        <v>34.75</v>
      </c>
      <c r="T131" s="2">
        <v>49.6</v>
      </c>
      <c r="U131" s="2">
        <v>70.790000000000006</v>
      </c>
      <c r="V131" s="208">
        <v>98.96</v>
      </c>
      <c r="W131" s="2"/>
    </row>
    <row r="132" spans="1:37" ht="15.75" customHeight="1">
      <c r="A132" s="200">
        <v>22</v>
      </c>
      <c r="B132" s="59">
        <v>4</v>
      </c>
      <c r="C132" s="2">
        <v>0.1</v>
      </c>
      <c r="D132" s="2">
        <v>0.14000000000000001</v>
      </c>
      <c r="E132" s="2">
        <v>0.21</v>
      </c>
      <c r="F132" s="2">
        <v>0.3</v>
      </c>
      <c r="G132" s="2">
        <v>0.45</v>
      </c>
      <c r="H132" s="2">
        <v>0.61</v>
      </c>
      <c r="I132" s="2">
        <v>0.87</v>
      </c>
      <c r="J132" s="2">
        <v>1.29</v>
      </c>
      <c r="K132" s="2">
        <v>1.85</v>
      </c>
      <c r="L132" s="2">
        <v>2.62</v>
      </c>
      <c r="M132" s="2">
        <v>3.78</v>
      </c>
      <c r="N132" s="2">
        <v>5.28</v>
      </c>
      <c r="O132" s="2">
        <v>7.7</v>
      </c>
      <c r="P132" s="2">
        <v>11.1</v>
      </c>
      <c r="Q132" s="2">
        <v>16.18</v>
      </c>
      <c r="R132" s="2">
        <v>22.86</v>
      </c>
      <c r="S132" s="2">
        <v>34.75</v>
      </c>
      <c r="T132" s="2">
        <v>49.6</v>
      </c>
      <c r="U132" s="2">
        <v>70.790000000000006</v>
      </c>
      <c r="V132" s="208">
        <v>98.96</v>
      </c>
      <c r="W132" s="2"/>
    </row>
    <row r="133" spans="1:37" ht="15.75" customHeight="1">
      <c r="A133" s="200">
        <v>22</v>
      </c>
      <c r="B133" s="59">
        <v>5</v>
      </c>
      <c r="C133" s="2">
        <v>0.1</v>
      </c>
      <c r="D133" s="2">
        <v>0.14000000000000001</v>
      </c>
      <c r="E133" s="2">
        <v>0.21</v>
      </c>
      <c r="F133" s="2">
        <v>0.3</v>
      </c>
      <c r="G133" s="2">
        <v>0.45</v>
      </c>
      <c r="H133" s="2">
        <v>0.61</v>
      </c>
      <c r="I133" s="2">
        <v>0.87</v>
      </c>
      <c r="J133" s="2">
        <v>1.29</v>
      </c>
      <c r="K133" s="2">
        <v>1.85</v>
      </c>
      <c r="L133" s="2">
        <v>2.62</v>
      </c>
      <c r="M133" s="2">
        <v>3.78</v>
      </c>
      <c r="N133" s="2">
        <v>5.28</v>
      </c>
      <c r="O133" s="2">
        <v>7.7</v>
      </c>
      <c r="P133" s="2">
        <v>11.1</v>
      </c>
      <c r="Q133" s="2">
        <v>16.18</v>
      </c>
      <c r="R133" s="2">
        <v>22.86</v>
      </c>
      <c r="S133" s="2">
        <v>34.75</v>
      </c>
      <c r="T133" s="2">
        <v>49.6</v>
      </c>
      <c r="U133" s="2">
        <v>70.790000000000006</v>
      </c>
      <c r="V133" s="208">
        <v>98.96</v>
      </c>
      <c r="W133" s="2"/>
    </row>
    <row r="134" spans="1:37" ht="15.75" customHeight="1">
      <c r="A134" s="200">
        <v>22</v>
      </c>
      <c r="B134" s="59">
        <v>6</v>
      </c>
      <c r="C134" s="2">
        <v>0.1</v>
      </c>
      <c r="D134" s="2">
        <v>0.14000000000000001</v>
      </c>
      <c r="E134" s="2">
        <v>0.21</v>
      </c>
      <c r="F134" s="2">
        <v>0.3</v>
      </c>
      <c r="G134" s="2">
        <v>0.45</v>
      </c>
      <c r="H134" s="2">
        <v>0.61</v>
      </c>
      <c r="I134" s="2">
        <v>0.87</v>
      </c>
      <c r="J134" s="2">
        <v>1.29</v>
      </c>
      <c r="K134" s="2">
        <v>1.85</v>
      </c>
      <c r="L134" s="2">
        <v>2.62</v>
      </c>
      <c r="M134" s="2">
        <v>3.78</v>
      </c>
      <c r="N134" s="2">
        <v>5.28</v>
      </c>
      <c r="O134" s="2">
        <v>7.7</v>
      </c>
      <c r="P134" s="2">
        <v>11.1</v>
      </c>
      <c r="Q134" s="2">
        <v>16.18</v>
      </c>
      <c r="R134" s="2">
        <v>22.86</v>
      </c>
      <c r="S134" s="2">
        <v>34.75</v>
      </c>
      <c r="T134" s="2">
        <v>49.6</v>
      </c>
      <c r="U134" s="2">
        <v>70.790000000000006</v>
      </c>
      <c r="V134" s="208">
        <v>98.96</v>
      </c>
      <c r="W134" s="2"/>
    </row>
    <row r="135" spans="1:37" ht="15.75" customHeight="1">
      <c r="A135" s="200">
        <v>22</v>
      </c>
      <c r="B135" s="59">
        <v>7</v>
      </c>
      <c r="C135" s="2">
        <v>0.1</v>
      </c>
      <c r="D135" s="2">
        <v>0.14000000000000001</v>
      </c>
      <c r="E135" s="2">
        <v>0.21</v>
      </c>
      <c r="F135" s="2">
        <v>0.3</v>
      </c>
      <c r="G135" s="2">
        <v>0.45</v>
      </c>
      <c r="H135" s="2">
        <v>0.61</v>
      </c>
      <c r="I135" s="2">
        <v>0.87</v>
      </c>
      <c r="J135" s="2">
        <v>1.29</v>
      </c>
      <c r="K135" s="2">
        <v>1.85</v>
      </c>
      <c r="L135" s="2">
        <v>2.62</v>
      </c>
      <c r="M135" s="2">
        <v>3.78</v>
      </c>
      <c r="N135" s="2">
        <v>5.28</v>
      </c>
      <c r="O135" s="2">
        <v>7.7</v>
      </c>
      <c r="P135" s="2">
        <v>11.1</v>
      </c>
      <c r="Q135" s="2">
        <v>16.18</v>
      </c>
      <c r="R135" s="2">
        <v>22.86</v>
      </c>
      <c r="S135" s="2">
        <v>34.75</v>
      </c>
      <c r="T135" s="2">
        <v>49.6</v>
      </c>
      <c r="U135" s="2">
        <v>70.790000000000006</v>
      </c>
      <c r="V135" s="208">
        <v>98.96</v>
      </c>
      <c r="W135" s="2"/>
    </row>
    <row r="136" spans="1:37" ht="15.75" customHeight="1">
      <c r="A136" s="202">
        <v>22</v>
      </c>
      <c r="B136" s="203">
        <v>8</v>
      </c>
      <c r="C136" s="30">
        <v>0.1</v>
      </c>
      <c r="D136" s="30">
        <v>0.14000000000000001</v>
      </c>
      <c r="E136" s="30">
        <v>0.21</v>
      </c>
      <c r="F136" s="30">
        <v>0.3</v>
      </c>
      <c r="G136" s="30">
        <v>0.45</v>
      </c>
      <c r="H136" s="30">
        <v>0.61</v>
      </c>
      <c r="I136" s="30">
        <v>0.87</v>
      </c>
      <c r="J136" s="30">
        <v>1.29</v>
      </c>
      <c r="K136" s="30">
        <v>1.85</v>
      </c>
      <c r="L136" s="30">
        <v>2.62</v>
      </c>
      <c r="M136" s="30">
        <v>3.78</v>
      </c>
      <c r="N136" s="30">
        <v>5.28</v>
      </c>
      <c r="O136" s="30">
        <v>7.7</v>
      </c>
      <c r="P136" s="30">
        <v>11.1</v>
      </c>
      <c r="Q136" s="30">
        <v>16.18</v>
      </c>
      <c r="R136" s="30">
        <v>22.86</v>
      </c>
      <c r="S136" s="30">
        <v>34.75</v>
      </c>
      <c r="T136" s="30">
        <v>49.6</v>
      </c>
      <c r="U136" s="30">
        <v>70.790000000000006</v>
      </c>
      <c r="V136" s="209">
        <v>98.96</v>
      </c>
      <c r="W136" s="2"/>
    </row>
    <row r="137" spans="1:37" ht="15.75" customHeight="1">
      <c r="A137" s="200">
        <v>23</v>
      </c>
      <c r="B137" s="59">
        <v>1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37" ht="15.75" customHeight="1">
      <c r="A138" s="200">
        <v>23</v>
      </c>
      <c r="B138" s="59">
        <v>2</v>
      </c>
    </row>
    <row r="139" spans="1:37" ht="15.75" customHeight="1">
      <c r="A139" s="200">
        <v>23</v>
      </c>
      <c r="B139" s="59">
        <v>3</v>
      </c>
    </row>
    <row r="140" spans="1:37" ht="15.75" customHeight="1">
      <c r="A140" s="200">
        <v>23</v>
      </c>
      <c r="B140" s="59">
        <v>4</v>
      </c>
    </row>
    <row r="141" spans="1:37" ht="15.75" customHeight="1">
      <c r="A141" s="200">
        <v>23</v>
      </c>
      <c r="B141" s="59">
        <v>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7" ht="15.75" customHeight="1">
      <c r="A142" s="266">
        <v>24</v>
      </c>
      <c r="B142" s="267">
        <v>1</v>
      </c>
      <c r="C142" s="206">
        <v>0.1</v>
      </c>
      <c r="D142" s="206">
        <v>0.12</v>
      </c>
      <c r="E142" s="206">
        <v>0.15</v>
      </c>
      <c r="F142" s="206">
        <v>0.19</v>
      </c>
      <c r="G142" s="206">
        <v>0.23</v>
      </c>
      <c r="H142" s="206">
        <v>0.28000000000000003</v>
      </c>
      <c r="I142" s="206">
        <v>0.35</v>
      </c>
      <c r="J142" s="206">
        <v>0.43</v>
      </c>
      <c r="K142" s="206">
        <v>0.52</v>
      </c>
      <c r="L142" s="206">
        <v>0.67</v>
      </c>
      <c r="M142" s="206">
        <v>0.82</v>
      </c>
      <c r="N142" s="206">
        <v>1</v>
      </c>
      <c r="O142" s="206">
        <v>1.22</v>
      </c>
      <c r="P142" s="206">
        <v>1.53</v>
      </c>
      <c r="Q142" s="206">
        <v>1.87</v>
      </c>
      <c r="R142" s="206">
        <v>2.2799999999999998</v>
      </c>
      <c r="S142" s="206">
        <v>2.82</v>
      </c>
      <c r="T142" s="206">
        <v>3.55</v>
      </c>
      <c r="U142" s="206">
        <v>4.32</v>
      </c>
      <c r="V142" s="206">
        <v>5.27</v>
      </c>
      <c r="W142" s="206">
        <v>6.74</v>
      </c>
      <c r="X142" s="206">
        <v>8.2100000000000009</v>
      </c>
      <c r="Y142" s="206">
        <v>10.17</v>
      </c>
      <c r="Z142" s="206">
        <v>12.18</v>
      </c>
      <c r="AA142" s="206">
        <v>15.09</v>
      </c>
      <c r="AB142" s="206">
        <v>18.68</v>
      </c>
      <c r="AC142" s="206">
        <v>22.76</v>
      </c>
      <c r="AD142" s="206">
        <v>28.65</v>
      </c>
      <c r="AE142" s="206">
        <v>35.479999999999997</v>
      </c>
      <c r="AF142" s="206">
        <v>42.52</v>
      </c>
      <c r="AG142" s="206">
        <v>52.65</v>
      </c>
      <c r="AH142" s="206">
        <v>64.14</v>
      </c>
      <c r="AI142" s="206">
        <v>82.09</v>
      </c>
      <c r="AJ142" s="207">
        <v>96.76</v>
      </c>
      <c r="AK142" s="2"/>
    </row>
    <row r="143" spans="1:37" ht="15.75" customHeight="1">
      <c r="A143" s="210">
        <v>24</v>
      </c>
      <c r="B143" s="211">
        <v>2</v>
      </c>
      <c r="C143" s="2">
        <v>0.1</v>
      </c>
      <c r="D143" s="2">
        <v>0.12</v>
      </c>
      <c r="E143" s="2">
        <v>0.15</v>
      </c>
      <c r="F143" s="2">
        <v>0.19</v>
      </c>
      <c r="G143" s="2">
        <v>0.23</v>
      </c>
      <c r="H143" s="2">
        <v>0.28000000000000003</v>
      </c>
      <c r="I143" s="2">
        <v>0.35</v>
      </c>
      <c r="J143" s="2">
        <v>0.43</v>
      </c>
      <c r="K143" s="2">
        <v>0.52</v>
      </c>
      <c r="L143" s="2">
        <v>0.67</v>
      </c>
      <c r="M143" s="2">
        <v>0.82</v>
      </c>
      <c r="N143" s="2">
        <v>1</v>
      </c>
      <c r="O143" s="2">
        <v>1.22</v>
      </c>
      <c r="P143" s="2">
        <v>1.53</v>
      </c>
      <c r="Q143" s="2">
        <v>1.87</v>
      </c>
      <c r="R143" s="2">
        <v>2.2799999999999998</v>
      </c>
      <c r="S143" s="2">
        <v>2.82</v>
      </c>
      <c r="T143" s="2">
        <v>3.55</v>
      </c>
      <c r="U143" s="2">
        <v>4.32</v>
      </c>
      <c r="V143" s="2">
        <v>5.27</v>
      </c>
      <c r="W143" s="2">
        <v>6.74</v>
      </c>
      <c r="X143" s="2">
        <v>8.2100000000000009</v>
      </c>
      <c r="Y143" s="2">
        <v>10.17</v>
      </c>
      <c r="Z143" s="2">
        <v>12.18</v>
      </c>
      <c r="AA143" s="2">
        <v>15.09</v>
      </c>
      <c r="AB143" s="2">
        <v>18.68</v>
      </c>
      <c r="AC143" s="2">
        <v>22.76</v>
      </c>
      <c r="AD143" s="2">
        <v>28.65</v>
      </c>
      <c r="AE143" s="2">
        <v>35.479999999999997</v>
      </c>
      <c r="AF143" s="2">
        <v>42.52</v>
      </c>
      <c r="AG143" s="2">
        <v>52.65</v>
      </c>
      <c r="AH143" s="2">
        <v>64.14</v>
      </c>
      <c r="AI143" s="2">
        <v>82.09</v>
      </c>
      <c r="AJ143" s="208">
        <v>96.76</v>
      </c>
      <c r="AK143" s="2"/>
    </row>
    <row r="144" spans="1:37" ht="15.75" customHeight="1">
      <c r="A144" s="210">
        <v>24</v>
      </c>
      <c r="B144" s="211">
        <v>3</v>
      </c>
      <c r="C144" s="2">
        <v>0.1</v>
      </c>
      <c r="D144" s="2">
        <v>0.12</v>
      </c>
      <c r="E144" s="2">
        <v>0.15</v>
      </c>
      <c r="F144" s="2">
        <v>0.19</v>
      </c>
      <c r="G144" s="2">
        <v>0.23</v>
      </c>
      <c r="H144" s="2">
        <v>0.28000000000000003</v>
      </c>
      <c r="I144" s="2">
        <v>0.35</v>
      </c>
      <c r="J144" s="2">
        <v>0.43</v>
      </c>
      <c r="K144" s="2">
        <v>0.52</v>
      </c>
      <c r="L144" s="2">
        <v>0.67</v>
      </c>
      <c r="M144" s="2">
        <v>0.82</v>
      </c>
      <c r="N144" s="2">
        <v>1</v>
      </c>
      <c r="O144" s="2">
        <v>1.22</v>
      </c>
      <c r="P144" s="2">
        <v>1.53</v>
      </c>
      <c r="Q144" s="2">
        <v>1.87</v>
      </c>
      <c r="R144" s="2">
        <v>2.2799999999999998</v>
      </c>
      <c r="S144" s="2">
        <v>2.82</v>
      </c>
      <c r="T144" s="2">
        <v>3.55</v>
      </c>
      <c r="U144" s="2">
        <v>4.32</v>
      </c>
      <c r="V144" s="2">
        <v>5.27</v>
      </c>
      <c r="W144" s="2">
        <v>6.74</v>
      </c>
      <c r="X144" s="2">
        <v>8.2100000000000009</v>
      </c>
      <c r="Y144" s="2">
        <v>10.17</v>
      </c>
      <c r="Z144" s="2">
        <v>12.18</v>
      </c>
      <c r="AA144" s="2">
        <v>15.09</v>
      </c>
      <c r="AB144" s="2">
        <v>18.68</v>
      </c>
      <c r="AC144" s="2">
        <v>22.76</v>
      </c>
      <c r="AD144" s="2">
        <v>28.65</v>
      </c>
      <c r="AE144" s="2">
        <v>35.479999999999997</v>
      </c>
      <c r="AF144" s="2">
        <v>42.52</v>
      </c>
      <c r="AG144" s="2">
        <v>52.65</v>
      </c>
      <c r="AH144" s="2">
        <v>64.14</v>
      </c>
      <c r="AI144" s="2">
        <v>82.09</v>
      </c>
      <c r="AJ144" s="208">
        <v>96.76</v>
      </c>
      <c r="AK144" s="2"/>
    </row>
    <row r="145" spans="1:37" ht="15.75" customHeight="1">
      <c r="A145" s="210">
        <v>24</v>
      </c>
      <c r="B145" s="211">
        <v>4</v>
      </c>
      <c r="C145" s="2">
        <v>0.1</v>
      </c>
      <c r="D145" s="2">
        <v>0.12</v>
      </c>
      <c r="E145" s="2">
        <v>0.15</v>
      </c>
      <c r="F145" s="2">
        <v>0.19</v>
      </c>
      <c r="G145" s="2">
        <v>0.23</v>
      </c>
      <c r="H145" s="2">
        <v>0.28000000000000003</v>
      </c>
      <c r="I145" s="2">
        <v>0.35</v>
      </c>
      <c r="J145" s="2">
        <v>0.43</v>
      </c>
      <c r="K145" s="2">
        <v>0.52</v>
      </c>
      <c r="L145" s="2">
        <v>0.67</v>
      </c>
      <c r="M145" s="2">
        <v>0.82</v>
      </c>
      <c r="N145" s="2">
        <v>1</v>
      </c>
      <c r="O145" s="2">
        <v>1.22</v>
      </c>
      <c r="P145" s="2">
        <v>1.53</v>
      </c>
      <c r="Q145" s="2">
        <v>1.87</v>
      </c>
      <c r="R145" s="2">
        <v>2.2799999999999998</v>
      </c>
      <c r="S145" s="2">
        <v>2.82</v>
      </c>
      <c r="T145" s="2">
        <v>3.55</v>
      </c>
      <c r="U145" s="2">
        <v>4.32</v>
      </c>
      <c r="V145" s="2">
        <v>5.27</v>
      </c>
      <c r="W145" s="2">
        <v>6.74</v>
      </c>
      <c r="X145" s="2">
        <v>8.2100000000000009</v>
      </c>
      <c r="Y145" s="2">
        <v>10.17</v>
      </c>
      <c r="Z145" s="2">
        <v>12.18</v>
      </c>
      <c r="AA145" s="2">
        <v>15.09</v>
      </c>
      <c r="AB145" s="2">
        <v>18.68</v>
      </c>
      <c r="AC145" s="2">
        <v>22.76</v>
      </c>
      <c r="AD145" s="2">
        <v>28.65</v>
      </c>
      <c r="AE145" s="2">
        <v>35.479999999999997</v>
      </c>
      <c r="AF145" s="2">
        <v>42.52</v>
      </c>
      <c r="AG145" s="2">
        <v>52.65</v>
      </c>
      <c r="AH145" s="2">
        <v>64.14</v>
      </c>
      <c r="AI145" s="2">
        <v>82.09</v>
      </c>
      <c r="AJ145" s="208">
        <v>96.76</v>
      </c>
      <c r="AK145" s="2"/>
    </row>
    <row r="146" spans="1:37" ht="15.75" customHeight="1">
      <c r="A146" s="210">
        <v>24</v>
      </c>
      <c r="B146" s="211">
        <v>5</v>
      </c>
      <c r="C146" s="2">
        <v>0.1</v>
      </c>
      <c r="D146" s="2">
        <v>0.12</v>
      </c>
      <c r="E146" s="2">
        <v>0.15</v>
      </c>
      <c r="F146" s="2">
        <v>0.19</v>
      </c>
      <c r="G146" s="2">
        <v>0.23</v>
      </c>
      <c r="H146" s="2">
        <v>0.28000000000000003</v>
      </c>
      <c r="I146" s="2">
        <v>0.35</v>
      </c>
      <c r="J146" s="2">
        <v>0.43</v>
      </c>
      <c r="K146" s="2">
        <v>0.52</v>
      </c>
      <c r="L146" s="2">
        <v>0.67</v>
      </c>
      <c r="M146" s="2">
        <v>0.82</v>
      </c>
      <c r="N146" s="2">
        <v>1</v>
      </c>
      <c r="O146" s="2">
        <v>1.22</v>
      </c>
      <c r="P146" s="2">
        <v>1.53</v>
      </c>
      <c r="Q146" s="2">
        <v>1.87</v>
      </c>
      <c r="R146" s="2">
        <v>2.2799999999999998</v>
      </c>
      <c r="S146" s="2">
        <v>2.82</v>
      </c>
      <c r="T146" s="2">
        <v>3.55</v>
      </c>
      <c r="U146" s="2">
        <v>4.32</v>
      </c>
      <c r="V146" s="2">
        <v>5.27</v>
      </c>
      <c r="W146" s="2">
        <v>6.74</v>
      </c>
      <c r="X146" s="2">
        <v>8.2100000000000009</v>
      </c>
      <c r="Y146" s="2">
        <v>10.17</v>
      </c>
      <c r="Z146" s="2">
        <v>12.18</v>
      </c>
      <c r="AA146" s="2">
        <v>15.09</v>
      </c>
      <c r="AB146" s="2">
        <v>18.68</v>
      </c>
      <c r="AC146" s="2">
        <v>22.76</v>
      </c>
      <c r="AD146" s="2">
        <v>28.65</v>
      </c>
      <c r="AE146" s="2">
        <v>35.479999999999997</v>
      </c>
      <c r="AF146" s="2">
        <v>42.52</v>
      </c>
      <c r="AG146" s="2">
        <v>52.65</v>
      </c>
      <c r="AH146" s="2">
        <v>64.14</v>
      </c>
      <c r="AI146" s="2">
        <v>82.09</v>
      </c>
      <c r="AJ146" s="208">
        <v>96.76</v>
      </c>
      <c r="AK146" s="2"/>
    </row>
    <row r="147" spans="1:37" ht="15.75" customHeight="1">
      <c r="A147" s="210">
        <v>24</v>
      </c>
      <c r="B147" s="211">
        <v>6</v>
      </c>
      <c r="C147" s="2">
        <v>0.1</v>
      </c>
      <c r="D147" s="2">
        <v>0.12</v>
      </c>
      <c r="E147" s="2">
        <v>0.15</v>
      </c>
      <c r="F147" s="2">
        <v>0.19</v>
      </c>
      <c r="G147" s="2">
        <v>0.23</v>
      </c>
      <c r="H147" s="2">
        <v>0.28000000000000003</v>
      </c>
      <c r="I147" s="2">
        <v>0.35</v>
      </c>
      <c r="J147" s="2">
        <v>0.43</v>
      </c>
      <c r="K147" s="2">
        <v>0.52</v>
      </c>
      <c r="L147" s="2">
        <v>0.67</v>
      </c>
      <c r="M147" s="2">
        <v>0.82</v>
      </c>
      <c r="N147" s="2">
        <v>1</v>
      </c>
      <c r="O147" s="2">
        <v>1.22</v>
      </c>
      <c r="P147" s="2">
        <v>1.53</v>
      </c>
      <c r="Q147" s="2">
        <v>1.87</v>
      </c>
      <c r="R147" s="2">
        <v>2.2799999999999998</v>
      </c>
      <c r="S147" s="2">
        <v>2.82</v>
      </c>
      <c r="T147" s="2">
        <v>3.55</v>
      </c>
      <c r="U147" s="2">
        <v>4.32</v>
      </c>
      <c r="V147" s="2">
        <v>5.27</v>
      </c>
      <c r="W147" s="2">
        <v>6.74</v>
      </c>
      <c r="X147" s="2">
        <v>8.2100000000000009</v>
      </c>
      <c r="Y147" s="2">
        <v>10.17</v>
      </c>
      <c r="Z147" s="2">
        <v>12.18</v>
      </c>
      <c r="AA147" s="2">
        <v>15.09</v>
      </c>
      <c r="AB147" s="2">
        <v>18.68</v>
      </c>
      <c r="AC147" s="2">
        <v>22.76</v>
      </c>
      <c r="AD147" s="2">
        <v>28.65</v>
      </c>
      <c r="AE147" s="2">
        <v>35.479999999999997</v>
      </c>
      <c r="AF147" s="2">
        <v>42.52</v>
      </c>
      <c r="AG147" s="2">
        <v>52.65</v>
      </c>
      <c r="AH147" s="2">
        <v>64.14</v>
      </c>
      <c r="AI147" s="2">
        <v>82.09</v>
      </c>
      <c r="AJ147" s="208">
        <v>96.76</v>
      </c>
      <c r="AK147" s="2"/>
    </row>
    <row r="148" spans="1:37" ht="15.75" customHeight="1">
      <c r="A148" s="268">
        <v>24</v>
      </c>
      <c r="B148" s="269">
        <v>7</v>
      </c>
      <c r="C148" s="30">
        <v>0.1</v>
      </c>
      <c r="D148" s="30">
        <v>0.12</v>
      </c>
      <c r="E148" s="30">
        <v>0.15</v>
      </c>
      <c r="F148" s="30">
        <v>0.19</v>
      </c>
      <c r="G148" s="30">
        <v>0.23</v>
      </c>
      <c r="H148" s="30">
        <v>0.28000000000000003</v>
      </c>
      <c r="I148" s="30">
        <v>0.35</v>
      </c>
      <c r="J148" s="30">
        <v>0.43</v>
      </c>
      <c r="K148" s="30">
        <v>0.52</v>
      </c>
      <c r="L148" s="30">
        <v>0.67</v>
      </c>
      <c r="M148" s="30">
        <v>0.82</v>
      </c>
      <c r="N148" s="30">
        <v>1</v>
      </c>
      <c r="O148" s="30">
        <v>1.22</v>
      </c>
      <c r="P148" s="30">
        <v>1.53</v>
      </c>
      <c r="Q148" s="30">
        <v>1.87</v>
      </c>
      <c r="R148" s="30">
        <v>2.2799999999999998</v>
      </c>
      <c r="S148" s="30">
        <v>2.82</v>
      </c>
      <c r="T148" s="30">
        <v>3.55</v>
      </c>
      <c r="U148" s="30">
        <v>4.32</v>
      </c>
      <c r="V148" s="30">
        <v>5.27</v>
      </c>
      <c r="W148" s="30">
        <v>6.74</v>
      </c>
      <c r="X148" s="30">
        <v>8.2100000000000009</v>
      </c>
      <c r="Y148" s="30">
        <v>10.17</v>
      </c>
      <c r="Z148" s="30">
        <v>12.18</v>
      </c>
      <c r="AA148" s="30">
        <v>15.09</v>
      </c>
      <c r="AB148" s="30">
        <v>18.68</v>
      </c>
      <c r="AC148" s="30">
        <v>22.76</v>
      </c>
      <c r="AD148" s="30">
        <v>28.65</v>
      </c>
      <c r="AE148" s="30">
        <v>35.479999999999997</v>
      </c>
      <c r="AF148" s="30">
        <v>42.52</v>
      </c>
      <c r="AG148" s="30">
        <v>52.65</v>
      </c>
      <c r="AH148" s="30">
        <v>64.14</v>
      </c>
      <c r="AI148" s="30">
        <v>82.09</v>
      </c>
      <c r="AJ148" s="209">
        <v>96.76</v>
      </c>
      <c r="AK148" s="2"/>
    </row>
    <row r="149" spans="1:37" ht="15.75" customHeight="1">
      <c r="A149" s="200">
        <v>25</v>
      </c>
      <c r="B149" s="59">
        <v>1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7" ht="15.75" customHeight="1">
      <c r="A150" s="200">
        <v>25</v>
      </c>
      <c r="B150" s="59">
        <v>2</v>
      </c>
    </row>
    <row r="151" spans="1:37" ht="15.75" customHeight="1">
      <c r="A151" s="200">
        <v>25</v>
      </c>
      <c r="B151" s="59">
        <v>3</v>
      </c>
    </row>
    <row r="152" spans="1:37" ht="15.75" customHeight="1">
      <c r="A152" s="200">
        <v>25</v>
      </c>
      <c r="B152" s="59">
        <v>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37" ht="15.75" customHeight="1">
      <c r="A153" s="201">
        <v>26</v>
      </c>
      <c r="B153" s="178" t="s">
        <v>220</v>
      </c>
      <c r="C153" s="206">
        <v>0.10199999999999999</v>
      </c>
      <c r="D153" s="206">
        <v>0.14899999999999999</v>
      </c>
      <c r="E153" s="206">
        <v>0.219</v>
      </c>
      <c r="F153" s="206">
        <v>0.318</v>
      </c>
      <c r="G153" s="206">
        <v>0.46800000000000003</v>
      </c>
      <c r="H153" s="206">
        <v>0.68799999999999994</v>
      </c>
      <c r="I153" s="206">
        <v>1</v>
      </c>
      <c r="J153" s="206">
        <v>1.4710000000000001</v>
      </c>
      <c r="K153" s="206">
        <v>2.1120000000000001</v>
      </c>
      <c r="L153" s="206">
        <v>3.181</v>
      </c>
      <c r="M153" s="206">
        <v>4.6790000000000003</v>
      </c>
      <c r="N153" s="206">
        <v>6.7990000000000004</v>
      </c>
      <c r="O153" s="206">
        <v>10</v>
      </c>
      <c r="P153" s="206">
        <v>15.066000000000001</v>
      </c>
      <c r="Q153" s="206">
        <v>22.428000000000001</v>
      </c>
      <c r="R153" s="206">
        <v>31.433</v>
      </c>
      <c r="S153" s="206">
        <v>46.79</v>
      </c>
      <c r="T153" s="206">
        <v>67.992000000000004</v>
      </c>
      <c r="U153" s="207">
        <v>100</v>
      </c>
      <c r="V153" s="2"/>
    </row>
    <row r="154" spans="1:37" ht="15.75" customHeight="1">
      <c r="A154" s="200">
        <v>26</v>
      </c>
      <c r="B154" s="179" t="s">
        <v>221</v>
      </c>
      <c r="C154" s="2">
        <v>0.10199999999999999</v>
      </c>
      <c r="D154" s="2">
        <v>0.14899999999999999</v>
      </c>
      <c r="E154" s="2">
        <v>0.219</v>
      </c>
      <c r="F154" s="2">
        <v>0.318</v>
      </c>
      <c r="G154" s="2">
        <v>0.46800000000000003</v>
      </c>
      <c r="H154" s="2">
        <v>0.68799999999999994</v>
      </c>
      <c r="I154" s="2">
        <v>1</v>
      </c>
      <c r="J154" s="2">
        <v>1.4710000000000001</v>
      </c>
      <c r="K154" s="2">
        <v>2.1120000000000001</v>
      </c>
      <c r="L154" s="2">
        <v>3.181</v>
      </c>
      <c r="M154" s="2">
        <v>4.6790000000000003</v>
      </c>
      <c r="N154" s="2">
        <v>6.7990000000000004</v>
      </c>
      <c r="O154" s="2">
        <v>10</v>
      </c>
      <c r="P154" s="2">
        <v>15.066000000000001</v>
      </c>
      <c r="Q154" s="2">
        <v>22.428000000000001</v>
      </c>
      <c r="R154" s="2">
        <v>31.433</v>
      </c>
      <c r="S154" s="2">
        <v>46.79</v>
      </c>
      <c r="T154" s="2">
        <v>67.992000000000004</v>
      </c>
      <c r="U154" s="208">
        <v>100</v>
      </c>
      <c r="V154" s="2"/>
    </row>
    <row r="155" spans="1:37" ht="15.75" customHeight="1">
      <c r="A155" s="200">
        <v>26</v>
      </c>
      <c r="B155" s="179" t="s">
        <v>222</v>
      </c>
      <c r="C155" s="2">
        <v>0.10199999999999999</v>
      </c>
      <c r="D155" s="2">
        <v>0.14899999999999999</v>
      </c>
      <c r="E155" s="2">
        <v>0.219</v>
      </c>
      <c r="F155" s="2">
        <v>0.318</v>
      </c>
      <c r="G155" s="2">
        <v>0.46800000000000003</v>
      </c>
      <c r="H155" s="2">
        <v>0.68799999999999994</v>
      </c>
      <c r="I155" s="2">
        <v>1</v>
      </c>
      <c r="J155" s="2">
        <v>1.4710000000000001</v>
      </c>
      <c r="K155" s="2">
        <v>2.1120000000000001</v>
      </c>
      <c r="L155" s="2">
        <v>3.181</v>
      </c>
      <c r="M155" s="2">
        <v>4.6790000000000003</v>
      </c>
      <c r="N155" s="2">
        <v>6.7990000000000004</v>
      </c>
      <c r="O155" s="2">
        <v>10</v>
      </c>
      <c r="P155" s="2">
        <v>15.066000000000001</v>
      </c>
      <c r="Q155" s="2">
        <v>22.428000000000001</v>
      </c>
      <c r="R155" s="2">
        <v>31.433</v>
      </c>
      <c r="S155" s="2">
        <v>46.79</v>
      </c>
      <c r="T155" s="2">
        <v>67.992000000000004</v>
      </c>
      <c r="U155" s="208">
        <v>100</v>
      </c>
      <c r="V155" s="2"/>
    </row>
    <row r="156" spans="1:37" ht="15.75" customHeight="1">
      <c r="A156" s="200">
        <v>26</v>
      </c>
      <c r="B156" s="179" t="s">
        <v>223</v>
      </c>
      <c r="C156" s="2">
        <v>0.10199999999999999</v>
      </c>
      <c r="D156" s="2">
        <v>0.14899999999999999</v>
      </c>
      <c r="E156" s="2">
        <v>0.219</v>
      </c>
      <c r="F156" s="2">
        <v>0.318</v>
      </c>
      <c r="G156" s="2">
        <v>0.46800000000000003</v>
      </c>
      <c r="H156" s="2">
        <v>0.68799999999999994</v>
      </c>
      <c r="I156" s="2">
        <v>1</v>
      </c>
      <c r="J156" s="2">
        <v>1.4710000000000001</v>
      </c>
      <c r="K156" s="2">
        <v>2.1120000000000001</v>
      </c>
      <c r="L156" s="2">
        <v>3.181</v>
      </c>
      <c r="M156" s="2">
        <v>4.6790000000000003</v>
      </c>
      <c r="N156" s="2">
        <v>6.7990000000000004</v>
      </c>
      <c r="O156" s="2">
        <v>10</v>
      </c>
      <c r="P156" s="2">
        <v>15.066000000000001</v>
      </c>
      <c r="Q156" s="2">
        <v>22.428000000000001</v>
      </c>
      <c r="R156" s="2">
        <v>31.433</v>
      </c>
      <c r="S156" s="2">
        <v>46.79</v>
      </c>
      <c r="T156" s="2">
        <v>67.992000000000004</v>
      </c>
      <c r="U156" s="208">
        <v>100</v>
      </c>
      <c r="V156" s="2"/>
    </row>
    <row r="157" spans="1:37" ht="15.75" customHeight="1">
      <c r="A157" s="200">
        <v>26</v>
      </c>
      <c r="B157" s="179" t="s">
        <v>228</v>
      </c>
      <c r="C157" s="2">
        <v>0.10199999999999999</v>
      </c>
      <c r="D157" s="2">
        <v>0.14899999999999999</v>
      </c>
      <c r="E157" s="2">
        <v>0.219</v>
      </c>
      <c r="F157" s="2">
        <v>0.318</v>
      </c>
      <c r="G157" s="2">
        <v>0.46800000000000003</v>
      </c>
      <c r="H157" s="2">
        <v>0.68799999999999994</v>
      </c>
      <c r="I157" s="2">
        <v>1</v>
      </c>
      <c r="J157" s="2">
        <v>1.4710000000000001</v>
      </c>
      <c r="K157" s="2">
        <v>2.1120000000000001</v>
      </c>
      <c r="L157" s="2">
        <v>3.181</v>
      </c>
      <c r="M157" s="2">
        <v>4.6790000000000003</v>
      </c>
      <c r="N157" s="2">
        <v>6.7990000000000004</v>
      </c>
      <c r="O157" s="2">
        <v>10</v>
      </c>
      <c r="P157" s="2">
        <v>15.066000000000001</v>
      </c>
      <c r="Q157" s="2">
        <v>22.428000000000001</v>
      </c>
      <c r="R157" s="2">
        <v>31.433</v>
      </c>
      <c r="S157" s="2">
        <v>46.79</v>
      </c>
      <c r="T157" s="2">
        <v>67.992000000000004</v>
      </c>
      <c r="U157" s="208">
        <v>100</v>
      </c>
      <c r="V157" s="2"/>
    </row>
    <row r="158" spans="1:37" ht="15.75" customHeight="1">
      <c r="A158" s="200">
        <v>26</v>
      </c>
      <c r="B158" s="179" t="s">
        <v>224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08"/>
      <c r="V158" s="2"/>
    </row>
    <row r="159" spans="1:37" ht="15.75" customHeight="1">
      <c r="A159" s="200">
        <v>26</v>
      </c>
      <c r="B159" s="179" t="s">
        <v>225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08"/>
      <c r="V159" s="2"/>
    </row>
    <row r="160" spans="1:37" ht="15.75" customHeight="1">
      <c r="A160" s="200">
        <v>26</v>
      </c>
      <c r="B160" s="179" t="s">
        <v>226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08"/>
      <c r="V160" s="2"/>
    </row>
    <row r="161" spans="1:22" ht="15.75" customHeight="1">
      <c r="A161" s="200">
        <v>26</v>
      </c>
      <c r="B161" s="179" t="s">
        <v>227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08"/>
      <c r="V161" s="2"/>
    </row>
    <row r="162" spans="1:22" ht="15.75" customHeight="1">
      <c r="A162" s="202">
        <v>26</v>
      </c>
      <c r="B162" s="203" t="s">
        <v>229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209"/>
      <c r="V162" s="2"/>
    </row>
    <row r="163" spans="1:22" ht="15.75" customHeight="1">
      <c r="A163" s="177">
        <v>27</v>
      </c>
      <c r="B163" s="178">
        <v>1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2" ht="15.75" customHeight="1">
      <c r="A164" s="174">
        <v>27</v>
      </c>
      <c r="B164" s="179">
        <v>2</v>
      </c>
    </row>
    <row r="165" spans="1:22" ht="15.75" customHeight="1">
      <c r="A165" s="174">
        <v>27</v>
      </c>
      <c r="B165" s="179">
        <v>3</v>
      </c>
    </row>
    <row r="166" spans="1:22" ht="15.75" customHeight="1">
      <c r="A166" s="174">
        <v>27</v>
      </c>
      <c r="B166" s="179">
        <v>4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2" ht="15.75" customHeight="1">
      <c r="A167" s="201">
        <v>28</v>
      </c>
      <c r="B167" s="58">
        <v>1</v>
      </c>
      <c r="C167" s="206">
        <v>0.1</v>
      </c>
      <c r="D167" s="206">
        <v>0.15</v>
      </c>
      <c r="E167" s="206">
        <v>0.22</v>
      </c>
      <c r="F167" s="206">
        <v>0.32</v>
      </c>
      <c r="G167" s="206">
        <v>0.47</v>
      </c>
      <c r="H167" s="206">
        <v>0.71</v>
      </c>
      <c r="I167" s="206">
        <v>1.01</v>
      </c>
      <c r="J167" s="206">
        <v>1.53</v>
      </c>
      <c r="K167" s="206">
        <v>2.17</v>
      </c>
      <c r="L167" s="206">
        <v>3.24</v>
      </c>
      <c r="M167" s="206">
        <v>4.71</v>
      </c>
      <c r="N167" s="206">
        <v>6.95</v>
      </c>
      <c r="O167" s="206">
        <v>10.17</v>
      </c>
      <c r="P167" s="206">
        <v>14.89</v>
      </c>
      <c r="Q167" s="206">
        <v>21.95</v>
      </c>
      <c r="R167" s="206">
        <v>31.66</v>
      </c>
      <c r="S167" s="206">
        <v>48.42</v>
      </c>
      <c r="T167" s="206">
        <v>70.36</v>
      </c>
      <c r="U167" s="207">
        <v>99.27</v>
      </c>
      <c r="V167" s="2"/>
    </row>
    <row r="168" spans="1:22" ht="15.75" customHeight="1">
      <c r="A168" s="200">
        <v>28</v>
      </c>
      <c r="B168" s="59">
        <v>2</v>
      </c>
      <c r="C168" s="2">
        <v>0.1</v>
      </c>
      <c r="D168" s="2">
        <v>0.15</v>
      </c>
      <c r="E168" s="2">
        <v>0.22</v>
      </c>
      <c r="F168" s="2">
        <v>0.32</v>
      </c>
      <c r="G168" s="2">
        <v>0.47</v>
      </c>
      <c r="H168" s="2">
        <v>0.71</v>
      </c>
      <c r="I168" s="2">
        <v>1.01</v>
      </c>
      <c r="J168" s="2">
        <v>1.53</v>
      </c>
      <c r="K168" s="2">
        <v>2.17</v>
      </c>
      <c r="L168" s="2">
        <v>3.24</v>
      </c>
      <c r="M168" s="2">
        <v>4.71</v>
      </c>
      <c r="N168" s="2">
        <v>6.95</v>
      </c>
      <c r="O168" s="28">
        <v>10.17</v>
      </c>
      <c r="P168" s="2">
        <v>14.89</v>
      </c>
      <c r="Q168" s="2">
        <v>21.95</v>
      </c>
      <c r="R168" s="2">
        <v>31.66</v>
      </c>
      <c r="S168" s="2">
        <v>48.42</v>
      </c>
      <c r="T168" s="2">
        <v>70.36</v>
      </c>
      <c r="U168" s="208">
        <v>99.27</v>
      </c>
      <c r="V168" s="2"/>
    </row>
    <row r="169" spans="1:22" ht="15.75" customHeight="1">
      <c r="A169" s="200">
        <v>28</v>
      </c>
      <c r="B169" s="59">
        <v>3</v>
      </c>
      <c r="C169" s="2">
        <v>0.1</v>
      </c>
      <c r="D169" s="2">
        <v>0.15</v>
      </c>
      <c r="E169" s="2">
        <v>0.22</v>
      </c>
      <c r="F169" s="2">
        <v>0.32</v>
      </c>
      <c r="G169" s="2">
        <v>0.47</v>
      </c>
      <c r="H169" s="2">
        <v>0.71</v>
      </c>
      <c r="I169" s="2">
        <v>1.01</v>
      </c>
      <c r="J169" s="2">
        <v>1.53</v>
      </c>
      <c r="K169" s="2">
        <v>2.17</v>
      </c>
      <c r="L169" s="2">
        <v>3.24</v>
      </c>
      <c r="M169" s="2">
        <v>4.71</v>
      </c>
      <c r="N169" s="2">
        <v>6.95</v>
      </c>
      <c r="O169" s="2">
        <v>10.17</v>
      </c>
      <c r="P169" s="2">
        <v>14.89</v>
      </c>
      <c r="Q169" s="2">
        <v>21.95</v>
      </c>
      <c r="R169" s="2">
        <v>31.66</v>
      </c>
      <c r="S169" s="2">
        <v>48.42</v>
      </c>
      <c r="T169" s="2">
        <v>70.36</v>
      </c>
      <c r="U169" s="208">
        <v>99.27</v>
      </c>
      <c r="V169" s="2"/>
    </row>
    <row r="170" spans="1:22" ht="15.75" customHeight="1">
      <c r="A170" s="200">
        <v>28</v>
      </c>
      <c r="B170" s="59">
        <v>4</v>
      </c>
      <c r="C170" s="2">
        <v>0.1</v>
      </c>
      <c r="D170" s="2">
        <v>0.15</v>
      </c>
      <c r="E170" s="2">
        <v>0.22</v>
      </c>
      <c r="F170" s="2">
        <v>0.32</v>
      </c>
      <c r="G170" s="2">
        <v>0.47</v>
      </c>
      <c r="H170" s="2">
        <v>0.71</v>
      </c>
      <c r="I170" s="2">
        <v>1.01</v>
      </c>
      <c r="J170" s="2">
        <v>1.53</v>
      </c>
      <c r="K170" s="2">
        <v>2.17</v>
      </c>
      <c r="L170" s="2">
        <v>3.24</v>
      </c>
      <c r="M170" s="2">
        <v>4.71</v>
      </c>
      <c r="N170" s="2">
        <v>6.95</v>
      </c>
      <c r="O170" s="2">
        <v>10.17</v>
      </c>
      <c r="P170" s="2">
        <v>14.89</v>
      </c>
      <c r="Q170" s="2">
        <v>21.95</v>
      </c>
      <c r="R170" s="2">
        <v>31.66</v>
      </c>
      <c r="S170" s="2">
        <v>48.42</v>
      </c>
      <c r="T170" s="2">
        <v>70.36</v>
      </c>
      <c r="U170" s="208">
        <v>99.27</v>
      </c>
      <c r="V170" s="2"/>
    </row>
    <row r="171" spans="1:22" ht="15.75" customHeight="1">
      <c r="A171" s="200">
        <v>28</v>
      </c>
      <c r="B171" s="59">
        <v>5</v>
      </c>
      <c r="C171" s="2">
        <v>0.1</v>
      </c>
      <c r="D171" s="2">
        <v>0.15</v>
      </c>
      <c r="E171" s="2">
        <v>0.22</v>
      </c>
      <c r="F171" s="2">
        <v>0.32</v>
      </c>
      <c r="G171" s="2">
        <v>0.47</v>
      </c>
      <c r="H171" s="2">
        <v>0.71</v>
      </c>
      <c r="I171" s="2">
        <v>1.01</v>
      </c>
      <c r="J171" s="2">
        <v>1.53</v>
      </c>
      <c r="K171" s="2">
        <v>2.17</v>
      </c>
      <c r="L171" s="2">
        <v>3.24</v>
      </c>
      <c r="M171" s="2">
        <v>4.71</v>
      </c>
      <c r="N171" s="2">
        <v>6.95</v>
      </c>
      <c r="O171" s="2">
        <v>10.17</v>
      </c>
      <c r="P171" s="2">
        <v>14.89</v>
      </c>
      <c r="Q171" s="2">
        <v>21.95</v>
      </c>
      <c r="R171" s="2">
        <v>31.66</v>
      </c>
      <c r="S171" s="2">
        <v>48.42</v>
      </c>
      <c r="T171" s="2">
        <v>70.36</v>
      </c>
      <c r="U171" s="208">
        <v>99.27</v>
      </c>
      <c r="V171" s="2"/>
    </row>
    <row r="172" spans="1:22" ht="15.75" customHeight="1">
      <c r="A172" s="202">
        <v>28</v>
      </c>
      <c r="B172" s="203">
        <v>6</v>
      </c>
      <c r="C172" s="30">
        <v>0.1</v>
      </c>
      <c r="D172" s="30">
        <v>0.15</v>
      </c>
      <c r="E172" s="30">
        <v>0.22</v>
      </c>
      <c r="F172" s="30">
        <v>0.32</v>
      </c>
      <c r="G172" s="30">
        <v>0.47</v>
      </c>
      <c r="H172" s="30">
        <v>0.71</v>
      </c>
      <c r="I172" s="30">
        <v>1.01</v>
      </c>
      <c r="J172" s="30">
        <v>1.53</v>
      </c>
      <c r="K172" s="30">
        <v>2.17</v>
      </c>
      <c r="L172" s="30">
        <v>3.24</v>
      </c>
      <c r="M172" s="30">
        <v>4.71</v>
      </c>
      <c r="N172" s="30">
        <v>6.95</v>
      </c>
      <c r="O172" s="30">
        <v>10.17</v>
      </c>
      <c r="P172" s="30">
        <v>14.89</v>
      </c>
      <c r="Q172" s="30">
        <v>21.95</v>
      </c>
      <c r="R172" s="30">
        <v>31.66</v>
      </c>
      <c r="S172" s="30">
        <v>48.42</v>
      </c>
      <c r="T172" s="30">
        <v>70.36</v>
      </c>
      <c r="U172" s="209">
        <v>99.27</v>
      </c>
      <c r="V172" s="2"/>
    </row>
    <row r="173" spans="1:22" ht="15.75" customHeight="1">
      <c r="A173" s="200">
        <v>29</v>
      </c>
      <c r="B173" s="59">
        <v>1</v>
      </c>
      <c r="C173" s="2">
        <v>0.03</v>
      </c>
      <c r="D173" s="2">
        <v>0.06</v>
      </c>
      <c r="E173" s="2">
        <v>0.1</v>
      </c>
      <c r="F173" s="2">
        <v>0.18</v>
      </c>
      <c r="G173" s="2">
        <v>0.3</v>
      </c>
      <c r="H173" s="2">
        <v>0.56999999999999995</v>
      </c>
      <c r="I173" s="2">
        <v>0.99</v>
      </c>
      <c r="J173" s="2">
        <v>1.71</v>
      </c>
      <c r="K173" s="2">
        <v>2.99</v>
      </c>
      <c r="L173" s="2">
        <v>5.24</v>
      </c>
      <c r="M173" s="2">
        <v>9.56</v>
      </c>
      <c r="N173" s="2">
        <v>16.32</v>
      </c>
      <c r="O173" s="2">
        <v>30.18</v>
      </c>
      <c r="P173" s="2">
        <v>49.48</v>
      </c>
      <c r="Q173" s="2">
        <v>93.96</v>
      </c>
      <c r="R173" s="2">
        <v>160.34</v>
      </c>
      <c r="S173" s="2">
        <v>259.37</v>
      </c>
      <c r="T173" s="208">
        <v>486.02</v>
      </c>
      <c r="U173" s="2"/>
    </row>
    <row r="174" spans="1:22" ht="15.75" customHeight="1">
      <c r="A174" s="200">
        <v>29</v>
      </c>
      <c r="B174" s="59">
        <v>2</v>
      </c>
      <c r="C174" s="2">
        <v>0.03</v>
      </c>
      <c r="D174" s="2">
        <v>0.06</v>
      </c>
      <c r="E174" s="2">
        <v>0.1</v>
      </c>
      <c r="F174" s="2">
        <v>0.18</v>
      </c>
      <c r="G174" s="2">
        <v>0.3</v>
      </c>
      <c r="H174" s="2">
        <v>0.56999999999999995</v>
      </c>
      <c r="I174" s="2">
        <v>0.99</v>
      </c>
      <c r="J174" s="2">
        <v>1.71</v>
      </c>
      <c r="K174" s="2">
        <v>2.99</v>
      </c>
      <c r="L174" s="2">
        <v>5.24</v>
      </c>
      <c r="M174" s="2">
        <v>9.56</v>
      </c>
      <c r="N174" s="2">
        <v>16.32</v>
      </c>
      <c r="O174" s="2">
        <v>30.18</v>
      </c>
      <c r="P174" s="2">
        <v>49.48</v>
      </c>
      <c r="Q174" s="2">
        <v>93.96</v>
      </c>
      <c r="R174" s="2">
        <v>160.34</v>
      </c>
      <c r="S174" s="2">
        <v>259.37</v>
      </c>
      <c r="T174" s="208">
        <v>486.02</v>
      </c>
      <c r="U174" s="2"/>
    </row>
    <row r="175" spans="1:22" ht="15.75" customHeight="1">
      <c r="A175" s="200">
        <v>29</v>
      </c>
      <c r="B175" s="59">
        <v>3</v>
      </c>
      <c r="C175" s="2">
        <v>0.03</v>
      </c>
      <c r="D175" s="2">
        <v>0.06</v>
      </c>
      <c r="E175" s="2">
        <v>0.1</v>
      </c>
      <c r="F175" s="2">
        <v>0.18</v>
      </c>
      <c r="G175" s="2">
        <v>0.3</v>
      </c>
      <c r="H175" s="2">
        <v>0.56999999999999995</v>
      </c>
      <c r="I175" s="2">
        <v>0.99</v>
      </c>
      <c r="J175" s="2">
        <v>1.71</v>
      </c>
      <c r="K175" s="2">
        <v>2.99</v>
      </c>
      <c r="L175" s="2">
        <v>5.24</v>
      </c>
      <c r="M175" s="2">
        <v>9.56</v>
      </c>
      <c r="N175" s="2">
        <v>16.32</v>
      </c>
      <c r="O175" s="2">
        <v>30.18</v>
      </c>
      <c r="P175" s="2">
        <v>49.48</v>
      </c>
      <c r="Q175" s="2">
        <v>93.96</v>
      </c>
      <c r="R175" s="2">
        <v>160.34</v>
      </c>
      <c r="S175" s="2">
        <v>259.37</v>
      </c>
      <c r="T175" s="208">
        <v>486.02</v>
      </c>
      <c r="U175" s="2"/>
    </row>
    <row r="176" spans="1:22" ht="15.75" customHeight="1">
      <c r="A176" s="200">
        <v>29</v>
      </c>
      <c r="B176" s="59">
        <v>4</v>
      </c>
      <c r="C176" s="2">
        <v>0.03</v>
      </c>
      <c r="D176" s="2">
        <v>0.06</v>
      </c>
      <c r="E176" s="2">
        <v>0.1</v>
      </c>
      <c r="F176" s="2">
        <v>0.18</v>
      </c>
      <c r="G176" s="2">
        <v>0.3</v>
      </c>
      <c r="H176" s="2">
        <v>0.56999999999999995</v>
      </c>
      <c r="I176" s="2">
        <v>0.99</v>
      </c>
      <c r="J176" s="2">
        <v>1.71</v>
      </c>
      <c r="K176" s="2">
        <v>2.99</v>
      </c>
      <c r="L176" s="2">
        <v>5.24</v>
      </c>
      <c r="M176" s="2">
        <v>9.56</v>
      </c>
      <c r="N176" s="2">
        <v>16.32</v>
      </c>
      <c r="O176" s="2">
        <v>30.18</v>
      </c>
      <c r="P176" s="2">
        <v>49.48</v>
      </c>
      <c r="Q176" s="2">
        <v>93.96</v>
      </c>
      <c r="R176" s="2">
        <v>160.34</v>
      </c>
      <c r="S176" s="2">
        <v>259.37</v>
      </c>
      <c r="T176" s="208">
        <v>486.02</v>
      </c>
      <c r="U176" s="2"/>
    </row>
    <row r="177" spans="1:28" ht="15.75" customHeight="1">
      <c r="A177" s="202">
        <v>29</v>
      </c>
      <c r="B177" s="203">
        <v>5</v>
      </c>
      <c r="C177" s="30">
        <v>0.03</v>
      </c>
      <c r="D177" s="30">
        <v>0.06</v>
      </c>
      <c r="E177" s="30">
        <v>0.1</v>
      </c>
      <c r="F177" s="30">
        <v>0.18</v>
      </c>
      <c r="G177" s="30">
        <v>0.3</v>
      </c>
      <c r="H177" s="30">
        <v>0.56999999999999995</v>
      </c>
      <c r="I177" s="30">
        <v>0.99</v>
      </c>
      <c r="J177" s="30">
        <v>1.71</v>
      </c>
      <c r="K177" s="30">
        <v>2.99</v>
      </c>
      <c r="L177" s="30">
        <v>5.24</v>
      </c>
      <c r="M177" s="30">
        <v>9.56</v>
      </c>
      <c r="N177" s="30">
        <v>16.32</v>
      </c>
      <c r="O177" s="30">
        <v>30.18</v>
      </c>
      <c r="P177" s="30">
        <v>49.48</v>
      </c>
      <c r="Q177" s="30">
        <v>93.96</v>
      </c>
      <c r="R177" s="30">
        <v>160.34</v>
      </c>
      <c r="S177" s="30">
        <v>259.37</v>
      </c>
      <c r="T177" s="209">
        <v>486.02</v>
      </c>
      <c r="U177" s="2"/>
    </row>
    <row r="178" spans="1:28" ht="15.75" customHeight="1">
      <c r="A178" s="200">
        <v>30</v>
      </c>
      <c r="B178" s="59">
        <v>1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8" ht="15.75" customHeight="1">
      <c r="A179" s="200">
        <v>30</v>
      </c>
      <c r="B179" s="59">
        <v>2</v>
      </c>
    </row>
    <row r="180" spans="1:28" ht="15.75" customHeight="1">
      <c r="A180" s="200">
        <v>30</v>
      </c>
      <c r="B180" s="59">
        <v>3</v>
      </c>
    </row>
    <row r="181" spans="1:28" ht="15.75" customHeight="1">
      <c r="A181" s="201">
        <v>31</v>
      </c>
      <c r="B181" s="58">
        <v>1</v>
      </c>
    </row>
    <row r="182" spans="1:28" ht="15.75" customHeight="1">
      <c r="A182" s="200">
        <v>31</v>
      </c>
      <c r="B182" s="59">
        <v>2</v>
      </c>
    </row>
    <row r="183" spans="1:28" ht="15.75" customHeight="1">
      <c r="A183" s="200">
        <v>31</v>
      </c>
      <c r="B183" s="59">
        <v>3</v>
      </c>
    </row>
    <row r="184" spans="1:28" ht="15.75" customHeight="1">
      <c r="A184" s="200">
        <v>31</v>
      </c>
      <c r="B184" s="59">
        <v>4</v>
      </c>
    </row>
    <row r="185" spans="1:28" ht="15.75" customHeight="1">
      <c r="A185" s="202">
        <v>31</v>
      </c>
      <c r="B185" s="203">
        <v>5</v>
      </c>
    </row>
    <row r="186" spans="1:28" ht="15.75" customHeight="1">
      <c r="A186" s="177">
        <v>32</v>
      </c>
      <c r="B186" s="178">
        <v>1</v>
      </c>
    </row>
    <row r="187" spans="1:28" ht="15.75" customHeight="1">
      <c r="A187" s="174">
        <v>32</v>
      </c>
      <c r="B187" s="179">
        <v>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8" ht="15.75" customHeight="1">
      <c r="A188" s="201">
        <v>33</v>
      </c>
      <c r="B188" s="178">
        <v>1</v>
      </c>
      <c r="C188" s="127">
        <v>0.01</v>
      </c>
      <c r="D188" s="206">
        <v>1.4999999999999999E-2</v>
      </c>
      <c r="E188" s="206">
        <v>2.1999999999999999E-2</v>
      </c>
      <c r="F188" s="206">
        <v>3.2000000000000001E-2</v>
      </c>
      <c r="G188" s="206">
        <v>4.5999999999999999E-2</v>
      </c>
      <c r="H188" s="206">
        <v>6.9000000000000006E-2</v>
      </c>
      <c r="I188" s="206">
        <v>0.10199999999999999</v>
      </c>
      <c r="J188" s="206">
        <v>0.14899999999999999</v>
      </c>
      <c r="K188" s="206">
        <v>0.219</v>
      </c>
      <c r="L188" s="206">
        <v>0.316</v>
      </c>
      <c r="M188" s="206">
        <v>0.46400000000000002</v>
      </c>
      <c r="N188" s="206">
        <v>0.69199999999999995</v>
      </c>
      <c r="O188" s="206">
        <v>0.98499999999999999</v>
      </c>
      <c r="P188" s="206">
        <v>1.4910000000000001</v>
      </c>
      <c r="Q188" s="206">
        <v>2.1539999999999999</v>
      </c>
      <c r="R188" s="206">
        <v>3.1619999999999999</v>
      </c>
      <c r="S188" s="206">
        <v>4.5709999999999997</v>
      </c>
      <c r="T188" s="206">
        <v>6.7089999999999996</v>
      </c>
      <c r="U188" s="206">
        <v>10</v>
      </c>
      <c r="V188" s="206">
        <v>14.454000000000001</v>
      </c>
      <c r="W188" s="206">
        <v>21.544</v>
      </c>
      <c r="X188" s="206">
        <v>31.140999999999998</v>
      </c>
      <c r="Y188" s="206">
        <v>46.415999999999997</v>
      </c>
      <c r="Z188" s="206">
        <v>68.129000000000005</v>
      </c>
      <c r="AA188" s="207">
        <v>100</v>
      </c>
      <c r="AB188" s="2"/>
    </row>
    <row r="189" spans="1:28" ht="15.75" customHeight="1">
      <c r="A189" s="200">
        <v>33</v>
      </c>
      <c r="B189" s="179">
        <v>2</v>
      </c>
      <c r="C189" s="48">
        <v>0.01</v>
      </c>
      <c r="D189" s="2">
        <v>1.4999999999999999E-2</v>
      </c>
      <c r="E189" s="2">
        <v>2.1999999999999999E-2</v>
      </c>
      <c r="F189" s="2">
        <v>3.2000000000000001E-2</v>
      </c>
      <c r="G189" s="2">
        <v>4.5999999999999999E-2</v>
      </c>
      <c r="H189" s="2">
        <v>6.9000000000000006E-2</v>
      </c>
      <c r="I189" s="2">
        <v>0.10199999999999999</v>
      </c>
      <c r="J189" s="2">
        <v>0.14899999999999999</v>
      </c>
      <c r="K189" s="2">
        <v>0.219</v>
      </c>
      <c r="L189" s="2">
        <v>0.316</v>
      </c>
      <c r="M189" s="2">
        <v>0.46400000000000002</v>
      </c>
      <c r="N189" s="2">
        <v>0.69199999999999995</v>
      </c>
      <c r="O189" s="2">
        <v>0.98499999999999999</v>
      </c>
      <c r="P189" s="2">
        <v>1.4910000000000001</v>
      </c>
      <c r="Q189" s="2">
        <v>2.1539999999999999</v>
      </c>
      <c r="R189" s="2">
        <v>3.1619999999999999</v>
      </c>
      <c r="S189" s="2">
        <v>4.5709999999999997</v>
      </c>
      <c r="T189" s="2">
        <v>6.7089999999999996</v>
      </c>
      <c r="U189" s="2">
        <v>10</v>
      </c>
      <c r="V189" s="2">
        <v>14.454000000000001</v>
      </c>
      <c r="W189" s="2">
        <v>21.544</v>
      </c>
      <c r="X189" s="2">
        <v>31.140999999999998</v>
      </c>
      <c r="Y189" s="2">
        <v>46.415999999999997</v>
      </c>
      <c r="Z189" s="2">
        <v>68.129000000000005</v>
      </c>
      <c r="AA189" s="208">
        <v>100</v>
      </c>
      <c r="AB189" s="2"/>
    </row>
    <row r="190" spans="1:28" ht="15.75" customHeight="1">
      <c r="A190" s="200">
        <v>33</v>
      </c>
      <c r="B190" s="179">
        <v>3</v>
      </c>
      <c r="C190" s="48">
        <v>0.01</v>
      </c>
      <c r="D190" s="2">
        <v>1.4999999999999999E-2</v>
      </c>
      <c r="E190" s="2">
        <v>2.1999999999999999E-2</v>
      </c>
      <c r="F190" s="2">
        <v>3.2000000000000001E-2</v>
      </c>
      <c r="G190" s="2">
        <v>4.5999999999999999E-2</v>
      </c>
      <c r="H190" s="2">
        <v>6.9000000000000006E-2</v>
      </c>
      <c r="I190" s="2">
        <v>0.10199999999999999</v>
      </c>
      <c r="J190" s="2">
        <v>0.14899999999999999</v>
      </c>
      <c r="K190" s="2">
        <v>0.219</v>
      </c>
      <c r="L190" s="2">
        <v>0.316</v>
      </c>
      <c r="M190" s="2">
        <v>0.46400000000000002</v>
      </c>
      <c r="N190" s="2">
        <v>0.69199999999999995</v>
      </c>
      <c r="O190" s="2">
        <v>0.98499999999999999</v>
      </c>
      <c r="P190" s="2">
        <v>1.4910000000000001</v>
      </c>
      <c r="Q190" s="2">
        <v>2.1539999999999999</v>
      </c>
      <c r="R190" s="2">
        <v>3.1619999999999999</v>
      </c>
      <c r="S190" s="2">
        <v>4.5709999999999997</v>
      </c>
      <c r="T190" s="2">
        <v>6.7089999999999996</v>
      </c>
      <c r="U190" s="2">
        <v>10</v>
      </c>
      <c r="V190" s="2">
        <v>14.454000000000001</v>
      </c>
      <c r="W190" s="2">
        <v>21.544</v>
      </c>
      <c r="X190" s="2">
        <v>31.140999999999998</v>
      </c>
      <c r="Y190" s="2">
        <v>46.415999999999997</v>
      </c>
      <c r="Z190" s="2">
        <v>68.129000000000005</v>
      </c>
      <c r="AA190" s="208">
        <v>100</v>
      </c>
      <c r="AB190" s="2"/>
    </row>
    <row r="191" spans="1:28" ht="15.75" customHeight="1">
      <c r="A191" s="202">
        <v>33</v>
      </c>
      <c r="B191" s="180">
        <v>4</v>
      </c>
      <c r="C191" s="128">
        <v>0.01</v>
      </c>
      <c r="D191" s="30">
        <v>1.4999999999999999E-2</v>
      </c>
      <c r="E191" s="30">
        <v>2.1999999999999999E-2</v>
      </c>
      <c r="F191" s="30">
        <v>3.2000000000000001E-2</v>
      </c>
      <c r="G191" s="30">
        <v>4.5999999999999999E-2</v>
      </c>
      <c r="H191" s="30">
        <v>6.9000000000000006E-2</v>
      </c>
      <c r="I191" s="30">
        <v>0.10199999999999999</v>
      </c>
      <c r="J191" s="30">
        <v>0.14899999999999999</v>
      </c>
      <c r="K191" s="30">
        <v>0.219</v>
      </c>
      <c r="L191" s="30">
        <v>0.316</v>
      </c>
      <c r="M191" s="30">
        <v>0.46400000000000002</v>
      </c>
      <c r="N191" s="30">
        <v>0.69199999999999995</v>
      </c>
      <c r="O191" s="30">
        <v>0.98499999999999999</v>
      </c>
      <c r="P191" s="30">
        <v>1.4910000000000001</v>
      </c>
      <c r="Q191" s="30">
        <v>2.1539999999999999</v>
      </c>
      <c r="R191" s="30">
        <v>3.1619999999999999</v>
      </c>
      <c r="S191" s="30">
        <v>4.5709999999999997</v>
      </c>
      <c r="T191" s="30">
        <v>6.7089999999999996</v>
      </c>
      <c r="U191" s="30">
        <v>10</v>
      </c>
      <c r="V191" s="30">
        <v>14.454000000000001</v>
      </c>
      <c r="W191" s="30">
        <v>21.544</v>
      </c>
      <c r="X191" s="30">
        <v>31.140999999999998</v>
      </c>
      <c r="Y191" s="30">
        <v>46.415999999999997</v>
      </c>
      <c r="Z191" s="30">
        <v>68.129000000000005</v>
      </c>
      <c r="AA191" s="209">
        <v>100</v>
      </c>
      <c r="AB191" s="2"/>
    </row>
    <row r="192" spans="1:28" ht="15.75" customHeight="1">
      <c r="A192" s="181">
        <v>34</v>
      </c>
      <c r="B192" s="178">
        <v>1</v>
      </c>
      <c r="C192" s="8">
        <v>0.1</v>
      </c>
      <c r="D192" s="8">
        <v>0.157</v>
      </c>
      <c r="E192" s="8">
        <v>0.25</v>
      </c>
      <c r="F192" s="8">
        <v>0.4</v>
      </c>
      <c r="G192" s="8">
        <v>0.62</v>
      </c>
      <c r="H192" s="8">
        <v>0.99</v>
      </c>
      <c r="I192" s="8">
        <v>1.5669999999999999</v>
      </c>
      <c r="J192" s="8">
        <v>2.5259999999999998</v>
      </c>
      <c r="K192" s="8">
        <v>3.9580000000000002</v>
      </c>
      <c r="L192" s="8">
        <v>6.3220000000000001</v>
      </c>
      <c r="M192" s="8">
        <v>9.9049999999999994</v>
      </c>
      <c r="N192" s="8">
        <v>15.971</v>
      </c>
      <c r="O192" s="8">
        <v>24.548999999999999</v>
      </c>
      <c r="P192" s="8">
        <v>39.207000000000001</v>
      </c>
      <c r="Q192" s="8">
        <v>62.615000000000002</v>
      </c>
      <c r="R192" s="8">
        <v>98.106999999999999</v>
      </c>
      <c r="S192" s="8">
        <v>156.68299999999999</v>
      </c>
      <c r="T192" s="8">
        <v>245.494</v>
      </c>
      <c r="U192" s="8">
        <v>388.34</v>
      </c>
      <c r="V192" s="8">
        <v>632.16399999999999</v>
      </c>
      <c r="W192" s="2"/>
      <c r="X192" s="2"/>
      <c r="Y192" s="2"/>
      <c r="Z192" s="2"/>
      <c r="AA192" s="2"/>
    </row>
    <row r="193" spans="1:36" ht="15.75" customHeight="1">
      <c r="A193" s="182">
        <v>34</v>
      </c>
      <c r="B193" s="179">
        <v>2</v>
      </c>
      <c r="C193" s="8">
        <v>0.1</v>
      </c>
      <c r="D193" s="8">
        <v>0.157</v>
      </c>
      <c r="E193" s="8">
        <v>0.25</v>
      </c>
      <c r="F193" s="8">
        <v>0.4</v>
      </c>
      <c r="G193" s="8">
        <v>0.62</v>
      </c>
      <c r="H193" s="8">
        <v>0.99</v>
      </c>
      <c r="I193" s="8">
        <v>1.5669999999999999</v>
      </c>
      <c r="J193" s="8">
        <v>2.5259999999999998</v>
      </c>
      <c r="K193" s="8">
        <v>3.9580000000000002</v>
      </c>
      <c r="L193" s="8">
        <v>6.3220000000000001</v>
      </c>
      <c r="M193" s="8">
        <v>9.9049999999999994</v>
      </c>
      <c r="N193" s="8">
        <v>15.971</v>
      </c>
      <c r="O193" s="8">
        <v>24.548999999999999</v>
      </c>
      <c r="P193" s="8">
        <v>39.207000000000001</v>
      </c>
      <c r="Q193" s="8">
        <v>62.615000000000002</v>
      </c>
      <c r="R193" s="8">
        <v>98.106999999999999</v>
      </c>
      <c r="S193" s="8">
        <v>156.68299999999999</v>
      </c>
      <c r="T193" s="8">
        <v>245.494</v>
      </c>
      <c r="U193" s="8">
        <v>388.34</v>
      </c>
      <c r="V193" s="8">
        <v>632.16399999999999</v>
      </c>
    </row>
    <row r="194" spans="1:36" ht="15.75" customHeight="1">
      <c r="A194" s="182">
        <v>34</v>
      </c>
      <c r="B194" s="179">
        <v>3</v>
      </c>
      <c r="C194" s="8">
        <v>0.1</v>
      </c>
      <c r="D194" s="8">
        <v>0.157</v>
      </c>
      <c r="E194" s="8">
        <v>0.25</v>
      </c>
      <c r="F194" s="8">
        <v>0.4</v>
      </c>
      <c r="G194" s="8">
        <v>0.62</v>
      </c>
      <c r="H194" s="8">
        <v>0.99</v>
      </c>
      <c r="I194" s="8">
        <v>1.5669999999999999</v>
      </c>
      <c r="J194" s="8">
        <v>2.5259999999999998</v>
      </c>
      <c r="K194" s="8">
        <v>3.9580000000000002</v>
      </c>
      <c r="L194" s="8">
        <v>6.3220000000000001</v>
      </c>
      <c r="M194" s="8">
        <v>9.9049999999999994</v>
      </c>
      <c r="N194" s="8">
        <v>15.971</v>
      </c>
      <c r="O194" s="8">
        <v>24.548999999999999</v>
      </c>
      <c r="P194" s="8">
        <v>39.207000000000001</v>
      </c>
      <c r="Q194" s="8">
        <v>62.615000000000002</v>
      </c>
      <c r="R194" s="8">
        <v>98.106999999999999</v>
      </c>
      <c r="S194" s="8">
        <v>156.68299999999999</v>
      </c>
      <c r="T194" s="8">
        <v>245.494</v>
      </c>
      <c r="U194" s="8">
        <v>388.34</v>
      </c>
      <c r="V194" s="8"/>
    </row>
    <row r="195" spans="1:36" ht="15.75" customHeight="1">
      <c r="A195" s="182">
        <v>34</v>
      </c>
      <c r="B195" s="179">
        <v>4</v>
      </c>
      <c r="C195" s="8">
        <v>0.1</v>
      </c>
      <c r="D195" s="8">
        <v>0.157</v>
      </c>
      <c r="E195" s="8">
        <v>0.25</v>
      </c>
      <c r="F195" s="8">
        <v>0.4</v>
      </c>
      <c r="G195" s="8">
        <v>0.62</v>
      </c>
      <c r="H195" s="8">
        <v>0.99</v>
      </c>
      <c r="I195" s="8">
        <v>1.5669999999999999</v>
      </c>
      <c r="J195" s="8">
        <v>2.5259999999999998</v>
      </c>
      <c r="K195" s="8">
        <v>3.9580000000000002</v>
      </c>
      <c r="L195" s="8">
        <v>6.3220000000000001</v>
      </c>
      <c r="M195" s="8">
        <v>9.9049999999999994</v>
      </c>
      <c r="N195" s="8">
        <v>15.971</v>
      </c>
      <c r="O195" s="8">
        <v>24.548999999999999</v>
      </c>
      <c r="P195" s="8">
        <v>39.207000000000001</v>
      </c>
      <c r="Q195" s="8">
        <v>62.615000000000002</v>
      </c>
      <c r="R195" s="8">
        <v>98.106999999999999</v>
      </c>
      <c r="S195" s="8">
        <v>156.68299999999999</v>
      </c>
      <c r="T195" s="8">
        <v>245.494</v>
      </c>
      <c r="U195" s="8">
        <v>388.34</v>
      </c>
      <c r="V195" s="8">
        <v>632.16399999999999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6" ht="15.75" customHeight="1">
      <c r="A196" s="201">
        <v>35</v>
      </c>
      <c r="B196" s="58">
        <v>1</v>
      </c>
      <c r="C196" s="206">
        <v>1.0999999999999999E-2</v>
      </c>
      <c r="D196" s="206">
        <v>1.4E-2</v>
      </c>
      <c r="E196" s="206">
        <v>1.7999999999999999E-2</v>
      </c>
      <c r="F196" s="206">
        <v>2.4E-2</v>
      </c>
      <c r="G196" s="206">
        <v>3.3000000000000002E-2</v>
      </c>
      <c r="H196" s="206">
        <v>4.2000000000000003E-2</v>
      </c>
      <c r="I196" s="206">
        <v>0.06</v>
      </c>
      <c r="J196" s="206">
        <v>7.5999999999999998E-2</v>
      </c>
      <c r="K196" s="206">
        <v>9.9000000000000005E-2</v>
      </c>
      <c r="L196" s="206">
        <v>0.129</v>
      </c>
      <c r="M196" s="206">
        <v>0.17699999999999999</v>
      </c>
      <c r="N196" s="206">
        <v>0.23799999999999999</v>
      </c>
      <c r="O196" s="206">
        <v>0.32600000000000001</v>
      </c>
      <c r="P196" s="206">
        <v>0.40600000000000003</v>
      </c>
      <c r="Q196" s="206">
        <v>0.56999999999999995</v>
      </c>
      <c r="R196" s="206">
        <v>0.74</v>
      </c>
      <c r="S196" s="408">
        <v>1.0169999999999999</v>
      </c>
      <c r="T196" s="408">
        <v>1.35</v>
      </c>
      <c r="U196" s="408">
        <v>1.794</v>
      </c>
      <c r="V196" s="408">
        <v>2.3319999999999999</v>
      </c>
      <c r="W196" s="408">
        <v>3.2719999999999998</v>
      </c>
      <c r="X196" s="408">
        <v>4.1609999999999996</v>
      </c>
      <c r="Y196" s="408">
        <v>5.5279999999999996</v>
      </c>
      <c r="Z196" s="408">
        <v>7.2649999999999997</v>
      </c>
      <c r="AA196" s="408">
        <v>9.9730000000000008</v>
      </c>
      <c r="AB196" s="408">
        <v>13.395</v>
      </c>
      <c r="AC196" s="408">
        <v>17.41</v>
      </c>
      <c r="AD196" s="408">
        <v>24.163</v>
      </c>
      <c r="AE196" s="408">
        <v>30.728999999999999</v>
      </c>
      <c r="AF196" s="408">
        <v>40.380000000000003</v>
      </c>
      <c r="AG196" s="408">
        <v>56.658000000000001</v>
      </c>
      <c r="AH196" s="408">
        <v>76.099000000000004</v>
      </c>
      <c r="AI196" s="412">
        <v>100</v>
      </c>
      <c r="AJ196" s="2"/>
    </row>
    <row r="197" spans="1:36" ht="15.75" customHeight="1">
      <c r="A197" s="200">
        <v>35</v>
      </c>
      <c r="B197" s="59">
        <v>2</v>
      </c>
      <c r="C197" s="2">
        <v>1.0999999999999999E-2</v>
      </c>
      <c r="D197" s="2">
        <v>1.4E-2</v>
      </c>
      <c r="E197" s="2">
        <v>1.7999999999999999E-2</v>
      </c>
      <c r="F197" s="2">
        <v>2.4E-2</v>
      </c>
      <c r="G197" s="2">
        <v>3.3000000000000002E-2</v>
      </c>
      <c r="H197" s="2">
        <v>4.2000000000000003E-2</v>
      </c>
      <c r="I197" s="2">
        <v>0.06</v>
      </c>
      <c r="J197" s="2">
        <v>7.5999999999999998E-2</v>
      </c>
      <c r="K197" s="2">
        <v>9.9000000000000005E-2</v>
      </c>
      <c r="L197" s="2">
        <v>0.129</v>
      </c>
      <c r="M197" s="2">
        <v>0.17699999999999999</v>
      </c>
      <c r="N197" s="2">
        <v>0.23799999999999999</v>
      </c>
      <c r="O197" s="2">
        <v>0.32600000000000001</v>
      </c>
      <c r="P197" s="2">
        <v>0.40600000000000003</v>
      </c>
      <c r="Q197" s="2">
        <v>0.56999999999999995</v>
      </c>
      <c r="R197" s="2">
        <v>0.74</v>
      </c>
      <c r="S197" s="79">
        <v>1.0169999999999999</v>
      </c>
      <c r="T197" s="79">
        <v>1.35</v>
      </c>
      <c r="U197" s="79">
        <v>1.794</v>
      </c>
      <c r="V197" s="79">
        <v>2.3319999999999999</v>
      </c>
      <c r="W197" s="79">
        <v>3.2719999999999998</v>
      </c>
      <c r="X197" s="79">
        <v>4.1609999999999996</v>
      </c>
      <c r="Y197" s="79">
        <v>5.5279999999999996</v>
      </c>
      <c r="Z197" s="79">
        <v>7.2649999999999997</v>
      </c>
      <c r="AA197" s="79">
        <v>9.9730000000000008</v>
      </c>
      <c r="AB197" s="79">
        <v>13.395</v>
      </c>
      <c r="AC197" s="79">
        <v>17.41</v>
      </c>
      <c r="AD197" s="79">
        <v>24.163</v>
      </c>
      <c r="AE197" s="79">
        <v>30.728999999999999</v>
      </c>
      <c r="AF197" s="79">
        <v>40.380000000000003</v>
      </c>
      <c r="AG197" s="79">
        <v>56.658000000000001</v>
      </c>
      <c r="AH197" s="79">
        <v>76.099000000000004</v>
      </c>
      <c r="AI197" s="265">
        <v>100</v>
      </c>
      <c r="AJ197" s="2"/>
    </row>
    <row r="198" spans="1:36" ht="15.75" customHeight="1">
      <c r="A198" s="200">
        <v>35</v>
      </c>
      <c r="B198" s="59">
        <v>3</v>
      </c>
      <c r="C198" s="2">
        <v>1.0999999999999999E-2</v>
      </c>
      <c r="D198" s="2">
        <v>1.4E-2</v>
      </c>
      <c r="E198" s="2">
        <v>1.7999999999999999E-2</v>
      </c>
      <c r="F198" s="2">
        <v>2.4E-2</v>
      </c>
      <c r="G198" s="2">
        <v>3.3000000000000002E-2</v>
      </c>
      <c r="H198" s="2">
        <v>4.2000000000000003E-2</v>
      </c>
      <c r="I198" s="2">
        <v>0.06</v>
      </c>
      <c r="J198" s="2">
        <v>7.5999999999999998E-2</v>
      </c>
      <c r="K198" s="2">
        <v>9.9000000000000005E-2</v>
      </c>
      <c r="L198" s="2">
        <v>0.129</v>
      </c>
      <c r="M198" s="2">
        <v>0.17699999999999999</v>
      </c>
      <c r="N198" s="2">
        <v>0.23799999999999999</v>
      </c>
      <c r="O198" s="2">
        <v>0.32600000000000001</v>
      </c>
      <c r="P198" s="2">
        <v>0.40600000000000003</v>
      </c>
      <c r="Q198" s="2">
        <v>0.56999999999999995</v>
      </c>
      <c r="R198" s="2">
        <v>0.74</v>
      </c>
      <c r="S198" s="79">
        <v>1.0169999999999999</v>
      </c>
      <c r="T198" s="79">
        <v>1.35</v>
      </c>
      <c r="U198" s="79">
        <v>1.794</v>
      </c>
      <c r="V198" s="79">
        <v>2.3319999999999999</v>
      </c>
      <c r="W198" s="79">
        <v>3.2719999999999998</v>
      </c>
      <c r="X198" s="79">
        <v>4.1609999999999996</v>
      </c>
      <c r="Y198" s="79">
        <v>5.5279999999999996</v>
      </c>
      <c r="Z198" s="79">
        <v>7.2649999999999997</v>
      </c>
      <c r="AA198" s="79">
        <v>9.9730000000000008</v>
      </c>
      <c r="AB198" s="79">
        <v>13.395</v>
      </c>
      <c r="AC198" s="79">
        <v>17.41</v>
      </c>
      <c r="AD198" s="79">
        <v>24.163</v>
      </c>
      <c r="AE198" s="79">
        <v>30.728999999999999</v>
      </c>
      <c r="AF198" s="79">
        <v>40.380000000000003</v>
      </c>
      <c r="AG198" s="79">
        <v>56.658000000000001</v>
      </c>
      <c r="AH198" s="79">
        <v>76.099000000000004</v>
      </c>
      <c r="AI198" s="265">
        <v>100</v>
      </c>
      <c r="AJ198" s="2"/>
    </row>
    <row r="199" spans="1:36" ht="15.75" customHeight="1">
      <c r="A199" s="202">
        <v>35</v>
      </c>
      <c r="B199" s="203">
        <v>4</v>
      </c>
      <c r="C199" s="30">
        <v>1.0999999999999999E-2</v>
      </c>
      <c r="D199" s="30">
        <v>1.4E-2</v>
      </c>
      <c r="E199" s="30">
        <v>1.7999999999999999E-2</v>
      </c>
      <c r="F199" s="30">
        <v>2.4E-2</v>
      </c>
      <c r="G199" s="30">
        <v>3.3000000000000002E-2</v>
      </c>
      <c r="H199" s="30">
        <v>4.2000000000000003E-2</v>
      </c>
      <c r="I199" s="30">
        <v>0.06</v>
      </c>
      <c r="J199" s="30">
        <v>7.5999999999999998E-2</v>
      </c>
      <c r="K199" s="30">
        <v>9.9000000000000005E-2</v>
      </c>
      <c r="L199" s="30">
        <v>0.129</v>
      </c>
      <c r="M199" s="30">
        <v>0.17699999999999999</v>
      </c>
      <c r="N199" s="30">
        <v>0.23799999999999999</v>
      </c>
      <c r="O199" s="30">
        <v>0.32600000000000001</v>
      </c>
      <c r="P199" s="30">
        <v>0.40600000000000003</v>
      </c>
      <c r="Q199" s="30">
        <v>0.56999999999999995</v>
      </c>
      <c r="R199" s="30">
        <v>0.74</v>
      </c>
      <c r="S199" s="97">
        <v>1.0169999999999999</v>
      </c>
      <c r="T199" s="97">
        <v>1.35</v>
      </c>
      <c r="U199" s="97">
        <v>1.794</v>
      </c>
      <c r="V199" s="97">
        <v>2.3319999999999999</v>
      </c>
      <c r="W199" s="97">
        <v>3.2719999999999998</v>
      </c>
      <c r="X199" s="97">
        <v>4.1609999999999996</v>
      </c>
      <c r="Y199" s="97">
        <v>5.5279999999999996</v>
      </c>
      <c r="Z199" s="97">
        <v>7.2649999999999997</v>
      </c>
      <c r="AA199" s="97">
        <v>9.9730000000000008</v>
      </c>
      <c r="AB199" s="97">
        <v>13.395</v>
      </c>
      <c r="AC199" s="97">
        <v>17.41</v>
      </c>
      <c r="AD199" s="97">
        <v>24.163</v>
      </c>
      <c r="AE199" s="97">
        <v>30.728999999999999</v>
      </c>
      <c r="AF199" s="97">
        <v>40.380000000000003</v>
      </c>
      <c r="AG199" s="97">
        <v>56.658000000000001</v>
      </c>
      <c r="AH199" s="97">
        <v>76.099000000000004</v>
      </c>
      <c r="AI199" s="281">
        <v>100</v>
      </c>
      <c r="AJ199" s="2"/>
    </row>
    <row r="200" spans="1:36" ht="15.75" customHeight="1">
      <c r="A200" s="205">
        <v>36</v>
      </c>
      <c r="B200" s="59">
        <v>1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6" ht="15.75" customHeight="1">
      <c r="A201" s="205">
        <v>36</v>
      </c>
      <c r="B201" s="59">
        <v>2</v>
      </c>
    </row>
    <row r="202" spans="1:36" ht="15.75" customHeight="1">
      <c r="A202" s="205">
        <v>36</v>
      </c>
      <c r="B202" s="59">
        <v>3</v>
      </c>
    </row>
    <row r="203" spans="1:36" ht="15.75" customHeight="1">
      <c r="A203" s="213">
        <v>36</v>
      </c>
      <c r="B203" s="59">
        <v>4</v>
      </c>
    </row>
    <row r="204" spans="1:36" ht="15.75" customHeight="1">
      <c r="A204" s="205">
        <v>37</v>
      </c>
      <c r="B204" s="178">
        <v>1</v>
      </c>
    </row>
    <row r="205" spans="1:36" ht="15.75" customHeight="1">
      <c r="A205" s="205">
        <v>37</v>
      </c>
      <c r="B205" s="179">
        <v>2</v>
      </c>
    </row>
    <row r="206" spans="1:36" ht="15.75" customHeight="1">
      <c r="A206" s="205">
        <v>37</v>
      </c>
      <c r="B206" s="179">
        <v>3</v>
      </c>
    </row>
    <row r="207" spans="1:36" ht="15.75" customHeight="1">
      <c r="A207" s="205">
        <v>37</v>
      </c>
      <c r="B207" s="179">
        <v>4</v>
      </c>
    </row>
    <row r="208" spans="1:36" ht="15.75" customHeight="1">
      <c r="A208" s="205">
        <v>37</v>
      </c>
      <c r="B208" s="179">
        <v>5</v>
      </c>
    </row>
    <row r="209" spans="1:24" ht="15.75" customHeight="1">
      <c r="A209" s="205">
        <v>37</v>
      </c>
      <c r="B209" s="179">
        <v>6</v>
      </c>
    </row>
    <row r="210" spans="1:24" ht="15.75" customHeight="1">
      <c r="A210" s="205">
        <v>37</v>
      </c>
      <c r="B210" s="179">
        <v>7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4" ht="15.75" customHeight="1">
      <c r="A211" s="201">
        <v>38</v>
      </c>
      <c r="B211" s="58">
        <v>1</v>
      </c>
      <c r="C211" s="194">
        <v>9.9000000000000005E-2</v>
      </c>
      <c r="D211" s="194">
        <v>0.125</v>
      </c>
      <c r="E211" s="194">
        <v>0.156</v>
      </c>
      <c r="F211" s="194">
        <v>0.19700000000000001</v>
      </c>
      <c r="G211" s="194">
        <v>0.25600000000000001</v>
      </c>
      <c r="H211" s="194">
        <v>0.315</v>
      </c>
      <c r="I211" s="194">
        <v>0.39900000000000002</v>
      </c>
      <c r="J211" s="194">
        <v>0.5</v>
      </c>
      <c r="K211" s="194">
        <v>0.622</v>
      </c>
      <c r="L211" s="194">
        <v>0.79400000000000004</v>
      </c>
      <c r="M211" s="277">
        <v>1.0049999999999999</v>
      </c>
      <c r="N211" s="277">
        <v>1.2709999999999999</v>
      </c>
      <c r="O211" s="277">
        <v>1.6240000000000001</v>
      </c>
      <c r="P211" s="277">
        <v>1.998</v>
      </c>
      <c r="Q211" s="277">
        <v>2.5049999999999999</v>
      </c>
      <c r="R211" s="277">
        <v>3.23</v>
      </c>
      <c r="S211" s="277">
        <v>4.0110000000000001</v>
      </c>
      <c r="T211" s="277">
        <v>5.0279999999999996</v>
      </c>
      <c r="U211" s="277">
        <v>6.423</v>
      </c>
      <c r="V211" s="277">
        <v>8.2059999999999995</v>
      </c>
      <c r="W211" s="278">
        <v>10.19</v>
      </c>
      <c r="X211" s="2"/>
    </row>
    <row r="212" spans="1:24" ht="15.75" customHeight="1">
      <c r="A212" s="200">
        <v>38</v>
      </c>
      <c r="B212" s="59">
        <v>2</v>
      </c>
      <c r="C212" s="20">
        <v>9.9000000000000005E-2</v>
      </c>
      <c r="D212" s="20">
        <v>0.125</v>
      </c>
      <c r="E212" s="20">
        <v>0.156</v>
      </c>
      <c r="F212" s="20">
        <v>0.19700000000000001</v>
      </c>
      <c r="G212" s="20">
        <v>0.25600000000000001</v>
      </c>
      <c r="H212" s="20">
        <v>0.315</v>
      </c>
      <c r="I212" s="20">
        <v>0.39900000000000002</v>
      </c>
      <c r="J212" s="20">
        <v>0.5</v>
      </c>
      <c r="K212" s="20">
        <v>0.622</v>
      </c>
      <c r="L212" s="20">
        <v>0.79400000000000004</v>
      </c>
      <c r="M212" s="95">
        <v>1.0049999999999999</v>
      </c>
      <c r="N212" s="95">
        <v>1.2709999999999999</v>
      </c>
      <c r="O212" s="95">
        <v>1.6240000000000001</v>
      </c>
      <c r="P212" s="95">
        <v>1.998</v>
      </c>
      <c r="Q212" s="95">
        <v>2.5049999999999999</v>
      </c>
      <c r="R212" s="95">
        <v>3.23</v>
      </c>
      <c r="S212" s="95">
        <v>4.0110000000000001</v>
      </c>
      <c r="T212" s="95">
        <v>5.0279999999999996</v>
      </c>
      <c r="U212" s="95">
        <v>6.423</v>
      </c>
      <c r="V212" s="95">
        <v>8.2059999999999995</v>
      </c>
      <c r="W212" s="279">
        <v>10.19</v>
      </c>
      <c r="X212" s="2"/>
    </row>
    <row r="213" spans="1:24" ht="15.75" customHeight="1">
      <c r="A213" s="200">
        <v>38</v>
      </c>
      <c r="B213" s="59">
        <v>3</v>
      </c>
      <c r="C213" s="20">
        <v>9.9000000000000005E-2</v>
      </c>
      <c r="D213" s="20">
        <v>0.125</v>
      </c>
      <c r="E213" s="20">
        <v>0.156</v>
      </c>
      <c r="F213" s="20">
        <v>0.19700000000000001</v>
      </c>
      <c r="G213" s="20">
        <v>0.25600000000000001</v>
      </c>
      <c r="H213" s="20">
        <v>0.315</v>
      </c>
      <c r="I213" s="20">
        <v>0.39900000000000002</v>
      </c>
      <c r="J213" s="20">
        <v>0.5</v>
      </c>
      <c r="K213" s="20">
        <v>0.622</v>
      </c>
      <c r="L213" s="20">
        <v>0.79400000000000004</v>
      </c>
      <c r="M213" s="95">
        <v>1.0049999999999999</v>
      </c>
      <c r="N213" s="95">
        <v>1.2709999999999999</v>
      </c>
      <c r="O213" s="95">
        <v>1.6240000000000001</v>
      </c>
      <c r="P213" s="95">
        <v>1.998</v>
      </c>
      <c r="Q213" s="95">
        <v>2.5049999999999999</v>
      </c>
      <c r="R213" s="95">
        <v>3.23</v>
      </c>
      <c r="S213" s="95">
        <v>4.0110000000000001</v>
      </c>
      <c r="T213" s="95">
        <v>5.0279999999999996</v>
      </c>
      <c r="U213" s="95">
        <v>6.423</v>
      </c>
      <c r="V213" s="95">
        <v>8.2059999999999995</v>
      </c>
      <c r="W213" s="279">
        <v>10.19</v>
      </c>
      <c r="X213" s="2"/>
    </row>
    <row r="214" spans="1:24" ht="15.75" customHeight="1">
      <c r="A214" s="200">
        <v>38</v>
      </c>
      <c r="B214" s="59">
        <v>4</v>
      </c>
      <c r="C214" s="20">
        <v>9.9000000000000005E-2</v>
      </c>
      <c r="D214" s="20">
        <v>0.125</v>
      </c>
      <c r="E214" s="20">
        <v>0.156</v>
      </c>
      <c r="F214" s="20">
        <v>0.19700000000000001</v>
      </c>
      <c r="G214" s="20">
        <v>0.25600000000000001</v>
      </c>
      <c r="H214" s="20">
        <v>0.315</v>
      </c>
      <c r="I214" s="20">
        <v>0.39900000000000002</v>
      </c>
      <c r="J214" s="20">
        <v>0.5</v>
      </c>
      <c r="K214" s="20">
        <v>0.622</v>
      </c>
      <c r="L214" s="20">
        <v>0.79400000000000004</v>
      </c>
      <c r="M214" s="95">
        <v>1.0049999999999999</v>
      </c>
      <c r="N214" s="95">
        <v>1.2709999999999999</v>
      </c>
      <c r="O214" s="95">
        <v>1.6240000000000001</v>
      </c>
      <c r="P214" s="95">
        <v>1.998</v>
      </c>
      <c r="Q214" s="95">
        <v>2.5049999999999999</v>
      </c>
      <c r="R214" s="95">
        <v>3.23</v>
      </c>
      <c r="S214" s="95">
        <v>4.0110000000000001</v>
      </c>
      <c r="T214" s="95">
        <v>5.0279999999999996</v>
      </c>
      <c r="U214" s="95">
        <v>6.423</v>
      </c>
      <c r="V214" s="95">
        <v>8.2059999999999995</v>
      </c>
      <c r="W214" s="279">
        <v>10.19</v>
      </c>
      <c r="X214" s="2"/>
    </row>
    <row r="215" spans="1:24" ht="15.75" customHeight="1">
      <c r="A215" s="200">
        <v>38</v>
      </c>
      <c r="B215" s="59">
        <v>5</v>
      </c>
      <c r="C215" s="20">
        <v>9.9000000000000005E-2</v>
      </c>
      <c r="D215" s="20">
        <v>0.125</v>
      </c>
      <c r="E215" s="20">
        <v>0.156</v>
      </c>
      <c r="F215" s="20">
        <v>0.19700000000000001</v>
      </c>
      <c r="G215" s="20">
        <v>0.25600000000000001</v>
      </c>
      <c r="H215" s="20">
        <v>0.315</v>
      </c>
      <c r="I215" s="20">
        <v>0.39900000000000002</v>
      </c>
      <c r="J215" s="20">
        <v>0.5</v>
      </c>
      <c r="K215" s="20">
        <v>0.622</v>
      </c>
      <c r="L215" s="20">
        <v>0.79400000000000004</v>
      </c>
      <c r="M215" s="95">
        <v>1.0049999999999999</v>
      </c>
      <c r="N215" s="95">
        <v>1.2709999999999999</v>
      </c>
      <c r="O215" s="95">
        <v>1.6240000000000001</v>
      </c>
      <c r="P215" s="95">
        <v>1.998</v>
      </c>
      <c r="Q215" s="95">
        <v>2.5049999999999999</v>
      </c>
      <c r="R215" s="95">
        <v>3.23</v>
      </c>
      <c r="S215" s="95">
        <v>4.0110000000000001</v>
      </c>
      <c r="T215" s="95">
        <v>5.0279999999999996</v>
      </c>
      <c r="U215" s="95">
        <v>6.423</v>
      </c>
      <c r="V215" s="95">
        <v>8.2059999999999995</v>
      </c>
      <c r="W215" s="279">
        <v>10.19</v>
      </c>
      <c r="X215" s="2"/>
    </row>
    <row r="216" spans="1:24" ht="15.75" customHeight="1">
      <c r="A216" s="200">
        <v>38</v>
      </c>
      <c r="B216" s="59">
        <v>6</v>
      </c>
      <c r="C216" s="20">
        <v>9.9000000000000005E-2</v>
      </c>
      <c r="D216" s="20">
        <v>0.125</v>
      </c>
      <c r="E216" s="20">
        <v>0.156</v>
      </c>
      <c r="F216" s="20">
        <v>0.19700000000000001</v>
      </c>
      <c r="G216" s="20">
        <v>0.25600000000000001</v>
      </c>
      <c r="H216" s="20">
        <v>0.315</v>
      </c>
      <c r="I216" s="20">
        <v>0.39900000000000002</v>
      </c>
      <c r="J216" s="20">
        <v>0.5</v>
      </c>
      <c r="K216" s="20">
        <v>0.622</v>
      </c>
      <c r="L216" s="20">
        <v>0.79400000000000004</v>
      </c>
      <c r="M216" s="96">
        <v>1.0049999999999999</v>
      </c>
      <c r="N216" s="96">
        <v>1.2709999999999999</v>
      </c>
      <c r="O216" s="96">
        <v>1.6240000000000001</v>
      </c>
      <c r="P216" s="96">
        <v>1.998</v>
      </c>
      <c r="Q216" s="96">
        <v>2.5049999999999999</v>
      </c>
      <c r="R216" s="96">
        <v>3.23</v>
      </c>
      <c r="S216" s="96">
        <v>4.0110000000000001</v>
      </c>
      <c r="T216" s="96">
        <v>5.0279999999999996</v>
      </c>
      <c r="U216" s="96">
        <v>6.423</v>
      </c>
      <c r="V216" s="96">
        <v>8.2059999999999995</v>
      </c>
      <c r="W216" s="280">
        <v>10.19</v>
      </c>
      <c r="X216" s="2"/>
    </row>
    <row r="217" spans="1:24" ht="15.75" customHeight="1">
      <c r="A217" s="201">
        <v>39</v>
      </c>
      <c r="B217" s="58">
        <v>1</v>
      </c>
      <c r="C217" s="119">
        <v>0.104</v>
      </c>
      <c r="D217" s="196">
        <v>0.161</v>
      </c>
      <c r="E217" s="196">
        <v>0.29099999999999998</v>
      </c>
      <c r="F217" s="196">
        <v>0.57699999999999996</v>
      </c>
      <c r="G217" s="196">
        <v>1.458</v>
      </c>
      <c r="H217" s="196">
        <v>3.5739999999999998</v>
      </c>
      <c r="I217" s="196">
        <v>7.8310000000000004</v>
      </c>
      <c r="J217" s="196">
        <v>17.513000000000002</v>
      </c>
      <c r="K217" s="196">
        <v>35.734999999999999</v>
      </c>
      <c r="L217" s="196">
        <v>84.957999999999998</v>
      </c>
      <c r="M217" s="22">
        <v>206.13900000000001</v>
      </c>
      <c r="N217" s="259">
        <v>339.60500000000002</v>
      </c>
      <c r="O217" s="2"/>
      <c r="P217" s="2"/>
      <c r="Q217" s="2"/>
      <c r="R217" s="2"/>
      <c r="S217" s="2"/>
      <c r="T217" s="2"/>
      <c r="U217" s="2"/>
      <c r="V217" s="2"/>
      <c r="W217" s="2"/>
    </row>
    <row r="218" spans="1:24" ht="15.75" customHeight="1">
      <c r="A218" s="200">
        <v>39</v>
      </c>
      <c r="B218" s="59">
        <v>2</v>
      </c>
      <c r="C218" s="120">
        <v>0.104</v>
      </c>
      <c r="D218" s="22">
        <v>0.161</v>
      </c>
      <c r="E218" s="22">
        <v>0.29099999999999998</v>
      </c>
      <c r="F218" s="22">
        <v>0.57699999999999996</v>
      </c>
      <c r="G218" s="22">
        <v>1.458</v>
      </c>
      <c r="H218" s="22">
        <v>3.5739999999999998</v>
      </c>
      <c r="I218" s="22">
        <v>7.8310000000000004</v>
      </c>
      <c r="J218" s="22">
        <v>17.513000000000002</v>
      </c>
      <c r="K218" s="22">
        <v>35.734999999999999</v>
      </c>
      <c r="L218" s="22">
        <v>84.957999999999998</v>
      </c>
      <c r="M218" s="22">
        <v>206.13900000000001</v>
      </c>
      <c r="N218" s="259">
        <v>339.60500000000002</v>
      </c>
      <c r="O218" s="2"/>
    </row>
    <row r="219" spans="1:24" ht="15.75" customHeight="1">
      <c r="A219" s="200">
        <v>39</v>
      </c>
      <c r="B219" s="59">
        <v>3</v>
      </c>
      <c r="C219" s="120">
        <v>0.104</v>
      </c>
      <c r="D219" s="22">
        <v>0.161</v>
      </c>
      <c r="E219" s="22">
        <v>0.29099999999999998</v>
      </c>
      <c r="F219" s="22">
        <v>0.57699999999999996</v>
      </c>
      <c r="G219" s="22">
        <v>1.458</v>
      </c>
      <c r="H219" s="22">
        <v>3.5739999999999998</v>
      </c>
      <c r="I219" s="22">
        <v>7.8310000000000004</v>
      </c>
      <c r="J219" s="22">
        <v>17.513000000000002</v>
      </c>
      <c r="K219" s="22">
        <v>35.734999999999999</v>
      </c>
      <c r="L219" s="22">
        <v>84.957999999999998</v>
      </c>
      <c r="M219" s="22">
        <v>206.13900000000001</v>
      </c>
      <c r="N219" s="259">
        <v>339.60500000000002</v>
      </c>
      <c r="O219" s="2"/>
    </row>
    <row r="220" spans="1:24" ht="15.75" customHeight="1">
      <c r="A220" s="200">
        <v>39</v>
      </c>
      <c r="B220" s="59">
        <v>4</v>
      </c>
      <c r="C220" s="120">
        <v>0.104</v>
      </c>
      <c r="D220" s="22">
        <v>0.161</v>
      </c>
      <c r="E220" s="22">
        <v>0.29099999999999998</v>
      </c>
      <c r="F220" s="22">
        <v>0.57699999999999996</v>
      </c>
      <c r="G220" s="22">
        <v>1.458</v>
      </c>
      <c r="H220" s="22">
        <v>3.5739999999999998</v>
      </c>
      <c r="I220" s="22">
        <v>7.8310000000000004</v>
      </c>
      <c r="J220" s="22">
        <v>17.513000000000002</v>
      </c>
      <c r="K220" s="22">
        <v>35.734999999999999</v>
      </c>
      <c r="L220" s="22">
        <v>84.957999999999998</v>
      </c>
      <c r="M220" s="22">
        <v>206.13900000000001</v>
      </c>
      <c r="N220" s="259">
        <v>339.60500000000002</v>
      </c>
      <c r="O220" s="2"/>
    </row>
    <row r="221" spans="1:24" ht="15.75" customHeight="1">
      <c r="A221" s="200">
        <v>39</v>
      </c>
      <c r="B221" s="59">
        <v>5</v>
      </c>
      <c r="C221" s="120">
        <v>9.5000000000000001E-2</v>
      </c>
      <c r="D221" s="22">
        <v>0.152</v>
      </c>
      <c r="E221" s="22">
        <v>0.41199999999999998</v>
      </c>
      <c r="F221" s="22">
        <v>1.839</v>
      </c>
      <c r="G221" s="22">
        <v>7.8079999999999998</v>
      </c>
      <c r="H221" s="22">
        <v>39.484000000000002</v>
      </c>
      <c r="I221" s="22">
        <v>134.12299999999999</v>
      </c>
      <c r="J221" s="22">
        <v>353.99599999999998</v>
      </c>
      <c r="K221" s="22"/>
      <c r="L221" s="22"/>
      <c r="M221" s="22"/>
      <c r="N221" s="259"/>
      <c r="O221" s="2"/>
    </row>
    <row r="222" spans="1:24" ht="15.75" customHeight="1">
      <c r="A222" s="200">
        <v>39</v>
      </c>
      <c r="B222" s="59">
        <v>6</v>
      </c>
      <c r="C222" s="120">
        <v>9.5000000000000001E-2</v>
      </c>
      <c r="D222" s="22">
        <v>0.152</v>
      </c>
      <c r="E222" s="22">
        <v>0.41199999999999998</v>
      </c>
      <c r="F222" s="22">
        <v>1.839</v>
      </c>
      <c r="G222" s="22">
        <v>7.8079999999999998</v>
      </c>
      <c r="H222" s="22">
        <v>39.484000000000002</v>
      </c>
      <c r="I222" s="22">
        <v>134.12299999999999</v>
      </c>
      <c r="J222" s="22">
        <v>353.99599999999998</v>
      </c>
      <c r="K222" s="22"/>
      <c r="L222" s="22"/>
      <c r="M222" s="22"/>
      <c r="N222" s="259"/>
      <c r="O222" s="2"/>
    </row>
    <row r="223" spans="1:24" ht="15.75" customHeight="1">
      <c r="A223" s="200">
        <v>39</v>
      </c>
      <c r="B223" s="59">
        <v>7</v>
      </c>
      <c r="C223" s="120">
        <v>9.5000000000000001E-2</v>
      </c>
      <c r="D223" s="22">
        <v>0.152</v>
      </c>
      <c r="E223" s="22">
        <v>0.41199999999999998</v>
      </c>
      <c r="F223" s="22">
        <v>1.839</v>
      </c>
      <c r="G223" s="22">
        <v>7.8079999999999998</v>
      </c>
      <c r="H223" s="22">
        <v>39.484000000000002</v>
      </c>
      <c r="I223" s="22">
        <v>134.12299999999999</v>
      </c>
      <c r="J223" s="22">
        <v>353.99599999999998</v>
      </c>
      <c r="K223" s="22"/>
      <c r="L223" s="22"/>
      <c r="M223" s="22"/>
      <c r="N223" s="259"/>
      <c r="O223" s="2"/>
    </row>
    <row r="224" spans="1:24" ht="15.75" customHeight="1">
      <c r="A224" s="202">
        <v>39</v>
      </c>
      <c r="B224" s="203">
        <v>8</v>
      </c>
      <c r="C224" s="121">
        <v>9.5000000000000001E-2</v>
      </c>
      <c r="D224" s="27">
        <v>0.152</v>
      </c>
      <c r="E224" s="27">
        <v>0.41199999999999998</v>
      </c>
      <c r="F224" s="27">
        <v>1.839</v>
      </c>
      <c r="G224" s="27">
        <v>7.8079999999999998</v>
      </c>
      <c r="H224" s="27">
        <v>39.484000000000002</v>
      </c>
      <c r="I224" s="27">
        <v>134.12299999999999</v>
      </c>
      <c r="J224" s="27">
        <v>353.99599999999998</v>
      </c>
      <c r="K224" s="27"/>
      <c r="L224" s="27"/>
      <c r="M224" s="27"/>
      <c r="N224" s="262"/>
      <c r="O224" s="2"/>
    </row>
    <row r="225" spans="1:27" ht="15.75" customHeight="1">
      <c r="A225" s="177">
        <v>41</v>
      </c>
      <c r="B225" s="178">
        <v>1</v>
      </c>
      <c r="C225" s="206">
        <v>0.1</v>
      </c>
      <c r="D225" s="206">
        <v>0.13800000000000001</v>
      </c>
      <c r="E225" s="206">
        <v>0.187</v>
      </c>
      <c r="F225" s="206">
        <v>0.249</v>
      </c>
      <c r="G225" s="206">
        <v>0.34399999999999997</v>
      </c>
      <c r="H225" s="206">
        <v>0.46800000000000003</v>
      </c>
      <c r="I225" s="206">
        <v>0.628</v>
      </c>
      <c r="J225" s="206">
        <v>0.86099999999999999</v>
      </c>
      <c r="K225" s="206">
        <v>1.181</v>
      </c>
      <c r="L225" s="206">
        <v>1.607</v>
      </c>
      <c r="M225" s="206">
        <v>2.1880000000000002</v>
      </c>
      <c r="N225" s="206">
        <v>2.9580000000000002</v>
      </c>
      <c r="O225" s="206">
        <v>3.944</v>
      </c>
      <c r="P225" s="206">
        <v>5.407</v>
      </c>
      <c r="Q225" s="206">
        <v>7.26</v>
      </c>
      <c r="R225" s="206">
        <v>10.023</v>
      </c>
      <c r="S225" s="206">
        <v>13.457000000000001</v>
      </c>
      <c r="T225" s="206">
        <v>18.45</v>
      </c>
      <c r="U225" s="206">
        <v>24.943000000000001</v>
      </c>
      <c r="V225" s="206">
        <v>34.198999999999998</v>
      </c>
      <c r="W225" s="206">
        <v>45.911999999999999</v>
      </c>
      <c r="X225" s="206">
        <v>62.948</v>
      </c>
      <c r="Y225" s="206">
        <v>85.103999999999999</v>
      </c>
      <c r="Z225" s="207">
        <v>100</v>
      </c>
      <c r="AA225" s="2"/>
    </row>
    <row r="226" spans="1:27" ht="15.75" customHeight="1">
      <c r="A226" s="174">
        <v>41</v>
      </c>
      <c r="B226" s="179">
        <v>2</v>
      </c>
      <c r="C226" s="2">
        <v>0.1</v>
      </c>
      <c r="D226" s="2">
        <v>0.13800000000000001</v>
      </c>
      <c r="E226" s="2">
        <v>0.187</v>
      </c>
      <c r="F226" s="2">
        <v>0.249</v>
      </c>
      <c r="G226" s="2">
        <v>0.34399999999999997</v>
      </c>
      <c r="H226" s="2">
        <v>0.46800000000000003</v>
      </c>
      <c r="I226" s="2">
        <v>0.628</v>
      </c>
      <c r="J226" s="2">
        <v>0.86099999999999999</v>
      </c>
      <c r="K226" s="2">
        <v>1.181</v>
      </c>
      <c r="L226" s="2">
        <v>1.607</v>
      </c>
      <c r="M226" s="2">
        <v>2.1880000000000002</v>
      </c>
      <c r="N226" s="2">
        <v>2.9580000000000002</v>
      </c>
      <c r="O226" s="2">
        <v>3.944</v>
      </c>
      <c r="P226" s="2">
        <v>5.407</v>
      </c>
      <c r="Q226" s="2">
        <v>7.26</v>
      </c>
      <c r="R226" s="2">
        <v>10.023</v>
      </c>
      <c r="S226" s="2">
        <v>13.457000000000001</v>
      </c>
      <c r="T226" s="2">
        <v>18.45</v>
      </c>
      <c r="U226" s="2">
        <v>24.943000000000001</v>
      </c>
      <c r="V226" s="2">
        <v>34.198999999999998</v>
      </c>
      <c r="W226" s="2">
        <v>45.911999999999999</v>
      </c>
      <c r="X226" s="2">
        <v>62.948</v>
      </c>
      <c r="Y226" s="2">
        <v>85.103999999999999</v>
      </c>
      <c r="Z226" s="208">
        <v>100</v>
      </c>
      <c r="AA226" s="2"/>
    </row>
    <row r="227" spans="1:27" ht="15.75" customHeight="1">
      <c r="A227" s="174">
        <v>41</v>
      </c>
      <c r="B227" s="179">
        <v>3</v>
      </c>
      <c r="C227" s="2">
        <v>0.1</v>
      </c>
      <c r="D227" s="2">
        <v>0.13800000000000001</v>
      </c>
      <c r="E227" s="2">
        <v>0.187</v>
      </c>
      <c r="F227" s="2">
        <v>0.249</v>
      </c>
      <c r="G227" s="2">
        <v>0.34399999999999997</v>
      </c>
      <c r="H227" s="2">
        <v>0.46800000000000003</v>
      </c>
      <c r="I227" s="2">
        <v>0.628</v>
      </c>
      <c r="J227" s="2">
        <v>0.86099999999999999</v>
      </c>
      <c r="K227" s="2">
        <v>1.181</v>
      </c>
      <c r="L227" s="2">
        <v>1.607</v>
      </c>
      <c r="M227" s="2">
        <v>2.1880000000000002</v>
      </c>
      <c r="N227" s="2">
        <v>2.9580000000000002</v>
      </c>
      <c r="O227" s="2">
        <v>3.944</v>
      </c>
      <c r="P227" s="2">
        <v>5.407</v>
      </c>
      <c r="Q227" s="2">
        <v>7.26</v>
      </c>
      <c r="R227" s="2">
        <v>10.023</v>
      </c>
      <c r="S227" s="2">
        <v>13.457000000000001</v>
      </c>
      <c r="T227" s="2">
        <v>18.45</v>
      </c>
      <c r="U227" s="2">
        <v>24.943000000000001</v>
      </c>
      <c r="V227" s="2">
        <v>34.198999999999998</v>
      </c>
      <c r="W227" s="2">
        <v>45.911999999999999</v>
      </c>
      <c r="X227" s="2">
        <v>62.948</v>
      </c>
      <c r="Y227" s="2">
        <v>85.103999999999999</v>
      </c>
      <c r="Z227" s="208">
        <v>100</v>
      </c>
      <c r="AA227" s="2"/>
    </row>
    <row r="228" spans="1:27" ht="15.75" customHeight="1">
      <c r="A228" s="174">
        <v>41</v>
      </c>
      <c r="B228" s="179">
        <v>4</v>
      </c>
      <c r="C228" s="2">
        <v>0.1</v>
      </c>
      <c r="D228" s="2">
        <v>0.13800000000000001</v>
      </c>
      <c r="E228" s="2">
        <v>0.187</v>
      </c>
      <c r="F228" s="2">
        <v>0.249</v>
      </c>
      <c r="G228" s="2">
        <v>0.34399999999999997</v>
      </c>
      <c r="H228" s="2">
        <v>0.46800000000000003</v>
      </c>
      <c r="I228" s="2">
        <v>0.628</v>
      </c>
      <c r="J228" s="2">
        <v>0.86099999999999999</v>
      </c>
      <c r="K228" s="2">
        <v>1.181</v>
      </c>
      <c r="L228" s="2">
        <v>1.607</v>
      </c>
      <c r="M228" s="2">
        <v>2.1880000000000002</v>
      </c>
      <c r="N228" s="2">
        <v>2.9580000000000002</v>
      </c>
      <c r="O228" s="2">
        <v>3.944</v>
      </c>
      <c r="P228" s="2">
        <v>5.407</v>
      </c>
      <c r="Q228" s="2">
        <v>7.26</v>
      </c>
      <c r="R228" s="2">
        <v>10.023</v>
      </c>
      <c r="S228" s="2">
        <v>13.457000000000001</v>
      </c>
      <c r="T228" s="2">
        <v>18.45</v>
      </c>
      <c r="U228" s="2">
        <v>24.943000000000001</v>
      </c>
      <c r="V228" s="2">
        <v>34.198999999999998</v>
      </c>
      <c r="W228" s="2">
        <v>45.911999999999999</v>
      </c>
      <c r="X228" s="2">
        <v>62.948</v>
      </c>
      <c r="Y228" s="2">
        <v>85.103999999999999</v>
      </c>
      <c r="Z228" s="208">
        <v>100</v>
      </c>
      <c r="AA228" s="2"/>
    </row>
    <row r="229" spans="1:27" ht="15.75" customHeight="1">
      <c r="A229" s="174">
        <v>41</v>
      </c>
      <c r="B229" s="179">
        <v>5</v>
      </c>
      <c r="C229" s="2">
        <v>0.1</v>
      </c>
      <c r="D229" s="2">
        <v>0.13800000000000001</v>
      </c>
      <c r="E229" s="2">
        <v>0.187</v>
      </c>
      <c r="F229" s="2">
        <v>0.249</v>
      </c>
      <c r="G229" s="2">
        <v>0.34399999999999997</v>
      </c>
      <c r="H229" s="2">
        <v>0.46800000000000003</v>
      </c>
      <c r="I229" s="2">
        <v>0.628</v>
      </c>
      <c r="J229" s="2">
        <v>0.86099999999999999</v>
      </c>
      <c r="K229" s="2">
        <v>1.181</v>
      </c>
      <c r="L229" s="2">
        <v>1.607</v>
      </c>
      <c r="M229" s="2">
        <v>2.1880000000000002</v>
      </c>
      <c r="N229" s="2">
        <v>2.9580000000000002</v>
      </c>
      <c r="O229" s="2">
        <v>3.944</v>
      </c>
      <c r="P229" s="2">
        <v>5.407</v>
      </c>
      <c r="Q229" s="2">
        <v>7.26</v>
      </c>
      <c r="R229" s="2">
        <v>10.023</v>
      </c>
      <c r="S229" s="2">
        <v>13.457000000000001</v>
      </c>
      <c r="T229" s="2">
        <v>18.45</v>
      </c>
      <c r="U229" s="2">
        <v>24.943000000000001</v>
      </c>
      <c r="V229" s="2">
        <v>34.198999999999998</v>
      </c>
      <c r="W229" s="2">
        <v>45.911999999999999</v>
      </c>
      <c r="X229" s="2">
        <v>62.948</v>
      </c>
      <c r="Y229" s="2">
        <v>85.103999999999999</v>
      </c>
      <c r="Z229" s="208">
        <v>100</v>
      </c>
      <c r="AA229" s="2"/>
    </row>
    <row r="230" spans="1:27" ht="15.75" customHeight="1">
      <c r="A230" s="174">
        <v>41</v>
      </c>
      <c r="B230" s="179">
        <v>6</v>
      </c>
      <c r="C230" s="2">
        <v>0.1</v>
      </c>
      <c r="D230" s="2">
        <v>0.13800000000000001</v>
      </c>
      <c r="E230" s="2">
        <v>0.187</v>
      </c>
      <c r="F230" s="2">
        <v>0.249</v>
      </c>
      <c r="G230" s="2">
        <v>0.34399999999999997</v>
      </c>
      <c r="H230" s="2">
        <v>0.46800000000000003</v>
      </c>
      <c r="I230" s="2">
        <v>0.628</v>
      </c>
      <c r="J230" s="2">
        <v>0.86099999999999999</v>
      </c>
      <c r="K230" s="2">
        <v>1.181</v>
      </c>
      <c r="L230" s="2">
        <v>1.607</v>
      </c>
      <c r="M230" s="2">
        <v>2.1880000000000002</v>
      </c>
      <c r="N230" s="2">
        <v>2.9580000000000002</v>
      </c>
      <c r="O230" s="2">
        <v>3.944</v>
      </c>
      <c r="P230" s="2">
        <v>5.407</v>
      </c>
      <c r="Q230" s="2">
        <v>7.26</v>
      </c>
      <c r="R230" s="2">
        <v>10.023</v>
      </c>
      <c r="S230" s="2">
        <v>13.457000000000001</v>
      </c>
      <c r="T230" s="2">
        <v>18.45</v>
      </c>
      <c r="U230" s="2">
        <v>24.943000000000001</v>
      </c>
      <c r="V230" s="2">
        <v>34.198999999999998</v>
      </c>
      <c r="W230" s="2">
        <v>45.911999999999999</v>
      </c>
      <c r="X230" s="30">
        <v>62.948</v>
      </c>
      <c r="Y230" s="30">
        <v>85.103999999999999</v>
      </c>
      <c r="Z230" s="209">
        <v>100</v>
      </c>
      <c r="AA230" s="2"/>
    </row>
    <row r="231" spans="1:27" ht="15.75" customHeight="1">
      <c r="A231" s="177">
        <v>42</v>
      </c>
      <c r="B231" s="178" t="s">
        <v>220</v>
      </c>
      <c r="C231" s="206">
        <v>0.01</v>
      </c>
      <c r="D231" s="206">
        <v>1.6E-2</v>
      </c>
      <c r="E231" s="206">
        <v>2.5000000000000001E-2</v>
      </c>
      <c r="F231" s="206">
        <v>0.04</v>
      </c>
      <c r="G231" s="206">
        <v>6.3E-2</v>
      </c>
      <c r="H231" s="206">
        <v>0.1</v>
      </c>
      <c r="I231" s="206">
        <v>0.157</v>
      </c>
      <c r="J231" s="206">
        <v>0.253</v>
      </c>
      <c r="K231" s="206">
        <v>0.39200000000000002</v>
      </c>
      <c r="L231" s="206">
        <v>0.626</v>
      </c>
      <c r="M231" s="206">
        <v>0.99099999999999999</v>
      </c>
      <c r="N231" s="206">
        <v>1.5820000000000001</v>
      </c>
      <c r="O231" s="206">
        <v>2.4790000000000001</v>
      </c>
      <c r="P231" s="206">
        <v>3.9220000000000002</v>
      </c>
      <c r="Q231" s="206">
        <v>6.2629999999999999</v>
      </c>
      <c r="R231" s="206">
        <v>9.907</v>
      </c>
      <c r="S231" s="206">
        <v>15.819000000000001</v>
      </c>
      <c r="T231" s="206">
        <v>25.024999999999999</v>
      </c>
      <c r="U231" s="206">
        <v>38.853999999999999</v>
      </c>
      <c r="V231" s="206">
        <v>62.625</v>
      </c>
      <c r="W231" s="207">
        <v>100</v>
      </c>
      <c r="X231" s="2"/>
      <c r="Y231" s="2"/>
      <c r="Z231" s="2"/>
    </row>
    <row r="232" spans="1:27" ht="15.75" customHeight="1">
      <c r="A232" s="174">
        <v>42</v>
      </c>
      <c r="B232" s="179" t="s">
        <v>221</v>
      </c>
      <c r="C232" s="2">
        <v>0.01</v>
      </c>
      <c r="D232" s="2">
        <v>1.6E-2</v>
      </c>
      <c r="E232" s="2">
        <v>2.5000000000000001E-2</v>
      </c>
      <c r="F232" s="2">
        <v>0.04</v>
      </c>
      <c r="G232" s="2">
        <v>6.3E-2</v>
      </c>
      <c r="H232" s="2">
        <v>0.1</v>
      </c>
      <c r="I232" s="2">
        <v>0.157</v>
      </c>
      <c r="J232" s="2">
        <v>0.253</v>
      </c>
      <c r="K232" s="2">
        <v>0.39200000000000002</v>
      </c>
      <c r="L232" s="2">
        <v>0.626</v>
      </c>
      <c r="M232" s="2">
        <v>0.99099999999999999</v>
      </c>
      <c r="N232" s="2">
        <v>1.5820000000000001</v>
      </c>
      <c r="O232" s="2">
        <v>2.4790000000000001</v>
      </c>
      <c r="P232" s="2">
        <v>3.9220000000000002</v>
      </c>
      <c r="Q232" s="2">
        <v>6.2629999999999999</v>
      </c>
      <c r="R232" s="2">
        <v>9.907</v>
      </c>
      <c r="S232" s="2">
        <v>15.819000000000001</v>
      </c>
      <c r="T232" s="2">
        <v>25.024999999999999</v>
      </c>
      <c r="U232" s="2">
        <v>38.853999999999999</v>
      </c>
      <c r="V232" s="2">
        <v>62.625</v>
      </c>
      <c r="W232" s="208">
        <v>100</v>
      </c>
      <c r="X232" s="2"/>
    </row>
    <row r="233" spans="1:27" ht="15.75" customHeight="1">
      <c r="A233" s="174">
        <v>42</v>
      </c>
      <c r="B233" s="179" t="s">
        <v>222</v>
      </c>
      <c r="C233" s="2">
        <v>0.01</v>
      </c>
      <c r="D233" s="2">
        <v>1.6E-2</v>
      </c>
      <c r="E233" s="2">
        <v>2.5000000000000001E-2</v>
      </c>
      <c r="F233" s="2">
        <v>0.04</v>
      </c>
      <c r="G233" s="2">
        <v>6.3E-2</v>
      </c>
      <c r="H233" s="2">
        <v>0.1</v>
      </c>
      <c r="I233" s="2">
        <v>0.157</v>
      </c>
      <c r="J233" s="2">
        <v>0.253</v>
      </c>
      <c r="K233" s="2">
        <v>0.39200000000000002</v>
      </c>
      <c r="L233" s="2">
        <v>0.626</v>
      </c>
      <c r="M233" s="2">
        <v>0.99099999999999999</v>
      </c>
      <c r="N233" s="2">
        <v>1.5820000000000001</v>
      </c>
      <c r="O233" s="2">
        <v>2.4790000000000001</v>
      </c>
      <c r="P233" s="2">
        <v>3.9220000000000002</v>
      </c>
      <c r="Q233" s="2">
        <v>6.2629999999999999</v>
      </c>
      <c r="R233" s="2">
        <v>9.907</v>
      </c>
      <c r="S233" s="2">
        <v>15.819000000000001</v>
      </c>
      <c r="T233" s="2">
        <v>25.024999999999999</v>
      </c>
      <c r="U233" s="2">
        <v>38.853999999999999</v>
      </c>
      <c r="V233" s="2">
        <v>62.625</v>
      </c>
      <c r="W233" s="208">
        <v>100</v>
      </c>
      <c r="X233" s="2"/>
    </row>
    <row r="234" spans="1:27" ht="15.75" customHeight="1">
      <c r="A234" s="174">
        <v>42</v>
      </c>
      <c r="B234" s="179" t="s">
        <v>224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08"/>
      <c r="X234" s="2"/>
    </row>
    <row r="235" spans="1:27" ht="15.75" customHeight="1">
      <c r="A235" s="174">
        <v>42</v>
      </c>
      <c r="B235" s="179" t="s">
        <v>225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08"/>
      <c r="X235" s="2"/>
    </row>
    <row r="236" spans="1:27" ht="15.75" customHeight="1">
      <c r="A236" s="174">
        <v>42</v>
      </c>
      <c r="B236" s="179" t="s">
        <v>226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30"/>
      <c r="T236" s="30"/>
      <c r="U236" s="30"/>
      <c r="V236" s="30"/>
      <c r="W236" s="209"/>
      <c r="X236" s="2"/>
    </row>
    <row r="237" spans="1:27" ht="15.75" customHeight="1">
      <c r="A237" s="201">
        <v>43</v>
      </c>
      <c r="B237" s="58">
        <v>1</v>
      </c>
      <c r="C237" s="206">
        <v>0.10100000000000001</v>
      </c>
      <c r="D237" s="206">
        <v>0.158</v>
      </c>
      <c r="E237" s="206">
        <v>0.255</v>
      </c>
      <c r="F237" s="206">
        <v>0.39900000000000002</v>
      </c>
      <c r="G237" s="206">
        <v>0.63900000000000001</v>
      </c>
      <c r="H237" s="206">
        <v>1.002</v>
      </c>
      <c r="I237" s="206">
        <v>1.583</v>
      </c>
      <c r="J237" s="206">
        <v>2.4990000000000001</v>
      </c>
      <c r="K237" s="206">
        <v>3.9740000000000002</v>
      </c>
      <c r="L237" s="206">
        <v>6.319</v>
      </c>
      <c r="M237" s="206">
        <v>9.9760000000000009</v>
      </c>
      <c r="N237" s="206">
        <v>15.864000000000001</v>
      </c>
      <c r="O237" s="206">
        <v>24.692</v>
      </c>
      <c r="P237" s="206">
        <v>39.545999999999999</v>
      </c>
      <c r="Q237" s="206">
        <v>63.335999999999999</v>
      </c>
      <c r="R237" s="207">
        <v>100</v>
      </c>
      <c r="S237" s="2"/>
      <c r="T237" s="2"/>
      <c r="U237" s="2"/>
      <c r="V237" s="2"/>
      <c r="W237" s="2"/>
    </row>
    <row r="238" spans="1:27" ht="15.75" customHeight="1">
      <c r="A238" s="200">
        <v>43</v>
      </c>
      <c r="B238" s="59">
        <v>2</v>
      </c>
      <c r="C238" s="2">
        <v>0.10100000000000001</v>
      </c>
      <c r="D238" s="2">
        <v>0.158</v>
      </c>
      <c r="E238" s="2">
        <v>0.255</v>
      </c>
      <c r="F238" s="2">
        <v>0.39900000000000002</v>
      </c>
      <c r="G238" s="2">
        <v>0.63900000000000001</v>
      </c>
      <c r="H238" s="2">
        <v>1.002</v>
      </c>
      <c r="I238" s="2">
        <v>1.583</v>
      </c>
      <c r="J238" s="2">
        <v>2.4990000000000001</v>
      </c>
      <c r="K238" s="2">
        <v>3.9740000000000002</v>
      </c>
      <c r="L238" s="2">
        <v>6.319</v>
      </c>
      <c r="M238" s="2">
        <v>9.9760000000000009</v>
      </c>
      <c r="N238" s="2">
        <v>15.864000000000001</v>
      </c>
      <c r="O238" s="2">
        <v>24.692</v>
      </c>
      <c r="P238" s="2">
        <v>39.545999999999999</v>
      </c>
      <c r="Q238" s="2">
        <v>63.335999999999999</v>
      </c>
      <c r="R238" s="208">
        <v>100</v>
      </c>
      <c r="S238" s="2"/>
    </row>
    <row r="239" spans="1:27" ht="15.75" customHeight="1">
      <c r="A239" s="200">
        <v>43</v>
      </c>
      <c r="B239" s="59">
        <v>3</v>
      </c>
      <c r="C239" s="2">
        <v>0.10100000000000001</v>
      </c>
      <c r="D239" s="2">
        <v>0.158</v>
      </c>
      <c r="E239" s="2">
        <v>0.255</v>
      </c>
      <c r="F239" s="2">
        <v>0.39900000000000002</v>
      </c>
      <c r="G239" s="2">
        <v>0.63900000000000001</v>
      </c>
      <c r="H239" s="2">
        <v>1.002</v>
      </c>
      <c r="I239" s="2">
        <v>1.583</v>
      </c>
      <c r="J239" s="2">
        <v>2.4990000000000001</v>
      </c>
      <c r="K239" s="2">
        <v>3.9740000000000002</v>
      </c>
      <c r="L239" s="2">
        <v>6.319</v>
      </c>
      <c r="M239" s="2">
        <v>9.9760000000000009</v>
      </c>
      <c r="N239" s="30">
        <v>15.864000000000001</v>
      </c>
      <c r="O239" s="30">
        <v>24.692</v>
      </c>
      <c r="P239" s="30">
        <v>39.545999999999999</v>
      </c>
      <c r="Q239" s="30">
        <v>63.335999999999999</v>
      </c>
      <c r="R239" s="209">
        <v>100</v>
      </c>
      <c r="S239" s="2"/>
    </row>
    <row r="240" spans="1:27" ht="15.75" customHeight="1">
      <c r="A240" s="201">
        <v>44</v>
      </c>
      <c r="B240" s="58" t="s">
        <v>220</v>
      </c>
      <c r="C240" s="206">
        <v>1</v>
      </c>
      <c r="D240" s="206">
        <v>1.5880000000000001</v>
      </c>
      <c r="E240" s="206">
        <v>2.5230000000000001</v>
      </c>
      <c r="F240" s="206">
        <v>4.03</v>
      </c>
      <c r="G240" s="206">
        <v>6.2960000000000003</v>
      </c>
      <c r="H240" s="206">
        <v>9.89</v>
      </c>
      <c r="I240" s="206">
        <v>16.059999999999999</v>
      </c>
      <c r="J240" s="206">
        <v>25.369</v>
      </c>
      <c r="K240" s="206">
        <v>40.075000000000003</v>
      </c>
      <c r="L240" s="206">
        <v>62.957000000000001</v>
      </c>
      <c r="M240" s="207">
        <v>100</v>
      </c>
      <c r="N240" s="2"/>
      <c r="O240" s="2"/>
      <c r="P240" s="2"/>
      <c r="Q240" s="2"/>
      <c r="R240" s="2"/>
    </row>
    <row r="241" spans="1:14" ht="15.75" customHeight="1">
      <c r="A241" s="200">
        <v>44</v>
      </c>
      <c r="B241" s="59" t="s">
        <v>221</v>
      </c>
      <c r="C241" s="2">
        <v>1</v>
      </c>
      <c r="D241" s="2">
        <v>1.5880000000000001</v>
      </c>
      <c r="E241" s="2">
        <v>2.5230000000000001</v>
      </c>
      <c r="F241" s="2">
        <v>4.03</v>
      </c>
      <c r="G241" s="2">
        <v>6.2960000000000003</v>
      </c>
      <c r="H241" s="2">
        <v>9.89</v>
      </c>
      <c r="I241" s="2">
        <v>16.059999999999999</v>
      </c>
      <c r="J241" s="2">
        <v>25.369</v>
      </c>
      <c r="K241" s="2">
        <v>40.075000000000003</v>
      </c>
      <c r="L241" s="2">
        <v>62.957000000000001</v>
      </c>
      <c r="M241" s="208">
        <v>100</v>
      </c>
      <c r="N241" s="2"/>
    </row>
    <row r="242" spans="1:14" ht="15.75" customHeight="1">
      <c r="A242" s="200">
        <v>44</v>
      </c>
      <c r="B242" s="59" t="s">
        <v>222</v>
      </c>
      <c r="C242" s="2">
        <v>1</v>
      </c>
      <c r="D242" s="2">
        <v>1.5880000000000001</v>
      </c>
      <c r="E242" s="2">
        <v>2.5230000000000001</v>
      </c>
      <c r="F242" s="2">
        <v>4.03</v>
      </c>
      <c r="G242" s="2">
        <v>6.2960000000000003</v>
      </c>
      <c r="H242" s="2">
        <v>9.89</v>
      </c>
      <c r="I242" s="2">
        <v>16.059999999999999</v>
      </c>
      <c r="J242" s="2">
        <v>25.369</v>
      </c>
      <c r="K242" s="2">
        <v>40.075000000000003</v>
      </c>
      <c r="L242" s="2">
        <v>62.957000000000001</v>
      </c>
      <c r="M242" s="208">
        <v>100</v>
      </c>
      <c r="N242" s="2"/>
    </row>
    <row r="243" spans="1:14" ht="15.75" customHeight="1">
      <c r="A243" s="200">
        <v>44</v>
      </c>
      <c r="B243" s="59" t="s">
        <v>223</v>
      </c>
      <c r="C243" s="2">
        <v>1</v>
      </c>
      <c r="D243" s="2">
        <v>1.5880000000000001</v>
      </c>
      <c r="E243" s="2">
        <v>2.5230000000000001</v>
      </c>
      <c r="F243" s="2">
        <v>4.03</v>
      </c>
      <c r="G243" s="2">
        <v>6.2960000000000003</v>
      </c>
      <c r="H243" s="2">
        <v>9.89</v>
      </c>
      <c r="I243" s="2">
        <v>16.059999999999999</v>
      </c>
      <c r="J243" s="2">
        <v>25.369</v>
      </c>
      <c r="K243" s="2">
        <v>40.075000000000003</v>
      </c>
      <c r="L243" s="2">
        <v>62.957000000000001</v>
      </c>
      <c r="M243" s="208">
        <v>100</v>
      </c>
      <c r="N243" s="2"/>
    </row>
    <row r="244" spans="1:14" ht="15.75" customHeight="1">
      <c r="A244" s="200">
        <v>44</v>
      </c>
      <c r="B244" s="59" t="s">
        <v>228</v>
      </c>
      <c r="C244" s="2">
        <v>1</v>
      </c>
      <c r="D244" s="2">
        <v>1.5880000000000001</v>
      </c>
      <c r="E244" s="2">
        <v>2.5230000000000001</v>
      </c>
      <c r="F244" s="2">
        <v>4.03</v>
      </c>
      <c r="G244" s="2">
        <v>6.2960000000000003</v>
      </c>
      <c r="H244" s="2">
        <v>9.89</v>
      </c>
      <c r="I244" s="2">
        <v>16.059999999999999</v>
      </c>
      <c r="J244" s="2">
        <v>25.369</v>
      </c>
      <c r="K244" s="2">
        <v>40.075000000000003</v>
      </c>
      <c r="L244" s="2">
        <v>62.957000000000001</v>
      </c>
      <c r="M244" s="208">
        <v>100</v>
      </c>
      <c r="N244" s="2"/>
    </row>
    <row r="245" spans="1:14" ht="15.75" customHeight="1">
      <c r="A245" s="200">
        <v>44</v>
      </c>
      <c r="B245" s="59" t="s">
        <v>224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08"/>
      <c r="N245" s="2"/>
    </row>
    <row r="246" spans="1:14" ht="15.75" customHeight="1">
      <c r="A246" s="200">
        <v>44</v>
      </c>
      <c r="B246" s="59" t="s">
        <v>225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08"/>
      <c r="N246" s="2"/>
    </row>
    <row r="247" spans="1:14" ht="15.75" customHeight="1">
      <c r="A247" s="200">
        <v>44</v>
      </c>
      <c r="B247" s="59" t="s">
        <v>226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08"/>
      <c r="N247" s="2"/>
    </row>
    <row r="248" spans="1:14" ht="15.75" customHeight="1">
      <c r="A248" s="200">
        <v>44</v>
      </c>
      <c r="B248" s="59" t="s">
        <v>227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08"/>
      <c r="N248" s="2"/>
    </row>
    <row r="249" spans="1:14" ht="15.75" customHeight="1">
      <c r="A249" s="202">
        <v>44</v>
      </c>
      <c r="B249" s="203" t="s">
        <v>229</v>
      </c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209"/>
      <c r="N249" s="2"/>
    </row>
    <row r="250" spans="1:14" ht="15.75" customHeight="1">
      <c r="A250" s="174">
        <v>45</v>
      </c>
      <c r="B250" s="179" t="s">
        <v>220</v>
      </c>
      <c r="C250" s="2">
        <v>6.4000000000000001E-2</v>
      </c>
      <c r="D250" s="2">
        <v>0.16300000000000001</v>
      </c>
      <c r="E250" s="2">
        <v>0.40500000000000003</v>
      </c>
      <c r="F250" s="2">
        <v>1.026</v>
      </c>
      <c r="G250" s="2">
        <v>2.573</v>
      </c>
      <c r="H250" s="2">
        <v>6.5270000000000001</v>
      </c>
      <c r="I250" s="2">
        <v>16.754999999999999</v>
      </c>
      <c r="J250" s="2">
        <v>43.01</v>
      </c>
      <c r="K250" s="2">
        <v>111.714</v>
      </c>
      <c r="L250" s="208">
        <v>315.11200000000002</v>
      </c>
      <c r="M250" s="2"/>
    </row>
    <row r="251" spans="1:14" ht="15.75" customHeight="1">
      <c r="A251" s="174">
        <v>45</v>
      </c>
      <c r="B251" s="179" t="s">
        <v>221</v>
      </c>
      <c r="C251" s="2">
        <v>6.4000000000000001E-2</v>
      </c>
      <c r="D251" s="2">
        <v>0.16300000000000001</v>
      </c>
      <c r="E251" s="2">
        <v>0.40500000000000003</v>
      </c>
      <c r="F251" s="2">
        <v>1.026</v>
      </c>
      <c r="G251" s="2">
        <v>2.573</v>
      </c>
      <c r="H251" s="2">
        <v>6.5270000000000001</v>
      </c>
      <c r="I251" s="2">
        <v>16.754999999999999</v>
      </c>
      <c r="J251" s="2">
        <v>43.01</v>
      </c>
      <c r="K251" s="2">
        <v>111.714</v>
      </c>
      <c r="L251" s="208">
        <v>315.11200000000002</v>
      </c>
      <c r="M251" s="2"/>
    </row>
    <row r="252" spans="1:14" ht="15.75" customHeight="1">
      <c r="A252" s="174">
        <v>45</v>
      </c>
      <c r="B252" s="179" t="s">
        <v>222</v>
      </c>
      <c r="C252" s="2">
        <v>6.4000000000000001E-2</v>
      </c>
      <c r="D252" s="2">
        <v>0.16300000000000001</v>
      </c>
      <c r="E252" s="2">
        <v>0.40500000000000003</v>
      </c>
      <c r="F252" s="2">
        <v>1.026</v>
      </c>
      <c r="G252" s="2">
        <v>2.573</v>
      </c>
      <c r="H252" s="2">
        <v>6.5270000000000001</v>
      </c>
      <c r="I252" s="2">
        <v>16.754999999999999</v>
      </c>
      <c r="J252" s="2">
        <v>43.01</v>
      </c>
      <c r="K252" s="2">
        <v>111.714</v>
      </c>
      <c r="L252" s="208">
        <v>315.11200000000002</v>
      </c>
      <c r="M252" s="2"/>
    </row>
    <row r="253" spans="1:14" ht="15.75" customHeight="1">
      <c r="A253" s="174">
        <v>45</v>
      </c>
      <c r="B253" s="179" t="s">
        <v>223</v>
      </c>
      <c r="C253" s="2">
        <v>6.4000000000000001E-2</v>
      </c>
      <c r="D253" s="2">
        <v>0.16300000000000001</v>
      </c>
      <c r="E253" s="2">
        <v>0.40500000000000003</v>
      </c>
      <c r="F253" s="2">
        <v>1.026</v>
      </c>
      <c r="G253" s="2">
        <v>2.573</v>
      </c>
      <c r="H253" s="2">
        <v>6.5270000000000001</v>
      </c>
      <c r="I253" s="2">
        <v>16.754999999999999</v>
      </c>
      <c r="J253" s="2">
        <v>43.01</v>
      </c>
      <c r="K253" s="2">
        <v>111.714</v>
      </c>
      <c r="L253" s="208">
        <v>315.11200000000002</v>
      </c>
      <c r="M253" s="2"/>
    </row>
    <row r="254" spans="1:14" ht="15.75" customHeight="1">
      <c r="A254" s="174">
        <v>45</v>
      </c>
      <c r="B254" s="179" t="s">
        <v>224</v>
      </c>
      <c r="C254" s="2"/>
      <c r="D254" s="2"/>
      <c r="E254" s="2"/>
      <c r="F254" s="2"/>
      <c r="G254" s="2"/>
      <c r="H254" s="2"/>
      <c r="I254" s="2"/>
      <c r="J254" s="2"/>
      <c r="K254" s="2"/>
      <c r="L254" s="208"/>
      <c r="M254" s="2"/>
    </row>
    <row r="255" spans="1:14" ht="15.75" customHeight="1">
      <c r="A255" s="174">
        <v>45</v>
      </c>
      <c r="B255" s="179" t="s">
        <v>225</v>
      </c>
      <c r="C255" s="2"/>
      <c r="D255" s="2"/>
      <c r="E255" s="2"/>
      <c r="F255" s="2"/>
      <c r="G255" s="2"/>
      <c r="H255" s="2"/>
      <c r="I255" s="2"/>
      <c r="J255" s="2"/>
      <c r="K255" s="2"/>
      <c r="L255" s="208"/>
      <c r="M255" s="2"/>
    </row>
    <row r="256" spans="1:14" ht="15.75" customHeight="1">
      <c r="A256" s="174">
        <v>45</v>
      </c>
      <c r="B256" s="179" t="s">
        <v>226</v>
      </c>
      <c r="C256" s="2"/>
      <c r="D256" s="2"/>
      <c r="E256" s="2"/>
      <c r="F256" s="2"/>
      <c r="G256" s="2"/>
      <c r="H256" s="2"/>
      <c r="I256" s="2"/>
      <c r="J256" s="2"/>
      <c r="K256" s="2"/>
      <c r="L256" s="208"/>
      <c r="M256" s="2"/>
    </row>
    <row r="257" spans="1:28" ht="15.75" customHeight="1">
      <c r="A257" s="174">
        <v>45</v>
      </c>
      <c r="B257" s="179" t="s">
        <v>227</v>
      </c>
      <c r="C257" s="2"/>
      <c r="D257" s="2"/>
      <c r="E257" s="2"/>
      <c r="F257" s="2"/>
      <c r="G257" s="2"/>
      <c r="H257" s="2"/>
      <c r="I257" s="2"/>
      <c r="J257" s="2"/>
      <c r="K257" s="2"/>
      <c r="L257" s="208"/>
      <c r="M257" s="2"/>
      <c r="N257" s="2"/>
      <c r="O257" s="2"/>
      <c r="P257" s="2"/>
      <c r="Q257" s="2"/>
      <c r="R257" s="2"/>
      <c r="S257" s="2"/>
      <c r="T257" s="2"/>
      <c r="U257" s="2"/>
    </row>
    <row r="258" spans="1:28" ht="15.75" customHeight="1">
      <c r="A258" s="177">
        <v>46</v>
      </c>
      <c r="B258" s="178">
        <v>1</v>
      </c>
      <c r="C258" s="206">
        <v>0.1</v>
      </c>
      <c r="D258" s="206">
        <v>0.14499999999999999</v>
      </c>
      <c r="E258" s="206">
        <v>0.216</v>
      </c>
      <c r="F258" s="206">
        <v>0.31900000000000001</v>
      </c>
      <c r="G258" s="206">
        <v>0.46700000000000003</v>
      </c>
      <c r="H258" s="206">
        <v>0.68300000000000005</v>
      </c>
      <c r="I258" s="206">
        <v>1.016</v>
      </c>
      <c r="J258" s="206">
        <v>1.464</v>
      </c>
      <c r="K258" s="206">
        <v>2.1960000000000002</v>
      </c>
      <c r="L258" s="206">
        <v>3.1619999999999999</v>
      </c>
      <c r="M258" s="206">
        <v>4.7050000000000001</v>
      </c>
      <c r="N258" s="206">
        <v>6.8869999999999996</v>
      </c>
      <c r="O258" s="206">
        <v>10.246</v>
      </c>
      <c r="P258" s="206">
        <v>14.757999999999999</v>
      </c>
      <c r="Q258" s="206">
        <v>21.779</v>
      </c>
      <c r="R258" s="206">
        <v>31.88</v>
      </c>
      <c r="S258" s="206">
        <v>46.290999999999997</v>
      </c>
      <c r="T258" s="206">
        <v>68.313999999999993</v>
      </c>
      <c r="U258" s="207">
        <v>100</v>
      </c>
      <c r="V258" s="2"/>
    </row>
    <row r="259" spans="1:28" ht="15.75" customHeight="1">
      <c r="A259" s="174">
        <v>46</v>
      </c>
      <c r="B259" s="179">
        <v>2</v>
      </c>
      <c r="C259" s="2">
        <v>0.1</v>
      </c>
      <c r="D259" s="2">
        <v>0.14499999999999999</v>
      </c>
      <c r="E259" s="2">
        <v>0.216</v>
      </c>
      <c r="F259" s="2">
        <v>0.31900000000000001</v>
      </c>
      <c r="G259" s="2">
        <v>0.46700000000000003</v>
      </c>
      <c r="H259" s="2">
        <v>0.68300000000000005</v>
      </c>
      <c r="I259" s="2">
        <v>1.016</v>
      </c>
      <c r="J259" s="2">
        <v>1.464</v>
      </c>
      <c r="K259" s="2">
        <v>2.1960000000000002</v>
      </c>
      <c r="L259" s="2">
        <v>3.1619999999999999</v>
      </c>
      <c r="M259" s="2">
        <v>4.7050000000000001</v>
      </c>
      <c r="N259" s="2">
        <v>6.8869999999999996</v>
      </c>
      <c r="O259" s="2">
        <v>10.246</v>
      </c>
      <c r="P259" s="2">
        <v>14.757999999999999</v>
      </c>
      <c r="Q259" s="2">
        <v>21.779</v>
      </c>
      <c r="R259" s="2">
        <v>31.88</v>
      </c>
      <c r="S259" s="2">
        <v>46.290999999999997</v>
      </c>
      <c r="T259" s="2">
        <v>68.313999999999993</v>
      </c>
      <c r="U259" s="208">
        <v>100</v>
      </c>
      <c r="V259" s="2"/>
    </row>
    <row r="260" spans="1:28" ht="15.75" customHeight="1">
      <c r="A260" s="174">
        <v>46</v>
      </c>
      <c r="B260" s="179">
        <v>3</v>
      </c>
      <c r="C260" s="2">
        <v>0.1</v>
      </c>
      <c r="D260" s="2">
        <v>0.14499999999999999</v>
      </c>
      <c r="E260" s="2">
        <v>0.216</v>
      </c>
      <c r="F260" s="2">
        <v>0.31900000000000001</v>
      </c>
      <c r="G260" s="2">
        <v>0.46700000000000003</v>
      </c>
      <c r="H260" s="2">
        <v>0.68300000000000005</v>
      </c>
      <c r="I260" s="2">
        <v>1.016</v>
      </c>
      <c r="J260" s="2">
        <v>1.464</v>
      </c>
      <c r="K260" s="2">
        <v>2.1960000000000002</v>
      </c>
      <c r="L260" s="2">
        <v>3.1619999999999999</v>
      </c>
      <c r="M260" s="2">
        <v>4.7050000000000001</v>
      </c>
      <c r="N260" s="2">
        <v>6.8869999999999996</v>
      </c>
      <c r="O260" s="2">
        <v>10.246</v>
      </c>
      <c r="P260" s="2">
        <v>14.757999999999999</v>
      </c>
      <c r="Q260" s="2">
        <v>21.779</v>
      </c>
      <c r="R260" s="2">
        <v>31.88</v>
      </c>
      <c r="S260" s="2">
        <v>46.290999999999997</v>
      </c>
      <c r="T260" s="2">
        <v>68.313999999999993</v>
      </c>
      <c r="U260" s="208">
        <v>100</v>
      </c>
      <c r="V260" s="2"/>
    </row>
    <row r="261" spans="1:28" ht="15.75" customHeight="1">
      <c r="A261" s="174">
        <v>46</v>
      </c>
      <c r="B261" s="179">
        <v>4</v>
      </c>
      <c r="C261" s="2">
        <v>0.1</v>
      </c>
      <c r="D261" s="2">
        <v>0.14499999999999999</v>
      </c>
      <c r="E261" s="2">
        <v>0.216</v>
      </c>
      <c r="F261" s="2">
        <v>0.31900000000000001</v>
      </c>
      <c r="G261" s="2">
        <v>0.46700000000000003</v>
      </c>
      <c r="H261" s="2">
        <v>0.68300000000000005</v>
      </c>
      <c r="I261" s="2">
        <v>1.016</v>
      </c>
      <c r="J261" s="2">
        <v>1.464</v>
      </c>
      <c r="K261" s="2">
        <v>2.1960000000000002</v>
      </c>
      <c r="L261" s="2">
        <v>3.1619999999999999</v>
      </c>
      <c r="M261" s="2">
        <v>4.7050000000000001</v>
      </c>
      <c r="N261" s="2">
        <v>6.8869999999999996</v>
      </c>
      <c r="O261" s="2">
        <v>10.246</v>
      </c>
      <c r="P261" s="2">
        <v>14.757999999999999</v>
      </c>
      <c r="Q261" s="2">
        <v>21.779</v>
      </c>
      <c r="R261" s="2">
        <v>31.88</v>
      </c>
      <c r="S261" s="2">
        <v>46.290999999999997</v>
      </c>
      <c r="T261" s="2">
        <v>68.313999999999993</v>
      </c>
      <c r="U261" s="208">
        <v>100</v>
      </c>
      <c r="V261" s="2"/>
    </row>
    <row r="262" spans="1:28" ht="15.75" customHeight="1">
      <c r="A262" s="174">
        <v>46</v>
      </c>
      <c r="B262" s="179">
        <v>5</v>
      </c>
      <c r="C262" s="2">
        <v>0.1</v>
      </c>
      <c r="D262" s="2">
        <v>0.14499999999999999</v>
      </c>
      <c r="E262" s="2">
        <v>0.216</v>
      </c>
      <c r="F262" s="2">
        <v>0.31900000000000001</v>
      </c>
      <c r="G262" s="2">
        <v>0.46700000000000003</v>
      </c>
      <c r="H262" s="2">
        <v>0.68300000000000005</v>
      </c>
      <c r="I262" s="2">
        <v>1.016</v>
      </c>
      <c r="J262" s="2">
        <v>1.464</v>
      </c>
      <c r="K262" s="2">
        <v>2.1960000000000002</v>
      </c>
      <c r="L262" s="2">
        <v>3.1619999999999999</v>
      </c>
      <c r="M262" s="2">
        <v>4.7050000000000001</v>
      </c>
      <c r="N262" s="2">
        <v>6.8869999999999996</v>
      </c>
      <c r="O262" s="2">
        <v>10.246</v>
      </c>
      <c r="P262" s="2">
        <v>14.757999999999999</v>
      </c>
      <c r="Q262" s="2">
        <v>21.779</v>
      </c>
      <c r="R262" s="2">
        <v>31.88</v>
      </c>
      <c r="S262" s="2">
        <v>46.290999999999997</v>
      </c>
      <c r="T262" s="2">
        <v>68.313999999999993</v>
      </c>
      <c r="U262" s="208">
        <v>100</v>
      </c>
      <c r="V262" s="2"/>
    </row>
    <row r="263" spans="1:28" ht="15.75" customHeight="1">
      <c r="A263" s="174">
        <v>46</v>
      </c>
      <c r="B263" s="179">
        <v>6</v>
      </c>
      <c r="C263" s="2">
        <v>0.1</v>
      </c>
      <c r="D263" s="2">
        <v>0.14499999999999999</v>
      </c>
      <c r="E263" s="2">
        <v>0.216</v>
      </c>
      <c r="F263" s="2">
        <v>0.31900000000000001</v>
      </c>
      <c r="G263" s="2">
        <v>0.46700000000000003</v>
      </c>
      <c r="H263" s="2">
        <v>0.68300000000000005</v>
      </c>
      <c r="I263" s="2">
        <v>1.016</v>
      </c>
      <c r="J263" s="2">
        <v>1.464</v>
      </c>
      <c r="K263" s="2">
        <v>2.1960000000000002</v>
      </c>
      <c r="L263" s="2">
        <v>3.1619999999999999</v>
      </c>
      <c r="M263" s="2">
        <v>4.7050000000000001</v>
      </c>
      <c r="N263" s="2">
        <v>6.8869999999999996</v>
      </c>
      <c r="O263" s="2">
        <v>10.246</v>
      </c>
      <c r="P263" s="2">
        <v>14.757999999999999</v>
      </c>
      <c r="Q263" s="2">
        <v>21.779</v>
      </c>
      <c r="R263" s="2">
        <v>31.88</v>
      </c>
      <c r="S263" s="2">
        <v>46.290999999999997</v>
      </c>
      <c r="T263" s="2">
        <v>68.313999999999993</v>
      </c>
      <c r="U263" s="208">
        <v>100</v>
      </c>
      <c r="V263" s="2"/>
      <c r="W263" s="2"/>
      <c r="X263" s="2"/>
      <c r="Y263" s="2"/>
      <c r="Z263" s="2"/>
      <c r="AA263" s="2"/>
    </row>
    <row r="264" spans="1:28" ht="15.75" customHeight="1">
      <c r="A264" s="177">
        <v>47</v>
      </c>
      <c r="B264" s="178" t="s">
        <v>220</v>
      </c>
      <c r="C264" s="206">
        <v>0.1</v>
      </c>
      <c r="D264" s="206">
        <v>0.13500000000000001</v>
      </c>
      <c r="E264" s="206">
        <v>0.18099999999999999</v>
      </c>
      <c r="F264" s="206">
        <v>0.24299999999999999</v>
      </c>
      <c r="G264" s="206">
        <v>0.318</v>
      </c>
      <c r="H264" s="206">
        <v>0.41699999999999998</v>
      </c>
      <c r="I264" s="206">
        <v>0.56799999999999995</v>
      </c>
      <c r="J264" s="206">
        <v>0.76200000000000001</v>
      </c>
      <c r="K264" s="206">
        <v>1.0389999999999999</v>
      </c>
      <c r="L264" s="206">
        <v>1.371</v>
      </c>
      <c r="M264" s="206">
        <v>1.7789999999999999</v>
      </c>
      <c r="N264" s="206">
        <v>2.4060000000000001</v>
      </c>
      <c r="O264" s="206">
        <v>3.1240000000000001</v>
      </c>
      <c r="P264" s="206">
        <v>4.2240000000000002</v>
      </c>
      <c r="Q264" s="206">
        <v>5.62</v>
      </c>
      <c r="R264" s="206">
        <v>7.5990000000000002</v>
      </c>
      <c r="S264" s="206">
        <v>10.276</v>
      </c>
      <c r="T264" s="206">
        <v>13.449</v>
      </c>
      <c r="U264" s="206">
        <v>17.891999999999999</v>
      </c>
      <c r="V264" s="206">
        <v>23.997</v>
      </c>
      <c r="W264" s="206">
        <v>31.925000000000001</v>
      </c>
      <c r="X264" s="206">
        <v>43.17</v>
      </c>
      <c r="Y264" s="206"/>
      <c r="Z264" s="206"/>
      <c r="AA264" s="207"/>
      <c r="AB264" s="2"/>
    </row>
    <row r="265" spans="1:28" ht="15.75" customHeight="1">
      <c r="A265" s="174">
        <v>47</v>
      </c>
      <c r="B265" s="179">
        <v>2</v>
      </c>
      <c r="C265" s="2">
        <v>0.1</v>
      </c>
      <c r="D265" s="2">
        <v>0.13500000000000001</v>
      </c>
      <c r="E265" s="2">
        <v>0.18099999999999999</v>
      </c>
      <c r="F265" s="2">
        <v>0.24299999999999999</v>
      </c>
      <c r="G265" s="2">
        <v>0.318</v>
      </c>
      <c r="H265" s="2">
        <v>0.41699999999999998</v>
      </c>
      <c r="I265" s="2">
        <v>0.56799999999999995</v>
      </c>
      <c r="J265" s="2">
        <v>0.76200000000000001</v>
      </c>
      <c r="K265" s="2">
        <v>1.0389999999999999</v>
      </c>
      <c r="L265" s="2">
        <v>1.371</v>
      </c>
      <c r="M265" s="2">
        <v>1.7789999999999999</v>
      </c>
      <c r="N265" s="2">
        <v>2.4060000000000001</v>
      </c>
      <c r="O265" s="2">
        <v>3.1240000000000001</v>
      </c>
      <c r="P265" s="2">
        <v>4.2240000000000002</v>
      </c>
      <c r="Q265" s="2">
        <v>5.62</v>
      </c>
      <c r="R265" s="2">
        <v>7.5990000000000002</v>
      </c>
      <c r="S265" s="2">
        <v>10.276</v>
      </c>
      <c r="T265" s="2">
        <v>13.449</v>
      </c>
      <c r="U265" s="2">
        <v>17.891999999999999</v>
      </c>
      <c r="V265" s="2">
        <v>23.997</v>
      </c>
      <c r="W265" s="2">
        <v>31.925000000000001</v>
      </c>
      <c r="X265" s="2">
        <v>43.17</v>
      </c>
      <c r="Y265" s="2">
        <v>57.902000000000001</v>
      </c>
      <c r="Z265" s="2">
        <v>76.403999999999996</v>
      </c>
      <c r="AA265" s="208">
        <v>100</v>
      </c>
      <c r="AB265" s="2"/>
    </row>
    <row r="266" spans="1:28" ht="15.75" customHeight="1">
      <c r="A266" s="174">
        <v>47</v>
      </c>
      <c r="B266" s="179">
        <v>3</v>
      </c>
      <c r="C266" s="2">
        <v>0.1</v>
      </c>
      <c r="D266" s="2">
        <v>0.13500000000000001</v>
      </c>
      <c r="E266" s="2">
        <v>0.18099999999999999</v>
      </c>
      <c r="F266" s="2">
        <v>0.24299999999999999</v>
      </c>
      <c r="G266" s="2">
        <v>0.318</v>
      </c>
      <c r="H266" s="2">
        <v>0.41699999999999998</v>
      </c>
      <c r="I266" s="2">
        <v>0.56799999999999995</v>
      </c>
      <c r="J266" s="2">
        <v>0.76200000000000001</v>
      </c>
      <c r="K266" s="2">
        <v>1.0389999999999999</v>
      </c>
      <c r="L266" s="2">
        <v>1.371</v>
      </c>
      <c r="M266" s="2">
        <v>1.7789999999999999</v>
      </c>
      <c r="N266" s="2">
        <v>2.4060000000000001</v>
      </c>
      <c r="O266" s="2">
        <v>3.1240000000000001</v>
      </c>
      <c r="P266" s="2">
        <v>4.2240000000000002</v>
      </c>
      <c r="Q266" s="2">
        <v>5.62</v>
      </c>
      <c r="R266" s="2">
        <v>7.5990000000000002</v>
      </c>
      <c r="S266" s="2">
        <v>10.276</v>
      </c>
      <c r="T266" s="2">
        <v>13.449</v>
      </c>
      <c r="U266" s="2">
        <v>17.891999999999999</v>
      </c>
      <c r="V266" s="2">
        <v>23.997</v>
      </c>
      <c r="W266" s="2">
        <v>31.925000000000001</v>
      </c>
      <c r="X266" s="2">
        <v>43.17</v>
      </c>
      <c r="Y266" s="2">
        <v>57.902000000000001</v>
      </c>
      <c r="Z266" s="2">
        <v>76.403999999999996</v>
      </c>
      <c r="AA266" s="208">
        <v>100</v>
      </c>
      <c r="AB266" s="2"/>
    </row>
    <row r="267" spans="1:28" ht="15.75" customHeight="1">
      <c r="A267" s="174">
        <v>47</v>
      </c>
      <c r="B267" s="179" t="s">
        <v>223</v>
      </c>
      <c r="C267" s="2">
        <v>0.1</v>
      </c>
      <c r="D267" s="2">
        <v>0.13500000000000001</v>
      </c>
      <c r="E267" s="2">
        <v>0.18099999999999999</v>
      </c>
      <c r="F267" s="2">
        <v>0.24299999999999999</v>
      </c>
      <c r="G267" s="2">
        <v>0.318</v>
      </c>
      <c r="H267" s="2">
        <v>0.41699999999999998</v>
      </c>
      <c r="I267" s="2">
        <v>0.56799999999999995</v>
      </c>
      <c r="J267" s="2">
        <v>0.76200000000000001</v>
      </c>
      <c r="K267" s="2">
        <v>1.0389999999999999</v>
      </c>
      <c r="L267" s="2">
        <v>1.371</v>
      </c>
      <c r="M267" s="2">
        <v>1.7789999999999999</v>
      </c>
      <c r="N267" s="2">
        <v>2.4060000000000001</v>
      </c>
      <c r="O267" s="2">
        <v>3.1240000000000001</v>
      </c>
      <c r="P267" s="2">
        <v>4.2240000000000002</v>
      </c>
      <c r="Q267" s="2">
        <v>5.62</v>
      </c>
      <c r="R267" s="2">
        <v>7.5990000000000002</v>
      </c>
      <c r="S267" s="2">
        <v>10.276</v>
      </c>
      <c r="T267" s="2">
        <v>13.449</v>
      </c>
      <c r="U267" s="2">
        <v>17.891999999999999</v>
      </c>
      <c r="V267" s="2">
        <v>23.997</v>
      </c>
      <c r="W267" s="2">
        <v>31.925000000000001</v>
      </c>
      <c r="X267" s="2">
        <v>43.17</v>
      </c>
      <c r="Y267" s="2"/>
      <c r="Z267" s="2"/>
      <c r="AA267" s="208"/>
      <c r="AB267" s="2"/>
    </row>
    <row r="268" spans="1:28" ht="15.75" customHeight="1">
      <c r="A268" s="174">
        <v>47</v>
      </c>
      <c r="B268" s="179">
        <v>5</v>
      </c>
      <c r="C268" s="2">
        <v>0.1</v>
      </c>
      <c r="D268" s="2">
        <v>0.13500000000000001</v>
      </c>
      <c r="E268" s="2">
        <v>0.18099999999999999</v>
      </c>
      <c r="F268" s="2">
        <v>0.24299999999999999</v>
      </c>
      <c r="G268" s="2">
        <v>0.318</v>
      </c>
      <c r="H268" s="2">
        <v>0.41699999999999998</v>
      </c>
      <c r="I268" s="2">
        <v>0.56799999999999995</v>
      </c>
      <c r="J268" s="2">
        <v>0.76200000000000001</v>
      </c>
      <c r="K268" s="2">
        <v>1.0389999999999999</v>
      </c>
      <c r="L268" s="2">
        <v>1.371</v>
      </c>
      <c r="M268" s="2">
        <v>1.7789999999999999</v>
      </c>
      <c r="N268" s="2">
        <v>2.4060000000000001</v>
      </c>
      <c r="O268" s="2">
        <v>3.1240000000000001</v>
      </c>
      <c r="P268" s="2">
        <v>4.2240000000000002</v>
      </c>
      <c r="Q268" s="2">
        <v>5.62</v>
      </c>
      <c r="R268" s="2">
        <v>7.5990000000000002</v>
      </c>
      <c r="S268" s="2">
        <v>10.276</v>
      </c>
      <c r="T268" s="2">
        <v>13.449</v>
      </c>
      <c r="U268" s="2">
        <v>17.891999999999999</v>
      </c>
      <c r="V268" s="2">
        <v>23.997</v>
      </c>
      <c r="W268" s="2">
        <v>31.925000000000001</v>
      </c>
      <c r="X268" s="2">
        <v>43.17</v>
      </c>
      <c r="Y268" s="2">
        <v>57.902000000000001</v>
      </c>
      <c r="Z268" s="2">
        <v>76.403999999999996</v>
      </c>
      <c r="AA268" s="208">
        <v>100</v>
      </c>
      <c r="AB268" s="2"/>
    </row>
    <row r="269" spans="1:28" ht="15.75" customHeight="1">
      <c r="A269" s="174">
        <v>47</v>
      </c>
      <c r="B269" s="179" t="s">
        <v>224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08"/>
      <c r="AB269" s="2"/>
    </row>
    <row r="270" spans="1:28" ht="15.75" customHeight="1">
      <c r="A270" s="174">
        <v>47</v>
      </c>
      <c r="B270" s="179" t="s">
        <v>227</v>
      </c>
      <c r="C270" s="2"/>
      <c r="D270" s="2"/>
      <c r="E270" s="2"/>
      <c r="F270" s="2"/>
      <c r="G270" s="2"/>
      <c r="H270" s="2"/>
      <c r="I270" s="2"/>
      <c r="J270" s="2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209"/>
      <c r="AB270" s="2"/>
    </row>
    <row r="271" spans="1:28" ht="15.75" customHeight="1">
      <c r="A271" s="177">
        <v>48</v>
      </c>
      <c r="B271" s="178">
        <v>1</v>
      </c>
      <c r="C271" s="206">
        <v>0.1</v>
      </c>
      <c r="D271" s="206">
        <v>0.251</v>
      </c>
      <c r="E271" s="206">
        <v>0.35899999999999999</v>
      </c>
      <c r="F271" s="206">
        <v>0.95399999999999996</v>
      </c>
      <c r="G271" s="206">
        <v>3.569</v>
      </c>
      <c r="H271" s="206">
        <v>12.494999999999999</v>
      </c>
      <c r="I271" s="206">
        <v>38.911999999999999</v>
      </c>
      <c r="J271" s="207">
        <v>100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8" ht="15.75" customHeight="1">
      <c r="A272" s="174">
        <v>48</v>
      </c>
      <c r="B272" s="179">
        <v>2</v>
      </c>
      <c r="C272" s="2">
        <v>0.1</v>
      </c>
      <c r="D272" s="2">
        <v>0.251</v>
      </c>
      <c r="E272" s="2">
        <v>0.35899999999999999</v>
      </c>
      <c r="F272" s="2">
        <v>0.95399999999999996</v>
      </c>
      <c r="G272" s="2">
        <v>3.569</v>
      </c>
      <c r="H272" s="2">
        <v>12.494999999999999</v>
      </c>
      <c r="I272" s="2">
        <v>38.911999999999999</v>
      </c>
      <c r="J272" s="208">
        <v>100</v>
      </c>
      <c r="K272" s="2"/>
    </row>
    <row r="273" spans="1:19" ht="15.75" customHeight="1">
      <c r="A273" s="174">
        <v>48</v>
      </c>
      <c r="B273" s="179">
        <v>3</v>
      </c>
      <c r="C273" s="2">
        <v>0.1</v>
      </c>
      <c r="D273" s="2">
        <v>0.251</v>
      </c>
      <c r="E273" s="2">
        <v>0.35899999999999999</v>
      </c>
      <c r="F273" s="2">
        <v>0.95399999999999996</v>
      </c>
      <c r="G273" s="2">
        <v>3.569</v>
      </c>
      <c r="H273" s="2">
        <v>12.494999999999999</v>
      </c>
      <c r="I273" s="2">
        <v>38.911999999999999</v>
      </c>
      <c r="J273" s="208">
        <v>100</v>
      </c>
      <c r="K273" s="2"/>
    </row>
    <row r="274" spans="1:19" ht="15.75" customHeight="1">
      <c r="A274" s="174">
        <v>48</v>
      </c>
      <c r="B274" s="179">
        <v>4</v>
      </c>
      <c r="C274" s="2">
        <v>0.1</v>
      </c>
      <c r="D274" s="2">
        <v>0.27500000000000002</v>
      </c>
      <c r="E274" s="2">
        <v>0.85499999999999998</v>
      </c>
      <c r="F274" s="2">
        <v>2.57</v>
      </c>
      <c r="G274" s="2">
        <v>9.8940000000000001</v>
      </c>
      <c r="H274" s="2">
        <v>24.369</v>
      </c>
      <c r="I274" s="2">
        <v>51.991999999999997</v>
      </c>
      <c r="J274" s="208">
        <v>100</v>
      </c>
      <c r="K274" s="2"/>
    </row>
    <row r="275" spans="1:19" ht="15.75" customHeight="1">
      <c r="A275" s="174">
        <v>48</v>
      </c>
      <c r="B275" s="179">
        <v>5</v>
      </c>
      <c r="C275" s="2">
        <v>0.1</v>
      </c>
      <c r="D275" s="2">
        <v>0.27500000000000002</v>
      </c>
      <c r="E275" s="2">
        <v>0.85499999999999998</v>
      </c>
      <c r="F275" s="2">
        <v>2.57</v>
      </c>
      <c r="G275" s="2">
        <v>9.8940000000000001</v>
      </c>
      <c r="H275" s="2">
        <v>24.369</v>
      </c>
      <c r="I275" s="2">
        <v>51.991999999999997</v>
      </c>
      <c r="J275" s="208">
        <v>100</v>
      </c>
      <c r="K275" s="2"/>
    </row>
    <row r="276" spans="1:19" ht="15.75" customHeight="1">
      <c r="A276" s="174">
        <v>48</v>
      </c>
      <c r="B276" s="179">
        <v>6</v>
      </c>
      <c r="C276" s="2">
        <v>0.1</v>
      </c>
      <c r="D276" s="2">
        <v>0.27500000000000002</v>
      </c>
      <c r="E276" s="2">
        <v>0.85499999999999998</v>
      </c>
      <c r="F276" s="2">
        <v>2.57</v>
      </c>
      <c r="G276" s="2">
        <v>9.8940000000000001</v>
      </c>
      <c r="H276" s="2">
        <v>24.369</v>
      </c>
      <c r="I276" s="2">
        <v>51.991999999999997</v>
      </c>
      <c r="J276" s="208">
        <v>100</v>
      </c>
      <c r="K276" s="2"/>
    </row>
    <row r="277" spans="1:19" ht="15.75" customHeight="1">
      <c r="A277" s="174">
        <v>48</v>
      </c>
      <c r="B277" s="179">
        <v>7</v>
      </c>
      <c r="C277" s="2">
        <v>0.1</v>
      </c>
      <c r="D277" s="2">
        <v>0.27500000000000002</v>
      </c>
      <c r="E277" s="2">
        <v>0.85499999999999998</v>
      </c>
      <c r="F277" s="2">
        <v>2.57</v>
      </c>
      <c r="G277" s="2">
        <v>9.8940000000000001</v>
      </c>
      <c r="H277" s="2">
        <v>24.369</v>
      </c>
      <c r="I277" s="2">
        <v>51.991999999999997</v>
      </c>
      <c r="J277" s="208">
        <v>100</v>
      </c>
      <c r="K277" s="2"/>
    </row>
    <row r="278" spans="1:19" ht="15.75" customHeight="1">
      <c r="A278" s="174">
        <v>48</v>
      </c>
      <c r="B278" s="179">
        <v>8</v>
      </c>
      <c r="C278" s="2">
        <v>0.1</v>
      </c>
      <c r="D278" s="2">
        <v>0.31</v>
      </c>
      <c r="E278" s="2">
        <v>0.80600000000000005</v>
      </c>
      <c r="F278" s="2">
        <v>2.625</v>
      </c>
      <c r="G278" s="2">
        <v>9.6560000000000006</v>
      </c>
      <c r="H278" s="2">
        <v>29.244</v>
      </c>
      <c r="I278" s="2">
        <v>65.664000000000001</v>
      </c>
      <c r="J278" s="208">
        <v>100</v>
      </c>
      <c r="K278" s="2"/>
    </row>
    <row r="279" spans="1:19" ht="15.75" customHeight="1">
      <c r="A279" s="174">
        <v>48</v>
      </c>
      <c r="B279" s="179">
        <v>9</v>
      </c>
      <c r="C279" s="2">
        <v>0.1</v>
      </c>
      <c r="D279" s="2">
        <v>0.31</v>
      </c>
      <c r="E279" s="2">
        <v>0.80600000000000005</v>
      </c>
      <c r="F279" s="2">
        <v>2.625</v>
      </c>
      <c r="G279" s="2">
        <v>9.6560000000000006</v>
      </c>
      <c r="H279" s="2">
        <v>29.244</v>
      </c>
      <c r="I279" s="2">
        <v>65.664000000000001</v>
      </c>
      <c r="J279" s="208">
        <v>100</v>
      </c>
      <c r="K279" s="2"/>
    </row>
    <row r="280" spans="1:19" ht="15.75" customHeight="1">
      <c r="A280" s="174">
        <v>48</v>
      </c>
      <c r="B280" s="179">
        <v>10</v>
      </c>
      <c r="C280" s="2">
        <v>0.1</v>
      </c>
      <c r="D280" s="2">
        <v>0.31</v>
      </c>
      <c r="E280" s="2">
        <v>0.80600000000000005</v>
      </c>
      <c r="F280" s="2">
        <v>2.625</v>
      </c>
      <c r="G280" s="2">
        <v>9.6560000000000006</v>
      </c>
      <c r="H280" s="2">
        <v>29.244</v>
      </c>
      <c r="I280" s="2">
        <v>65.664000000000001</v>
      </c>
      <c r="J280" s="208">
        <v>100</v>
      </c>
      <c r="K280" s="2"/>
    </row>
    <row r="281" spans="1:19" ht="15.75" customHeight="1">
      <c r="A281" s="174">
        <v>48</v>
      </c>
      <c r="B281" s="179">
        <v>11</v>
      </c>
      <c r="C281" s="2">
        <v>0.1</v>
      </c>
      <c r="D281" s="2">
        <v>0.31</v>
      </c>
      <c r="E281" s="2">
        <v>0.80600000000000005</v>
      </c>
      <c r="F281" s="2">
        <v>2.625</v>
      </c>
      <c r="G281" s="2">
        <v>9.6560000000000006</v>
      </c>
      <c r="H281" s="2">
        <v>29.244</v>
      </c>
      <c r="I281" s="2">
        <v>65.664000000000001</v>
      </c>
      <c r="J281" s="208">
        <v>100</v>
      </c>
      <c r="K281" s="2"/>
    </row>
    <row r="282" spans="1:19" ht="15.75" customHeight="1">
      <c r="A282" s="175">
        <v>48</v>
      </c>
      <c r="B282" s="180">
        <v>12</v>
      </c>
      <c r="C282" s="30">
        <v>0.1</v>
      </c>
      <c r="D282" s="30">
        <v>0.31</v>
      </c>
      <c r="E282" s="30">
        <v>0.80600000000000005</v>
      </c>
      <c r="F282" s="30">
        <v>2.625</v>
      </c>
      <c r="G282" s="30">
        <v>9.6560000000000006</v>
      </c>
      <c r="H282" s="30">
        <v>29.244</v>
      </c>
      <c r="I282" s="30">
        <v>65.664000000000001</v>
      </c>
      <c r="J282" s="209">
        <v>100</v>
      </c>
      <c r="K282" s="2"/>
      <c r="L282" s="2"/>
      <c r="M282" s="2"/>
      <c r="N282" s="2"/>
      <c r="O282" s="2"/>
      <c r="P282" s="2"/>
      <c r="Q282" s="2"/>
      <c r="R282" s="2"/>
    </row>
    <row r="283" spans="1:19" ht="15.75" customHeight="1">
      <c r="A283" s="210">
        <v>49</v>
      </c>
      <c r="B283" s="59">
        <v>1</v>
      </c>
      <c r="C283" s="2">
        <v>0.01</v>
      </c>
      <c r="D283" s="2">
        <v>1.7999999999999999E-2</v>
      </c>
      <c r="E283" s="2">
        <v>3.1E-2</v>
      </c>
      <c r="F283" s="2">
        <v>5.5E-2</v>
      </c>
      <c r="G283" s="2">
        <v>9.7000000000000003E-2</v>
      </c>
      <c r="H283" s="2">
        <v>0.17299999999999999</v>
      </c>
      <c r="I283" s="2">
        <v>0.311</v>
      </c>
      <c r="J283" s="2">
        <v>0.55100000000000005</v>
      </c>
      <c r="K283" s="206">
        <v>0.98599999999999999</v>
      </c>
      <c r="L283" s="206">
        <v>1.7470000000000001</v>
      </c>
      <c r="M283" s="206">
        <v>3.0680000000000001</v>
      </c>
      <c r="N283" s="206">
        <v>5.5460000000000003</v>
      </c>
      <c r="O283" s="206">
        <v>9.7370000000000001</v>
      </c>
      <c r="P283" s="206">
        <v>17.43</v>
      </c>
      <c r="Q283" s="206">
        <v>30.902000000000001</v>
      </c>
      <c r="R283" s="207">
        <v>54.786000000000001</v>
      </c>
      <c r="S283" s="2"/>
    </row>
    <row r="284" spans="1:19" ht="15.75" customHeight="1">
      <c r="A284" s="210">
        <v>49</v>
      </c>
      <c r="B284" s="59">
        <v>2</v>
      </c>
      <c r="C284" s="2">
        <v>0.01</v>
      </c>
      <c r="D284" s="2">
        <v>1.7999999999999999E-2</v>
      </c>
      <c r="E284" s="2">
        <v>3.1E-2</v>
      </c>
      <c r="F284" s="2">
        <v>5.5E-2</v>
      </c>
      <c r="G284" s="2">
        <v>9.7000000000000003E-2</v>
      </c>
      <c r="H284" s="2">
        <v>0.17299999999999999</v>
      </c>
      <c r="I284" s="2">
        <v>0.311</v>
      </c>
      <c r="J284" s="2">
        <v>0.55100000000000005</v>
      </c>
      <c r="K284" s="2">
        <v>0.98599999999999999</v>
      </c>
      <c r="L284" s="2">
        <v>1.7470000000000001</v>
      </c>
      <c r="M284" s="2">
        <v>3.0680000000000001</v>
      </c>
      <c r="N284" s="2">
        <v>5.5460000000000003</v>
      </c>
      <c r="O284" s="2">
        <v>9.7370000000000001</v>
      </c>
      <c r="P284" s="2">
        <v>17.43</v>
      </c>
      <c r="Q284" s="2">
        <v>30.902000000000001</v>
      </c>
      <c r="R284" s="208">
        <v>54.786000000000001</v>
      </c>
      <c r="S284" s="2"/>
    </row>
    <row r="285" spans="1:19" ht="15.75" customHeight="1">
      <c r="A285" s="210">
        <v>49</v>
      </c>
      <c r="B285" s="59">
        <v>3</v>
      </c>
      <c r="C285" s="2">
        <v>0.01</v>
      </c>
      <c r="D285" s="2">
        <v>1.7999999999999999E-2</v>
      </c>
      <c r="E285" s="2">
        <v>3.1E-2</v>
      </c>
      <c r="F285" s="2">
        <v>5.5E-2</v>
      </c>
      <c r="G285" s="2">
        <v>9.7000000000000003E-2</v>
      </c>
      <c r="H285" s="2">
        <v>0.17299999999999999</v>
      </c>
      <c r="I285" s="2">
        <v>0.311</v>
      </c>
      <c r="J285" s="2">
        <v>0.55100000000000005</v>
      </c>
      <c r="K285" s="2">
        <v>0.98599999999999999</v>
      </c>
      <c r="L285" s="2">
        <v>1.7470000000000001</v>
      </c>
      <c r="M285" s="2">
        <v>3.0680000000000001</v>
      </c>
      <c r="N285" s="2">
        <v>5.5460000000000003</v>
      </c>
      <c r="O285" s="2">
        <v>9.7370000000000001</v>
      </c>
      <c r="P285" s="2">
        <v>17.43</v>
      </c>
      <c r="Q285" s="2">
        <v>30.902000000000001</v>
      </c>
      <c r="R285" s="208">
        <v>54.786000000000001</v>
      </c>
      <c r="S285" s="2"/>
    </row>
    <row r="286" spans="1:19" ht="15.75" customHeight="1">
      <c r="A286" s="201">
        <v>50</v>
      </c>
      <c r="B286" s="58">
        <v>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9" ht="15.75" customHeight="1">
      <c r="A287" s="200">
        <v>50</v>
      </c>
      <c r="B287" s="59">
        <v>2</v>
      </c>
    </row>
    <row r="288" spans="1:19" ht="15.75" customHeight="1">
      <c r="A288" s="200">
        <v>50</v>
      </c>
      <c r="B288" s="59">
        <v>3</v>
      </c>
    </row>
    <row r="289" spans="1:2" ht="15.75" customHeight="1">
      <c r="A289" s="200">
        <v>50</v>
      </c>
      <c r="B289" s="59">
        <v>4</v>
      </c>
    </row>
    <row r="290" spans="1:2" ht="15.75" customHeight="1">
      <c r="A290" s="201">
        <v>51</v>
      </c>
      <c r="B290" s="58">
        <v>1</v>
      </c>
    </row>
    <row r="291" spans="1:2" ht="15.75" customHeight="1">
      <c r="A291" s="200">
        <v>51</v>
      </c>
      <c r="B291" s="59">
        <v>2</v>
      </c>
    </row>
    <row r="292" spans="1:2" ht="15.75" customHeight="1">
      <c r="A292" s="200">
        <v>51</v>
      </c>
      <c r="B292" s="59">
        <v>3</v>
      </c>
    </row>
    <row r="293" spans="1:2" ht="15.75" customHeight="1">
      <c r="A293" s="200">
        <v>51</v>
      </c>
      <c r="B293" s="59">
        <v>4</v>
      </c>
    </row>
    <row r="294" spans="1:2" ht="15.75" customHeight="1">
      <c r="A294" s="200">
        <v>51</v>
      </c>
      <c r="B294" s="59">
        <v>5</v>
      </c>
    </row>
    <row r="295" spans="1:2" ht="15.75" customHeight="1">
      <c r="A295" s="200">
        <v>51</v>
      </c>
      <c r="B295" s="59">
        <v>6</v>
      </c>
    </row>
    <row r="296" spans="1:2" ht="15.75" customHeight="1">
      <c r="A296" s="200">
        <v>51</v>
      </c>
      <c r="B296" s="59">
        <v>7</v>
      </c>
    </row>
    <row r="297" spans="1:2" ht="15.75" customHeight="1">
      <c r="A297" s="237">
        <v>52</v>
      </c>
      <c r="B297" s="178">
        <v>1</v>
      </c>
    </row>
    <row r="298" spans="1:2" ht="15.75" customHeight="1">
      <c r="A298" s="205">
        <v>52</v>
      </c>
      <c r="B298" s="179">
        <v>2</v>
      </c>
    </row>
    <row r="299" spans="1:2" ht="15.75" customHeight="1">
      <c r="A299" s="205">
        <v>52</v>
      </c>
      <c r="B299" s="179">
        <v>3</v>
      </c>
    </row>
    <row r="300" spans="1:2" ht="15.75" customHeight="1">
      <c r="A300" s="213">
        <v>52</v>
      </c>
      <c r="B300" s="180">
        <v>4</v>
      </c>
    </row>
    <row r="301" spans="1:2" ht="15.75" customHeight="1">
      <c r="A301" s="205">
        <v>53</v>
      </c>
      <c r="B301" s="179">
        <v>1</v>
      </c>
    </row>
    <row r="302" spans="1:2" ht="15.75" customHeight="1">
      <c r="A302" s="205">
        <v>53</v>
      </c>
      <c r="B302" s="179">
        <v>2</v>
      </c>
    </row>
    <row r="303" spans="1:2" ht="15.75" customHeight="1">
      <c r="A303" s="205">
        <v>53</v>
      </c>
      <c r="B303" s="179">
        <v>3</v>
      </c>
    </row>
    <row r="304" spans="1:2" ht="15.75" customHeight="1">
      <c r="A304" s="205">
        <v>53</v>
      </c>
      <c r="B304" s="179">
        <v>4</v>
      </c>
    </row>
    <row r="305" spans="1:19" ht="15.75" customHeight="1">
      <c r="A305" s="213">
        <v>53</v>
      </c>
      <c r="B305" s="180">
        <v>5</v>
      </c>
    </row>
    <row r="306" spans="1:19" ht="15.75" customHeight="1">
      <c r="A306" s="201">
        <v>54</v>
      </c>
      <c r="B306" s="178">
        <v>1</v>
      </c>
    </row>
    <row r="307" spans="1:19" ht="15.75" customHeight="1">
      <c r="A307" s="200">
        <v>54</v>
      </c>
      <c r="B307" s="179">
        <v>2</v>
      </c>
    </row>
    <row r="308" spans="1:19" ht="15.75" customHeight="1">
      <c r="A308" s="200">
        <v>54</v>
      </c>
      <c r="B308" s="179">
        <v>3</v>
      </c>
    </row>
    <row r="309" spans="1:19" ht="15.75" customHeight="1">
      <c r="A309" s="200">
        <v>54</v>
      </c>
      <c r="B309" s="179">
        <v>4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9" ht="15.75" customHeight="1">
      <c r="A310" s="177">
        <v>55</v>
      </c>
      <c r="B310" s="178" t="s">
        <v>220</v>
      </c>
      <c r="C310" s="199">
        <v>0.1</v>
      </c>
      <c r="D310" s="199">
        <v>0.161</v>
      </c>
      <c r="E310" s="199">
        <v>0.255</v>
      </c>
      <c r="F310" s="199">
        <v>0.40300000000000002</v>
      </c>
      <c r="G310" s="199">
        <v>0.63800000000000001</v>
      </c>
      <c r="H310" s="199">
        <v>1.034</v>
      </c>
      <c r="I310" s="199">
        <v>1.5980000000000001</v>
      </c>
      <c r="J310" s="199">
        <v>2.4990000000000001</v>
      </c>
      <c r="K310" s="199">
        <v>4.0019999999999998</v>
      </c>
      <c r="L310" s="199">
        <v>6.4080000000000004</v>
      </c>
      <c r="M310" s="199">
        <v>10.023999999999999</v>
      </c>
      <c r="N310" s="199">
        <v>16.052</v>
      </c>
      <c r="O310" s="199">
        <v>25.404</v>
      </c>
      <c r="P310" s="199">
        <v>40.206000000000003</v>
      </c>
      <c r="Q310" s="199">
        <v>62.887999999999998</v>
      </c>
      <c r="R310" s="189">
        <v>100</v>
      </c>
      <c r="S310" s="2"/>
    </row>
    <row r="311" spans="1:19" ht="15.75" customHeight="1">
      <c r="A311" s="174">
        <v>55</v>
      </c>
      <c r="B311" s="179" t="s">
        <v>221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92"/>
      <c r="S311" s="2"/>
    </row>
    <row r="312" spans="1:19" ht="15.75" customHeight="1">
      <c r="A312" s="174">
        <v>55</v>
      </c>
      <c r="B312" s="179" t="s">
        <v>222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92"/>
      <c r="S312" s="2"/>
    </row>
    <row r="313" spans="1:19" ht="15.75" customHeight="1">
      <c r="A313" s="174">
        <v>55</v>
      </c>
      <c r="B313" s="179" t="s">
        <v>224</v>
      </c>
      <c r="C313" s="12">
        <v>0.1</v>
      </c>
      <c r="D313" s="12">
        <v>0.161</v>
      </c>
      <c r="E313" s="12">
        <v>0.255</v>
      </c>
      <c r="F313" s="12">
        <v>0.40300000000000002</v>
      </c>
      <c r="G313" s="12">
        <v>0.63800000000000001</v>
      </c>
      <c r="H313" s="12">
        <v>1.034</v>
      </c>
      <c r="I313" s="12">
        <v>1.5980000000000001</v>
      </c>
      <c r="J313" s="12">
        <v>2.4990000000000001</v>
      </c>
      <c r="K313" s="12">
        <v>4.0019999999999998</v>
      </c>
      <c r="L313" s="12">
        <v>6.4080000000000004</v>
      </c>
      <c r="M313" s="12">
        <v>10.023999999999999</v>
      </c>
      <c r="N313" s="12">
        <v>16.052</v>
      </c>
      <c r="O313" s="12">
        <v>25.404</v>
      </c>
      <c r="P313" s="12">
        <v>40.206000000000003</v>
      </c>
      <c r="Q313" s="12">
        <v>62.887999999999998</v>
      </c>
      <c r="R313" s="192">
        <v>100</v>
      </c>
      <c r="S313" s="2"/>
    </row>
    <row r="314" spans="1:19" ht="15.75" customHeight="1">
      <c r="A314" s="174">
        <v>55</v>
      </c>
      <c r="B314" s="179" t="s">
        <v>225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92"/>
      <c r="S314" s="2"/>
    </row>
    <row r="315" spans="1:19" ht="15.75" customHeight="1">
      <c r="A315" s="174">
        <v>55</v>
      </c>
      <c r="B315" s="179" t="s">
        <v>226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92"/>
      <c r="S315" s="2"/>
    </row>
    <row r="316" spans="1:19" ht="15.75" customHeight="1">
      <c r="A316" s="174">
        <v>55</v>
      </c>
      <c r="B316" s="179" t="s">
        <v>230</v>
      </c>
      <c r="C316" s="12">
        <v>0.1</v>
      </c>
      <c r="D316" s="12">
        <v>0.161</v>
      </c>
      <c r="E316" s="12">
        <v>0.255</v>
      </c>
      <c r="F316" s="12">
        <v>0.40300000000000002</v>
      </c>
      <c r="G316" s="12">
        <v>0.63800000000000001</v>
      </c>
      <c r="H316" s="12">
        <v>1.034</v>
      </c>
      <c r="I316" s="12">
        <v>1.5980000000000001</v>
      </c>
      <c r="J316" s="12">
        <v>2.4990000000000001</v>
      </c>
      <c r="K316" s="12">
        <v>4.0019999999999998</v>
      </c>
      <c r="L316" s="12">
        <v>6.4080000000000004</v>
      </c>
      <c r="M316" s="12">
        <v>10.023999999999999</v>
      </c>
      <c r="N316" s="12">
        <v>16.052</v>
      </c>
      <c r="O316" s="12">
        <v>25.404</v>
      </c>
      <c r="P316" s="12">
        <v>40.206000000000003</v>
      </c>
      <c r="Q316" s="12">
        <v>62.887999999999998</v>
      </c>
      <c r="R316" s="192">
        <v>100</v>
      </c>
      <c r="S316" s="2"/>
    </row>
    <row r="317" spans="1:19" ht="15.75" customHeight="1">
      <c r="A317" s="174">
        <v>55</v>
      </c>
      <c r="B317" s="179" t="s">
        <v>231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92"/>
      <c r="S317" s="2"/>
    </row>
    <row r="318" spans="1:19" ht="15.75" customHeight="1">
      <c r="A318" s="174">
        <v>55</v>
      </c>
      <c r="B318" s="179" t="s">
        <v>232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92"/>
      <c r="S318" s="2"/>
    </row>
    <row r="319" spans="1:19" ht="15.75" customHeight="1">
      <c r="A319" s="177">
        <v>56</v>
      </c>
      <c r="B319" s="178" t="s">
        <v>220</v>
      </c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7"/>
      <c r="S319" s="2"/>
    </row>
    <row r="320" spans="1:19" ht="15.75" customHeight="1">
      <c r="A320" s="175">
        <v>56</v>
      </c>
      <c r="B320" s="180" t="s">
        <v>224</v>
      </c>
      <c r="C320" s="24">
        <v>0.10199999999999999</v>
      </c>
      <c r="D320" s="24">
        <v>0.16</v>
      </c>
      <c r="E320" s="24">
        <v>0.252</v>
      </c>
      <c r="F320" s="24">
        <v>0.39600000000000002</v>
      </c>
      <c r="G320" s="24">
        <v>0.63400000000000001</v>
      </c>
      <c r="H320" s="24">
        <v>1.016</v>
      </c>
      <c r="I320" s="24">
        <v>1.597</v>
      </c>
      <c r="J320" s="24">
        <v>2.581</v>
      </c>
      <c r="K320" s="24">
        <v>4.0579999999999998</v>
      </c>
      <c r="L320" s="24">
        <v>6.62</v>
      </c>
      <c r="M320" s="24">
        <v>10.313000000000001</v>
      </c>
      <c r="N320" s="24">
        <v>16.065000000000001</v>
      </c>
      <c r="O320" s="24">
        <v>25.728999999999999</v>
      </c>
      <c r="P320" s="24">
        <v>40.828000000000003</v>
      </c>
      <c r="Q320" s="24">
        <v>65.39</v>
      </c>
      <c r="R320" s="193">
        <v>100</v>
      </c>
      <c r="S320" s="2"/>
    </row>
    <row r="321" spans="1:18" ht="15.75" customHeight="1">
      <c r="A321" s="174">
        <v>57</v>
      </c>
      <c r="B321" s="179">
        <v>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5.75" customHeight="1">
      <c r="A322" s="174">
        <v>57</v>
      </c>
      <c r="B322" s="179">
        <v>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8" ht="15.75" customHeight="1">
      <c r="A323" s="201">
        <v>58</v>
      </c>
      <c r="B323" s="58">
        <v>1</v>
      </c>
      <c r="C323" s="206">
        <v>1</v>
      </c>
      <c r="D323" s="206">
        <v>1.581</v>
      </c>
      <c r="E323" s="206">
        <v>2.5499999999999998</v>
      </c>
      <c r="F323" s="206">
        <v>3.9220000000000002</v>
      </c>
      <c r="G323" s="206">
        <v>6.37</v>
      </c>
      <c r="H323" s="206">
        <v>10</v>
      </c>
      <c r="I323" s="206">
        <v>15.805999999999999</v>
      </c>
      <c r="J323" s="206">
        <v>24.981999999999999</v>
      </c>
      <c r="K323" s="206">
        <v>40.302999999999997</v>
      </c>
      <c r="L323" s="206">
        <v>62.41</v>
      </c>
      <c r="M323" s="207">
        <v>100</v>
      </c>
      <c r="N323" s="2"/>
    </row>
    <row r="324" spans="1:18" ht="15.75" customHeight="1">
      <c r="A324" s="200">
        <v>58</v>
      </c>
      <c r="B324" s="59">
        <v>2</v>
      </c>
      <c r="C324" s="2">
        <v>1</v>
      </c>
      <c r="D324" s="2">
        <v>1.581</v>
      </c>
      <c r="E324" s="2">
        <v>2.5499999999999998</v>
      </c>
      <c r="F324" s="2">
        <v>3.9220000000000002</v>
      </c>
      <c r="G324" s="2">
        <v>6.37</v>
      </c>
      <c r="H324" s="2">
        <v>10</v>
      </c>
      <c r="I324" s="2">
        <v>15.805999999999999</v>
      </c>
      <c r="J324" s="2">
        <v>24.981999999999999</v>
      </c>
      <c r="K324" s="2">
        <v>40.302999999999997</v>
      </c>
      <c r="L324" s="2">
        <v>62.41</v>
      </c>
      <c r="M324" s="208">
        <v>100</v>
      </c>
      <c r="N324" s="2"/>
    </row>
    <row r="325" spans="1:18" ht="15.75" customHeight="1">
      <c r="A325" s="200">
        <v>58</v>
      </c>
      <c r="B325" s="59">
        <v>3</v>
      </c>
      <c r="C325" s="2">
        <v>1</v>
      </c>
      <c r="D325" s="2">
        <v>1.581</v>
      </c>
      <c r="E325" s="2">
        <v>2.5499999999999998</v>
      </c>
      <c r="F325" s="2">
        <v>3.9220000000000002</v>
      </c>
      <c r="G325" s="2">
        <v>6.37</v>
      </c>
      <c r="H325" s="2">
        <v>10</v>
      </c>
      <c r="I325" s="2">
        <v>15.805999999999999</v>
      </c>
      <c r="J325" s="2">
        <v>24.981999999999999</v>
      </c>
      <c r="K325" s="2">
        <v>40.302999999999997</v>
      </c>
      <c r="L325" s="2">
        <v>62.41</v>
      </c>
      <c r="M325" s="208">
        <v>100</v>
      </c>
      <c r="N325" s="2"/>
    </row>
    <row r="326" spans="1:18" ht="15.75" customHeight="1">
      <c r="A326" s="201">
        <v>59</v>
      </c>
      <c r="B326" s="58">
        <v>1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8" ht="15.75" customHeight="1">
      <c r="A327" s="200">
        <v>59</v>
      </c>
      <c r="B327" s="59">
        <v>2</v>
      </c>
    </row>
    <row r="328" spans="1:18" ht="15.75" customHeight="1">
      <c r="A328" s="200">
        <v>59</v>
      </c>
      <c r="B328" s="59">
        <v>3</v>
      </c>
    </row>
    <row r="329" spans="1:18" ht="15.75" customHeight="1">
      <c r="A329" s="200">
        <v>59</v>
      </c>
      <c r="B329" s="59">
        <v>4</v>
      </c>
    </row>
    <row r="330" spans="1:18" ht="15.75" customHeight="1">
      <c r="A330" s="200">
        <v>59</v>
      </c>
      <c r="B330" s="59">
        <v>5</v>
      </c>
    </row>
    <row r="331" spans="1:18" ht="15.75" customHeight="1">
      <c r="A331" s="202">
        <v>59</v>
      </c>
      <c r="B331" s="203">
        <v>6</v>
      </c>
    </row>
    <row r="332" spans="1:18" ht="15.75" customHeight="1">
      <c r="A332" s="205">
        <v>60</v>
      </c>
      <c r="B332" s="58">
        <v>1</v>
      </c>
    </row>
    <row r="333" spans="1:18" ht="15.75" customHeight="1">
      <c r="A333" s="205">
        <v>60</v>
      </c>
      <c r="B333" s="59">
        <v>2</v>
      </c>
    </row>
    <row r="334" spans="1:18" ht="15.75" customHeight="1">
      <c r="A334" s="205">
        <v>60</v>
      </c>
      <c r="B334" s="59">
        <v>3</v>
      </c>
    </row>
    <row r="335" spans="1:18" ht="15.75" customHeight="1">
      <c r="A335" s="205">
        <v>60</v>
      </c>
      <c r="B335" s="59">
        <v>4</v>
      </c>
    </row>
    <row r="336" spans="1:18" ht="15.75" customHeight="1">
      <c r="A336" s="205">
        <v>60</v>
      </c>
      <c r="B336" s="59">
        <v>5</v>
      </c>
    </row>
    <row r="337" spans="1:2" ht="15.75" customHeight="1">
      <c r="A337" s="213">
        <v>61</v>
      </c>
      <c r="B337" s="246">
        <v>1</v>
      </c>
    </row>
    <row r="338" spans="1:2" ht="15.75" customHeight="1"/>
    <row r="339" spans="1:2" ht="15.75" customHeight="1"/>
    <row r="340" spans="1:2" ht="15.75" customHeight="1"/>
    <row r="341" spans="1:2" ht="15.75" customHeight="1"/>
    <row r="342" spans="1:2" ht="15.75" customHeight="1"/>
    <row r="343" spans="1:2" ht="15.75" customHeight="1"/>
    <row r="344" spans="1:2" ht="15.75" customHeight="1"/>
    <row r="345" spans="1:2" ht="15.75" customHeight="1"/>
    <row r="346" spans="1:2" ht="15.75" customHeight="1"/>
    <row r="347" spans="1:2" ht="15.75" customHeight="1"/>
    <row r="348" spans="1:2" ht="15.75" customHeight="1"/>
    <row r="349" spans="1:2" ht="15.75" customHeight="1"/>
    <row r="350" spans="1:2" ht="15.75" customHeight="1"/>
    <row r="351" spans="1:2" ht="15.75" customHeight="1"/>
    <row r="352" spans="1: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988"/>
  <sheetViews>
    <sheetView topLeftCell="A173" workbookViewId="0">
      <selection activeCell="A348" activeCellId="11" sqref="A10:XFD10 A226:XFD226 A230:XFD230 A229:XFD229 A228:XFD228 A227:XFD227 A292:XFD292 A333:XFD333 A334:XFD334 A346:XFD346 A347:XFD347 A348:XFD348"/>
    </sheetView>
  </sheetViews>
  <sheetFormatPr defaultColWidth="12.5703125" defaultRowHeight="15" customHeight="1"/>
  <cols>
    <col min="1" max="1" width="8.7109375" customWidth="1"/>
    <col min="2" max="2" width="8.85546875" style="2" customWidth="1"/>
    <col min="3" max="3" width="10" customWidth="1"/>
    <col min="4" max="47" width="9.140625" customWidth="1"/>
    <col min="48" max="50" width="8.5703125" customWidth="1"/>
  </cols>
  <sheetData>
    <row r="1" spans="1:50">
      <c r="A1" s="16" t="s">
        <v>218</v>
      </c>
      <c r="B1" s="15" t="s">
        <v>219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98"/>
      <c r="AU1" s="2"/>
      <c r="AV1" s="2"/>
      <c r="AW1" s="2"/>
      <c r="AX1" s="2"/>
    </row>
    <row r="2" spans="1:50">
      <c r="A2" s="286">
        <v>1</v>
      </c>
      <c r="B2" s="272">
        <v>1</v>
      </c>
      <c r="C2" s="184">
        <v>1</v>
      </c>
      <c r="D2" s="184">
        <v>1.2656304666823099</v>
      </c>
      <c r="E2" s="184">
        <v>1.57977700264465</v>
      </c>
      <c r="F2" s="184">
        <v>1.9994139051111299</v>
      </c>
      <c r="G2" s="184">
        <v>2.49569537808491</v>
      </c>
      <c r="H2" s="184">
        <v>3.13681906170895</v>
      </c>
      <c r="I2" s="184">
        <v>3.9426421639050901</v>
      </c>
      <c r="J2" s="184">
        <v>5.0595551832915904</v>
      </c>
      <c r="K2" s="184">
        <v>6.2284954201944096</v>
      </c>
      <c r="L2" s="184">
        <v>7.8285448341957098</v>
      </c>
      <c r="M2" s="184">
        <v>10.0462971141803</v>
      </c>
      <c r="N2" s="184">
        <v>12.453340351057699</v>
      </c>
      <c r="O2" s="184">
        <v>15.652501398276801</v>
      </c>
      <c r="P2" s="184">
        <v>19.810282649446599</v>
      </c>
      <c r="Q2" s="184">
        <v>25.072497274727699</v>
      </c>
      <c r="R2" s="184">
        <v>31.732516426704599</v>
      </c>
      <c r="S2" s="184">
        <v>40.161639574134398</v>
      </c>
      <c r="T2" s="184">
        <v>50.130299686951602</v>
      </c>
      <c r="U2" s="184">
        <v>63.887552190864902</v>
      </c>
      <c r="V2" s="184">
        <v>78.104855652586096</v>
      </c>
      <c r="W2" s="184">
        <v>99.539162403279803</v>
      </c>
      <c r="X2" s="184">
        <v>124.24612378321</v>
      </c>
      <c r="Y2" s="184">
        <v>157.249679627212</v>
      </c>
      <c r="Z2" s="184">
        <v>199.01998541223301</v>
      </c>
      <c r="AA2" s="184">
        <v>250.14658815499499</v>
      </c>
      <c r="AB2" s="184">
        <v>316.59314310559398</v>
      </c>
      <c r="AC2" s="184">
        <v>395.175827257283</v>
      </c>
      <c r="AD2" s="287">
        <v>496.69325773983797</v>
      </c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</row>
    <row r="3" spans="1:50">
      <c r="A3" s="288">
        <v>1</v>
      </c>
      <c r="B3" s="289">
        <v>2</v>
      </c>
      <c r="C3" s="17">
        <v>1</v>
      </c>
      <c r="D3" s="17">
        <v>1.2656304666823099</v>
      </c>
      <c r="E3" s="17">
        <v>1.57977700264465</v>
      </c>
      <c r="F3" s="17">
        <v>1.9994139051111299</v>
      </c>
      <c r="G3" s="17">
        <v>2.49569537808491</v>
      </c>
      <c r="H3" s="17">
        <v>3.13681906170895</v>
      </c>
      <c r="I3" s="17">
        <v>3.9426421639050901</v>
      </c>
      <c r="J3" s="17">
        <v>5.0595551832915904</v>
      </c>
      <c r="K3" s="17">
        <v>6.2284954201944096</v>
      </c>
      <c r="L3" s="17">
        <v>7.8285448341957098</v>
      </c>
      <c r="M3" s="17">
        <v>10.0462971141803</v>
      </c>
      <c r="N3" s="17">
        <v>12.453340351057699</v>
      </c>
      <c r="O3" s="17">
        <v>15.652501398276801</v>
      </c>
      <c r="P3" s="17">
        <v>19.810282649446599</v>
      </c>
      <c r="Q3" s="17">
        <v>25.072497274727699</v>
      </c>
      <c r="R3" s="17">
        <v>31.732516426704599</v>
      </c>
      <c r="S3" s="17">
        <v>40.161639574134398</v>
      </c>
      <c r="T3" s="17">
        <v>50.130299686951602</v>
      </c>
      <c r="U3" s="17">
        <v>63.887552190864902</v>
      </c>
      <c r="V3" s="17">
        <v>78.104855652586096</v>
      </c>
      <c r="W3" s="17">
        <v>99.539162403279803</v>
      </c>
      <c r="X3" s="17">
        <v>124.24612378321</v>
      </c>
      <c r="Y3" s="17">
        <v>157.249679627212</v>
      </c>
      <c r="Z3" s="17">
        <v>199.01998541223301</v>
      </c>
      <c r="AA3" s="17">
        <v>250.14658815499499</v>
      </c>
      <c r="AB3" s="17">
        <v>316.59314310559398</v>
      </c>
      <c r="AC3" s="17">
        <v>395.175827257283</v>
      </c>
      <c r="AD3" s="290">
        <v>496.69325773983797</v>
      </c>
    </row>
    <row r="4" spans="1:50">
      <c r="A4" s="288">
        <v>1</v>
      </c>
      <c r="B4" s="289">
        <v>3</v>
      </c>
      <c r="C4" s="17">
        <v>1</v>
      </c>
      <c r="D4" s="17">
        <v>1.2656304666823099</v>
      </c>
      <c r="E4" s="17">
        <v>1.57977700264465</v>
      </c>
      <c r="F4" s="17">
        <v>1.9994139051111299</v>
      </c>
      <c r="G4" s="17">
        <v>2.49569537808491</v>
      </c>
      <c r="H4" s="17">
        <v>3.13681906170895</v>
      </c>
      <c r="I4" s="17">
        <v>3.9426421639050901</v>
      </c>
      <c r="J4" s="17">
        <v>5.0595551832915904</v>
      </c>
      <c r="K4" s="17">
        <v>6.2284954201944096</v>
      </c>
      <c r="L4" s="17">
        <v>7.8285448341957098</v>
      </c>
      <c r="M4" s="17">
        <v>10.0462971141803</v>
      </c>
      <c r="N4" s="17">
        <v>12.453340351057699</v>
      </c>
      <c r="O4" s="17">
        <v>15.652501398276801</v>
      </c>
      <c r="P4" s="17">
        <v>19.810282649446599</v>
      </c>
      <c r="Q4" s="17">
        <v>25.072497274727699</v>
      </c>
      <c r="R4" s="17">
        <v>31.732516426704599</v>
      </c>
      <c r="S4" s="17">
        <v>40.161639574134398</v>
      </c>
      <c r="T4" s="17">
        <v>50.130299686951602</v>
      </c>
      <c r="U4" s="17">
        <v>63.887552190864902</v>
      </c>
      <c r="V4" s="17">
        <v>78.104855652586096</v>
      </c>
      <c r="W4" s="17">
        <v>99.539162403279803</v>
      </c>
      <c r="X4" s="17">
        <v>124.24612378321</v>
      </c>
      <c r="Y4" s="17">
        <v>157.249679627212</v>
      </c>
      <c r="Z4" s="17">
        <v>199.01998541223301</v>
      </c>
      <c r="AA4" s="17">
        <v>250.14658815499499</v>
      </c>
      <c r="AB4" s="17">
        <v>316.59314310559398</v>
      </c>
      <c r="AC4" s="17">
        <v>395.175827257283</v>
      </c>
      <c r="AD4" s="290">
        <v>496.69325773983797</v>
      </c>
    </row>
    <row r="5" spans="1:50">
      <c r="A5" s="288">
        <v>1</v>
      </c>
      <c r="B5" s="289">
        <v>4</v>
      </c>
      <c r="C5" s="17">
        <v>1</v>
      </c>
      <c r="D5" s="17">
        <v>1.2656304666823099</v>
      </c>
      <c r="E5" s="17">
        <v>1.57977700264465</v>
      </c>
      <c r="F5" s="17">
        <v>1.9994139051111299</v>
      </c>
      <c r="G5" s="17">
        <v>2.49569537808491</v>
      </c>
      <c r="H5" s="17">
        <v>3.13681906170895</v>
      </c>
      <c r="I5" s="17">
        <v>3.9426421639050901</v>
      </c>
      <c r="J5" s="17">
        <v>5.0595551832915904</v>
      </c>
      <c r="K5" s="17">
        <v>6.2284954201944096</v>
      </c>
      <c r="L5" s="17">
        <v>7.8285448341957098</v>
      </c>
      <c r="M5" s="17">
        <v>10.0462971141803</v>
      </c>
      <c r="N5" s="17">
        <v>12.453340351057699</v>
      </c>
      <c r="O5" s="17">
        <v>15.652501398276801</v>
      </c>
      <c r="P5" s="17">
        <v>19.810282649446599</v>
      </c>
      <c r="Q5" s="17">
        <v>25.072497274727699</v>
      </c>
      <c r="R5" s="17">
        <v>31.732516426704599</v>
      </c>
      <c r="S5" s="17">
        <v>40.161639574134398</v>
      </c>
      <c r="T5" s="17">
        <v>50.130299686951602</v>
      </c>
      <c r="U5" s="17">
        <v>63.887552190864902</v>
      </c>
      <c r="V5" s="17">
        <v>78.104855652586096</v>
      </c>
      <c r="W5" s="17">
        <v>99.539162403279803</v>
      </c>
      <c r="X5" s="17">
        <v>124.24612378321</v>
      </c>
      <c r="Y5" s="17">
        <v>157.249679627212</v>
      </c>
      <c r="Z5" s="17">
        <v>199.01998541223301</v>
      </c>
      <c r="AA5" s="17">
        <v>250.14658815499499</v>
      </c>
      <c r="AB5" s="17">
        <v>316.59314310559398</v>
      </c>
      <c r="AC5" s="17">
        <v>395.175827257283</v>
      </c>
      <c r="AD5" s="290">
        <v>496.69325773983797</v>
      </c>
    </row>
    <row r="6" spans="1:50">
      <c r="A6" s="291">
        <v>1</v>
      </c>
      <c r="B6" s="292">
        <v>5</v>
      </c>
      <c r="C6" s="18">
        <v>1</v>
      </c>
      <c r="D6" s="18">
        <v>1.2656304666823099</v>
      </c>
      <c r="E6" s="18">
        <v>1.57977700264465</v>
      </c>
      <c r="F6" s="18">
        <v>1.9994139051111299</v>
      </c>
      <c r="G6" s="18">
        <v>2.49569537808491</v>
      </c>
      <c r="H6" s="18">
        <v>3.13681906170895</v>
      </c>
      <c r="I6" s="18">
        <v>3.9426421639050901</v>
      </c>
      <c r="J6" s="18">
        <v>5.0595551832915904</v>
      </c>
      <c r="K6" s="18">
        <v>6.2284954201944096</v>
      </c>
      <c r="L6" s="18">
        <v>7.8285448341957098</v>
      </c>
      <c r="M6" s="18">
        <v>10.0462971141803</v>
      </c>
      <c r="N6" s="18">
        <v>12.453340351057699</v>
      </c>
      <c r="O6" s="18">
        <v>15.652501398276801</v>
      </c>
      <c r="P6" s="18">
        <v>19.810282649446599</v>
      </c>
      <c r="Q6" s="18">
        <v>25.072497274727699</v>
      </c>
      <c r="R6" s="18">
        <v>31.732516426704599</v>
      </c>
      <c r="S6" s="18">
        <v>40.161639574134398</v>
      </c>
      <c r="T6" s="18">
        <v>50.130299686951602</v>
      </c>
      <c r="U6" s="18">
        <v>63.887552190864902</v>
      </c>
      <c r="V6" s="18">
        <v>78.104855652586096</v>
      </c>
      <c r="W6" s="18">
        <v>99.539162403279803</v>
      </c>
      <c r="X6" s="18">
        <v>124.24612378321</v>
      </c>
      <c r="Y6" s="18">
        <v>157.249679627212</v>
      </c>
      <c r="Z6" s="18">
        <v>199.01998541223301</v>
      </c>
      <c r="AA6" s="18">
        <v>250.14658815499499</v>
      </c>
      <c r="AB6" s="18">
        <v>316.59314310559398</v>
      </c>
      <c r="AC6" s="18">
        <v>395.175827257283</v>
      </c>
      <c r="AD6" s="293">
        <v>496.69325773983797</v>
      </c>
    </row>
    <row r="7" spans="1:50">
      <c r="A7" s="177">
        <v>2</v>
      </c>
      <c r="B7" s="178">
        <v>1</v>
      </c>
      <c r="C7" s="294">
        <v>0.99574895943253205</v>
      </c>
      <c r="D7" s="294">
        <v>1.5977736831715299</v>
      </c>
      <c r="E7" s="294">
        <v>2.5097471645417202</v>
      </c>
      <c r="F7" s="294">
        <v>3.9759870240397901</v>
      </c>
      <c r="G7" s="294">
        <v>6.3257217296163297</v>
      </c>
      <c r="H7" s="294">
        <v>9.9787221598385702</v>
      </c>
      <c r="I7" s="294">
        <v>15.8084728153328</v>
      </c>
      <c r="J7" s="294">
        <v>24.9376062903631</v>
      </c>
      <c r="K7" s="294">
        <v>39.506608642469402</v>
      </c>
      <c r="L7" s="294">
        <v>62.587086677696803</v>
      </c>
      <c r="M7" s="294">
        <v>100</v>
      </c>
      <c r="N7" s="295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</row>
    <row r="8" spans="1:50">
      <c r="A8" s="174">
        <v>2</v>
      </c>
      <c r="B8" s="179">
        <v>2</v>
      </c>
      <c r="C8" s="296">
        <v>0.99574895943253205</v>
      </c>
      <c r="D8" s="296">
        <v>1.5977736831715299</v>
      </c>
      <c r="E8" s="296">
        <v>2.5097471645417202</v>
      </c>
      <c r="F8" s="296">
        <v>3.9759870240397901</v>
      </c>
      <c r="G8" s="296">
        <v>6.3257217296163297</v>
      </c>
      <c r="H8" s="296">
        <v>9.9787221598385702</v>
      </c>
      <c r="I8" s="296">
        <v>15.8084728153328</v>
      </c>
      <c r="J8" s="296">
        <v>24.9376062903631</v>
      </c>
      <c r="K8" s="296">
        <v>39.506608642469402</v>
      </c>
      <c r="L8" s="296">
        <v>62.587086677696803</v>
      </c>
      <c r="M8" s="296">
        <v>100</v>
      </c>
      <c r="N8" s="297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</row>
    <row r="9" spans="1:50">
      <c r="A9" s="174">
        <v>2</v>
      </c>
      <c r="B9" s="179">
        <v>3</v>
      </c>
      <c r="C9" s="298">
        <v>0.99574895943253205</v>
      </c>
      <c r="D9" s="298">
        <v>1.5977736831715299</v>
      </c>
      <c r="E9" s="298">
        <v>2.5097471645417202</v>
      </c>
      <c r="F9" s="298">
        <v>3.9759870240397901</v>
      </c>
      <c r="G9" s="298">
        <v>6.3257217296163297</v>
      </c>
      <c r="H9" s="298">
        <v>9.9787221598385702</v>
      </c>
      <c r="I9" s="298">
        <v>15.8084728153328</v>
      </c>
      <c r="J9" s="298">
        <v>24.9376062903631</v>
      </c>
      <c r="K9" s="298">
        <v>39.506608642469402</v>
      </c>
      <c r="L9" s="298">
        <v>62.587086677696803</v>
      </c>
      <c r="M9" s="298">
        <v>100</v>
      </c>
      <c r="N9" s="295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</row>
    <row r="10" spans="1:50">
      <c r="A10" s="177">
        <v>3</v>
      </c>
      <c r="B10" s="178">
        <v>1</v>
      </c>
      <c r="C10" s="299">
        <v>0.10346139387845101</v>
      </c>
      <c r="D10" s="299">
        <v>0.15043188637608401</v>
      </c>
      <c r="E10" s="299">
        <v>0.22122162910704399</v>
      </c>
      <c r="F10" s="299">
        <v>0.325323376338084</v>
      </c>
      <c r="G10" s="299">
        <v>0.46240724558247598</v>
      </c>
      <c r="H10" s="299">
        <v>0.71968567300115205</v>
      </c>
      <c r="I10" s="299">
        <v>1</v>
      </c>
      <c r="J10" s="299">
        <v>1.50431886376084</v>
      </c>
      <c r="K10" s="299">
        <v>2.2374518320560699</v>
      </c>
      <c r="L10" s="299">
        <v>3.2532337633808401</v>
      </c>
      <c r="M10" s="299">
        <v>4.6768209011058604</v>
      </c>
      <c r="N10" s="299">
        <v>7.0354299039645598</v>
      </c>
      <c r="O10" s="299">
        <v>10.346139387845099</v>
      </c>
      <c r="P10" s="299">
        <v>15.2147916607627</v>
      </c>
      <c r="Q10" s="299">
        <v>22.1221629107045</v>
      </c>
      <c r="R10" s="299">
        <v>32.532337633808297</v>
      </c>
      <c r="S10" s="299">
        <v>47.301710667332898</v>
      </c>
      <c r="T10" s="299">
        <v>68.776239114488405</v>
      </c>
      <c r="U10" s="299">
        <v>102.29448417865601</v>
      </c>
      <c r="V10" s="299">
        <v>148.735210729351</v>
      </c>
      <c r="W10" s="299">
        <v>218.72653741020599</v>
      </c>
      <c r="X10" s="299">
        <v>329.03445623126601</v>
      </c>
      <c r="Y10" s="108">
        <v>473.01710667332901</v>
      </c>
      <c r="Z10" s="2"/>
    </row>
    <row r="11" spans="1:50">
      <c r="A11" s="174">
        <v>3</v>
      </c>
      <c r="B11" s="179">
        <v>2</v>
      </c>
      <c r="C11" s="300">
        <v>0.10346139387845101</v>
      </c>
      <c r="D11" s="300">
        <v>0.15043188637608401</v>
      </c>
      <c r="E11" s="300">
        <v>0.22122162910704399</v>
      </c>
      <c r="F11" s="300">
        <v>0.325323376338084</v>
      </c>
      <c r="G11" s="300">
        <v>0.46240724558247598</v>
      </c>
      <c r="H11" s="300">
        <v>0.71968567300115205</v>
      </c>
      <c r="I11" s="300">
        <v>1</v>
      </c>
      <c r="J11" s="300">
        <v>1.50431886376084</v>
      </c>
      <c r="K11" s="300">
        <v>2.2374518320560699</v>
      </c>
      <c r="L11" s="300">
        <v>3.2532337633808401</v>
      </c>
      <c r="M11" s="300">
        <v>4.6768209011058604</v>
      </c>
      <c r="N11" s="300">
        <v>7.0354299039645598</v>
      </c>
      <c r="O11" s="300">
        <v>10.346139387845099</v>
      </c>
      <c r="P11" s="300">
        <v>15.2147916607627</v>
      </c>
      <c r="Q11" s="300">
        <v>22.1221629107045</v>
      </c>
      <c r="R11" s="300">
        <v>32.532337633808297</v>
      </c>
      <c r="S11" s="300">
        <v>47.301710667332898</v>
      </c>
      <c r="T11" s="300">
        <v>68.776239114488405</v>
      </c>
      <c r="U11" s="300">
        <v>102.29448417865601</v>
      </c>
      <c r="V11" s="300">
        <v>148.735210729351</v>
      </c>
      <c r="W11" s="300">
        <v>218.72653741020599</v>
      </c>
      <c r="X11" s="300">
        <v>329.03445623126601</v>
      </c>
      <c r="Y11" s="109">
        <v>473.01710667332901</v>
      </c>
      <c r="Z11" s="2"/>
    </row>
    <row r="12" spans="1:50">
      <c r="A12" s="174">
        <v>3</v>
      </c>
      <c r="B12" s="179">
        <v>3</v>
      </c>
      <c r="C12" s="301">
        <v>0.10346139387845101</v>
      </c>
      <c r="D12" s="301">
        <v>0.15043188637608401</v>
      </c>
      <c r="E12" s="301">
        <v>0.22122162910704399</v>
      </c>
      <c r="F12" s="301">
        <v>0.325323376338084</v>
      </c>
      <c r="G12" s="301">
        <v>0.46240724558247598</v>
      </c>
      <c r="H12" s="301">
        <v>0.71968567300115205</v>
      </c>
      <c r="I12" s="301">
        <v>1</v>
      </c>
      <c r="J12" s="301">
        <v>1.50431886376084</v>
      </c>
      <c r="K12" s="301">
        <v>2.2374518320560699</v>
      </c>
      <c r="L12" s="301">
        <v>3.2532337633808401</v>
      </c>
      <c r="M12" s="301">
        <v>4.6768209011058604</v>
      </c>
      <c r="N12" s="301">
        <v>7.0354299039645598</v>
      </c>
      <c r="O12" s="301">
        <v>10.346139387845099</v>
      </c>
      <c r="P12" s="301">
        <v>15.2147916607627</v>
      </c>
      <c r="Q12" s="301">
        <v>22.1221629107045</v>
      </c>
      <c r="R12" s="301">
        <v>32.532337633808297</v>
      </c>
      <c r="S12" s="301">
        <v>47.301710667332898</v>
      </c>
      <c r="T12" s="301">
        <v>68.776239114488405</v>
      </c>
      <c r="U12" s="301">
        <v>102.29448417865601</v>
      </c>
      <c r="V12" s="301">
        <v>148.735210729351</v>
      </c>
      <c r="W12" s="301">
        <v>218.72653741020599</v>
      </c>
      <c r="X12" s="301">
        <v>329.03445623126601</v>
      </c>
      <c r="Y12" s="110">
        <v>473.01710667332901</v>
      </c>
      <c r="Z12" s="2"/>
    </row>
    <row r="13" spans="1:50">
      <c r="A13" s="174">
        <v>3</v>
      </c>
      <c r="B13" s="179">
        <v>4</v>
      </c>
      <c r="C13" s="300">
        <v>0.10346139387845101</v>
      </c>
      <c r="D13" s="300">
        <v>0.15043188637608401</v>
      </c>
      <c r="E13" s="300">
        <v>0.22122162910704399</v>
      </c>
      <c r="F13" s="300">
        <v>0.325323376338084</v>
      </c>
      <c r="G13" s="300">
        <v>0.46240724558247598</v>
      </c>
      <c r="H13" s="300">
        <v>0.71968567300115205</v>
      </c>
      <c r="I13" s="300">
        <v>1</v>
      </c>
      <c r="J13" s="300">
        <v>1.50431886376084</v>
      </c>
      <c r="K13" s="300">
        <v>2.2374518320560699</v>
      </c>
      <c r="L13" s="300">
        <v>3.2532337633808401</v>
      </c>
      <c r="M13" s="300">
        <v>4.6768209011058604</v>
      </c>
      <c r="N13" s="300">
        <v>7.0354299039645598</v>
      </c>
      <c r="O13" s="300">
        <v>10.346139387845099</v>
      </c>
      <c r="P13" s="300">
        <v>15.2147916607627</v>
      </c>
      <c r="Q13" s="300">
        <v>22.1221629107045</v>
      </c>
      <c r="R13" s="300">
        <v>32.532337633808297</v>
      </c>
      <c r="S13" s="300">
        <v>47.301710667332898</v>
      </c>
      <c r="T13" s="300">
        <v>68.776239114488405</v>
      </c>
      <c r="U13" s="300">
        <v>102.29448417865601</v>
      </c>
      <c r="V13" s="300">
        <v>148.735210729351</v>
      </c>
      <c r="W13" s="300">
        <v>218.72653741020599</v>
      </c>
      <c r="X13" s="302">
        <v>329.03445623126601</v>
      </c>
      <c r="Y13" s="111">
        <v>473.01710667332901</v>
      </c>
      <c r="Z13" s="2"/>
    </row>
    <row r="14" spans="1:50" ht="18" customHeight="1">
      <c r="A14" s="177">
        <v>4</v>
      </c>
      <c r="B14" s="178">
        <v>1</v>
      </c>
      <c r="C14" s="231">
        <f>6.283185*Angular_frequency!C14</f>
        <v>6.1572762417201152E-2</v>
      </c>
      <c r="D14" s="231">
        <f>6.283185*Angular_frequency!D14</f>
        <v>0.1225433467986166</v>
      </c>
      <c r="E14" s="231">
        <f>6.283185*Angular_frequency!E14</f>
        <v>0.18370201204608161</v>
      </c>
      <c r="F14" s="231">
        <f>6.283185*Angular_frequency!F14</f>
        <v>0.24636921545484528</v>
      </c>
      <c r="G14" s="231">
        <f>6.283185*Angular_frequency!G14</f>
        <v>0.36932662415076628</v>
      </c>
      <c r="H14" s="231">
        <f>6.283185*Angular_frequency!H14</f>
        <v>0.63150624448963466</v>
      </c>
      <c r="I14" s="231">
        <f>6.283185*Angular_frequency!I14</f>
        <v>0.98578962419395011</v>
      </c>
      <c r="J14" s="231">
        <f>6.283185*Angular_frequency!J14</f>
        <v>1.5702978820388651</v>
      </c>
      <c r="K14" s="231">
        <f>6.283185*Angular_frequency!K14</f>
        <v>2.476191581335712</v>
      </c>
      <c r="L14" s="231">
        <f>6.283185*Angular_frequency!L14</f>
        <v>3.9046889240636977</v>
      </c>
      <c r="M14" s="231">
        <f>6.283185*Angular_frequency!M14</f>
        <v>6.2199120349754278</v>
      </c>
      <c r="N14" s="231">
        <f>6.283185*Angular_frequency!N14</f>
        <v>9.7093651899406446</v>
      </c>
      <c r="O14" s="231">
        <f>6.283185*Angular_frequency!O14</f>
        <v>15.623712645837921</v>
      </c>
      <c r="P14" s="231">
        <f>6.283185*Angular_frequency!P14</f>
        <v>24.636921545484526</v>
      </c>
      <c r="Q14" s="231">
        <f>6.283185*Angular_frequency!Q14</f>
        <v>39.244991804884883</v>
      </c>
      <c r="R14" s="231">
        <f>6.283185*Angular_frequency!R14</f>
        <v>61.885148944268735</v>
      </c>
      <c r="S14" s="231">
        <f>6.283185*Angular_frequency!S14</f>
        <v>98.578962419395012</v>
      </c>
      <c r="T14" s="231">
        <f>6.283185*Angular_frequency!T14</f>
        <v>153.88306792655865</v>
      </c>
      <c r="U14" s="231">
        <f>6.283185*Angular_frequency!U14</f>
        <v>242.65711726943786</v>
      </c>
      <c r="V14" s="231">
        <f>6.283185*Angular_frequency!V14</f>
        <v>394.44099433216644</v>
      </c>
      <c r="W14" s="303">
        <f>6.283185*Angular_frequency!W14</f>
        <v>621.99120349754276</v>
      </c>
      <c r="X14" s="20"/>
      <c r="Y14" s="20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12"/>
      <c r="AU14" s="2"/>
    </row>
    <row r="15" spans="1:50">
      <c r="A15" s="174">
        <v>4</v>
      </c>
      <c r="B15" s="179">
        <v>2</v>
      </c>
      <c r="C15" s="50">
        <f>6.283185*Angular_frequency!C15</f>
        <v>6.1572762417201152E-2</v>
      </c>
      <c r="D15" s="50">
        <f>6.283185*Angular_frequency!D15</f>
        <v>0.1225433467986166</v>
      </c>
      <c r="E15" s="50">
        <f>6.283185*Angular_frequency!E15</f>
        <v>0.18370201204608161</v>
      </c>
      <c r="F15" s="50">
        <f>6.283185*Angular_frequency!F15</f>
        <v>0.24636921545484528</v>
      </c>
      <c r="G15" s="50">
        <f>6.283185*Angular_frequency!G15</f>
        <v>0.36932662415076628</v>
      </c>
      <c r="H15" s="50">
        <f>6.283185*Angular_frequency!H15</f>
        <v>0.63150624448963466</v>
      </c>
      <c r="I15" s="50">
        <f>6.283185*Angular_frequency!I15</f>
        <v>0.98578962419395011</v>
      </c>
      <c r="J15" s="50">
        <f>6.283185*Angular_frequency!J15</f>
        <v>1.5702978820388651</v>
      </c>
      <c r="K15" s="50">
        <f>6.283185*Angular_frequency!K15</f>
        <v>2.476191581335712</v>
      </c>
      <c r="L15" s="50">
        <f>6.283185*Angular_frequency!L15</f>
        <v>3.9046889240636977</v>
      </c>
      <c r="M15" s="50">
        <f>6.283185*Angular_frequency!M15</f>
        <v>6.2199120349754278</v>
      </c>
      <c r="N15" s="50">
        <f>6.283185*Angular_frequency!N15</f>
        <v>9.7093651899406446</v>
      </c>
      <c r="O15" s="50">
        <f>6.283185*Angular_frequency!O15</f>
        <v>15.623712645837921</v>
      </c>
      <c r="P15" s="50">
        <f>6.283185*Angular_frequency!P15</f>
        <v>24.636921545484526</v>
      </c>
      <c r="Q15" s="50">
        <f>6.283185*Angular_frequency!Q15</f>
        <v>39.244991804884883</v>
      </c>
      <c r="R15" s="50">
        <f>6.283185*Angular_frequency!R15</f>
        <v>61.885148944268735</v>
      </c>
      <c r="S15" s="50">
        <f>6.283185*Angular_frequency!S15</f>
        <v>98.578962419395012</v>
      </c>
      <c r="T15" s="50">
        <f>6.283185*Angular_frequency!T15</f>
        <v>153.88306792655865</v>
      </c>
      <c r="U15" s="50">
        <f>6.283185*Angular_frequency!U15</f>
        <v>242.65711726943786</v>
      </c>
      <c r="V15" s="50">
        <f>6.283185*Angular_frequency!V15</f>
        <v>394.44099433216644</v>
      </c>
      <c r="W15" s="304">
        <f>6.283185*Angular_frequency!W15</f>
        <v>621.99120349754276</v>
      </c>
      <c r="X15" s="20"/>
      <c r="Y15" s="20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12"/>
      <c r="AU15" s="2"/>
    </row>
    <row r="16" spans="1:50">
      <c r="A16" s="175">
        <v>4</v>
      </c>
      <c r="B16" s="180">
        <v>3</v>
      </c>
      <c r="C16" s="52">
        <f>6.283185*Angular_frequency!C16</f>
        <v>6.1572762417201152E-2</v>
      </c>
      <c r="D16" s="52">
        <f>6.283185*Angular_frequency!D16</f>
        <v>0.1225433467986166</v>
      </c>
      <c r="E16" s="52">
        <f>6.283185*Angular_frequency!E16</f>
        <v>0.18370201204608161</v>
      </c>
      <c r="F16" s="52">
        <f>6.283185*Angular_frequency!F16</f>
        <v>0.24636921545484528</v>
      </c>
      <c r="G16" s="52">
        <f>6.283185*Angular_frequency!G16</f>
        <v>0.36932662415076628</v>
      </c>
      <c r="H16" s="52">
        <f>6.283185*Angular_frequency!H16</f>
        <v>0.63150624448963466</v>
      </c>
      <c r="I16" s="52">
        <f>6.283185*Angular_frequency!I16</f>
        <v>0.98578962419395011</v>
      </c>
      <c r="J16" s="52">
        <f>6.283185*Angular_frequency!J16</f>
        <v>1.5702978820388651</v>
      </c>
      <c r="K16" s="52">
        <f>6.283185*Angular_frequency!K16</f>
        <v>2.476191581335712</v>
      </c>
      <c r="L16" s="52">
        <f>6.283185*Angular_frequency!L16</f>
        <v>3.9046889240636977</v>
      </c>
      <c r="M16" s="52">
        <f>6.283185*Angular_frequency!M16</f>
        <v>6.2199120349754278</v>
      </c>
      <c r="N16" s="52">
        <f>6.283185*Angular_frequency!N16</f>
        <v>9.7093651899406446</v>
      </c>
      <c r="O16" s="52">
        <f>6.283185*Angular_frequency!O16</f>
        <v>15.623712645837921</v>
      </c>
      <c r="P16" s="52">
        <f>6.283185*Angular_frequency!P16</f>
        <v>24.636921545484526</v>
      </c>
      <c r="Q16" s="52">
        <f>6.283185*Angular_frequency!Q16</f>
        <v>39.244991804884883</v>
      </c>
      <c r="R16" s="52">
        <f>6.283185*Angular_frequency!R16</f>
        <v>61.885148944268735</v>
      </c>
      <c r="S16" s="52">
        <f>6.283185*Angular_frequency!S16</f>
        <v>98.578962419395012</v>
      </c>
      <c r="T16" s="52">
        <f>6.283185*Angular_frequency!T16</f>
        <v>153.88306792655865</v>
      </c>
      <c r="U16" s="52">
        <f>6.283185*Angular_frequency!U16</f>
        <v>242.65711726943786</v>
      </c>
      <c r="V16" s="52">
        <f>6.283185*Angular_frequency!V16</f>
        <v>394.44099433216644</v>
      </c>
      <c r="W16" s="305">
        <f>6.283185*Angular_frequency!W16</f>
        <v>621.99120349754276</v>
      </c>
      <c r="X16" s="20"/>
      <c r="Y16" s="20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12"/>
      <c r="AU16" s="2"/>
    </row>
    <row r="17" spans="1:50">
      <c r="A17" s="182">
        <v>5</v>
      </c>
      <c r="B17" s="179">
        <v>1</v>
      </c>
      <c r="C17" s="300">
        <v>0.1</v>
      </c>
      <c r="D17" s="300">
        <v>0.120177348102179</v>
      </c>
      <c r="E17" s="300">
        <v>0.14442594996872399</v>
      </c>
      <c r="F17" s="300">
        <v>0.17224312920385301</v>
      </c>
      <c r="G17" s="300">
        <v>0.213436304443925</v>
      </c>
      <c r="H17" s="300">
        <v>0.248763775608522</v>
      </c>
      <c r="I17" s="300">
        <v>0.298957708565178</v>
      </c>
      <c r="J17" s="300">
        <v>0.36762936963128101</v>
      </c>
      <c r="K17" s="300">
        <v>0.441807227267633</v>
      </c>
      <c r="L17" s="300">
        <v>0.53503399206054303</v>
      </c>
      <c r="M17" s="300">
        <v>0.63808428501175996</v>
      </c>
      <c r="N17" s="300">
        <v>0.76098259329455098</v>
      </c>
      <c r="O17" s="300">
        <v>0.92155929022937599</v>
      </c>
      <c r="P17" s="300">
        <v>1.1160196473499899</v>
      </c>
      <c r="Q17" s="300">
        <v>1.35151353415493</v>
      </c>
      <c r="R17" s="300">
        <v>1.62421312458944</v>
      </c>
      <c r="S17" s="300">
        <v>1.9669420923252501</v>
      </c>
      <c r="T17" s="300">
        <v>2.3638188452620099</v>
      </c>
      <c r="U17" s="300">
        <v>2.7975955107325299</v>
      </c>
      <c r="V17" s="300">
        <v>3.4402132630397602</v>
      </c>
      <c r="W17" s="300">
        <v>4.0404538926578502</v>
      </c>
      <c r="X17" s="306">
        <v>4.9685606860952198</v>
      </c>
      <c r="Y17" s="306">
        <v>5.9255309755456702</v>
      </c>
      <c r="Z17" s="195">
        <v>7.1758909706655896</v>
      </c>
      <c r="AA17" s="195">
        <v>8.5580044021228598</v>
      </c>
      <c r="AB17" s="195">
        <v>10.363848703103701</v>
      </c>
      <c r="AC17" s="195">
        <v>12.6472343328848</v>
      </c>
      <c r="AD17" s="195">
        <v>15.1991108295293</v>
      </c>
      <c r="AE17" s="195">
        <v>18.265888330039498</v>
      </c>
      <c r="AF17" s="195">
        <v>22.120215670064201</v>
      </c>
      <c r="AG17" s="195">
        <v>26.787853536006899</v>
      </c>
      <c r="AH17" s="195">
        <v>31.9473316166209</v>
      </c>
      <c r="AI17" s="195">
        <v>38.6886119456085</v>
      </c>
      <c r="AJ17" s="195">
        <v>46.852385427368603</v>
      </c>
      <c r="AK17" s="195">
        <v>56.305954329223503</v>
      </c>
      <c r="AL17" s="195">
        <v>68.711404338152903</v>
      </c>
      <c r="AM17" s="195">
        <v>80.084353105042496</v>
      </c>
      <c r="AN17" s="195">
        <v>97.728711517531494</v>
      </c>
      <c r="AO17" s="195">
        <v>115.662587748265</v>
      </c>
      <c r="AP17" s="195">
        <v>143.32412216102901</v>
      </c>
      <c r="AQ17" s="195">
        <v>170.92908370522699</v>
      </c>
      <c r="AR17" s="195">
        <v>206.99722496540099</v>
      </c>
      <c r="AS17" s="253">
        <v>276.91745564046403</v>
      </c>
      <c r="AT17" s="19"/>
      <c r="AU17" s="19"/>
      <c r="AV17" s="19"/>
      <c r="AW17" s="19"/>
      <c r="AX17" s="19"/>
    </row>
    <row r="18" spans="1:50">
      <c r="A18" s="182">
        <v>5</v>
      </c>
      <c r="B18" s="179">
        <v>2</v>
      </c>
      <c r="C18" s="301">
        <v>0.1</v>
      </c>
      <c r="D18" s="301">
        <v>0.120177348102179</v>
      </c>
      <c r="E18" s="301">
        <v>0.14442594996872399</v>
      </c>
      <c r="F18" s="301">
        <v>0.17224312920385301</v>
      </c>
      <c r="G18" s="301">
        <v>0.213436304443925</v>
      </c>
      <c r="H18" s="301">
        <v>0.248763775608522</v>
      </c>
      <c r="I18" s="301">
        <v>0.298957708565178</v>
      </c>
      <c r="J18" s="301">
        <v>0.36762936963128101</v>
      </c>
      <c r="K18" s="301">
        <v>0.441807227267633</v>
      </c>
      <c r="L18" s="301">
        <v>0.53503399206054303</v>
      </c>
      <c r="M18" s="301">
        <v>0.63808428501175996</v>
      </c>
      <c r="N18" s="301">
        <v>0.76098259329455098</v>
      </c>
      <c r="O18" s="301">
        <v>0.92155929022937599</v>
      </c>
      <c r="P18" s="301">
        <v>1.1160196473499899</v>
      </c>
      <c r="Q18" s="301">
        <v>1.35151353415493</v>
      </c>
      <c r="R18" s="301">
        <v>1.62421312458944</v>
      </c>
      <c r="S18" s="301">
        <v>1.9669420923252501</v>
      </c>
      <c r="T18" s="301">
        <v>2.3638188452620099</v>
      </c>
      <c r="U18" s="301">
        <v>2.7975955107325299</v>
      </c>
      <c r="V18" s="301">
        <v>3.4402132630397602</v>
      </c>
      <c r="W18" s="301">
        <v>4.0404538926578502</v>
      </c>
      <c r="X18" s="301">
        <v>4.9685606860952198</v>
      </c>
      <c r="Y18" s="301">
        <v>5.9255309755456702</v>
      </c>
      <c r="Z18" s="19">
        <v>7.1758909706655896</v>
      </c>
      <c r="AA18" s="19">
        <v>8.5580044021228598</v>
      </c>
      <c r="AB18" s="19">
        <v>10.363848703103701</v>
      </c>
      <c r="AC18" s="19">
        <v>12.6472343328848</v>
      </c>
      <c r="AD18" s="19">
        <v>15.1991108295293</v>
      </c>
      <c r="AE18" s="19">
        <v>18.265888330039498</v>
      </c>
      <c r="AF18" s="19">
        <v>22.120215670064201</v>
      </c>
      <c r="AG18" s="19">
        <v>26.787853536006899</v>
      </c>
      <c r="AH18" s="19">
        <v>31.9473316166209</v>
      </c>
      <c r="AI18" s="19">
        <v>38.6886119456085</v>
      </c>
      <c r="AJ18" s="19">
        <v>46.852385427368603</v>
      </c>
      <c r="AK18" s="19">
        <v>56.305954329223503</v>
      </c>
      <c r="AL18" s="19">
        <v>68.711404338152903</v>
      </c>
      <c r="AM18" s="19">
        <v>80.084353105042496</v>
      </c>
      <c r="AN18" s="19">
        <v>97.728711517531494</v>
      </c>
      <c r="AO18" s="19">
        <v>115.662587748265</v>
      </c>
      <c r="AP18" s="19">
        <v>143.32412216102901</v>
      </c>
      <c r="AQ18" s="19">
        <v>170.92908370522699</v>
      </c>
      <c r="AR18" s="19">
        <v>206.99722496540099</v>
      </c>
      <c r="AS18" s="185">
        <v>276.91745564046403</v>
      </c>
      <c r="AT18" s="19"/>
      <c r="AU18" s="19"/>
      <c r="AV18" s="19"/>
      <c r="AW18" s="19"/>
      <c r="AX18" s="19"/>
    </row>
    <row r="19" spans="1:50">
      <c r="A19" s="182">
        <v>5</v>
      </c>
      <c r="B19" s="179">
        <v>3</v>
      </c>
      <c r="C19" s="300">
        <v>0.1</v>
      </c>
      <c r="D19" s="300">
        <v>0.120177348102179</v>
      </c>
      <c r="E19" s="300">
        <v>0.14442594996872399</v>
      </c>
      <c r="F19" s="300">
        <v>0.17224312920385301</v>
      </c>
      <c r="G19" s="300">
        <v>0.213436304443925</v>
      </c>
      <c r="H19" s="300">
        <v>0.248763775608522</v>
      </c>
      <c r="I19" s="300">
        <v>0.298957708565178</v>
      </c>
      <c r="J19" s="300">
        <v>0.36762936963128101</v>
      </c>
      <c r="K19" s="300">
        <v>0.441807227267633</v>
      </c>
      <c r="L19" s="300">
        <v>0.53503399206054303</v>
      </c>
      <c r="M19" s="300">
        <v>0.63808428501175996</v>
      </c>
      <c r="N19" s="300">
        <v>0.76098259329455098</v>
      </c>
      <c r="O19" s="300">
        <v>0.92155929022937599</v>
      </c>
      <c r="P19" s="300">
        <v>1.1160196473499899</v>
      </c>
      <c r="Q19" s="300">
        <v>1.35151353415493</v>
      </c>
      <c r="R19" s="300">
        <v>1.62421312458944</v>
      </c>
      <c r="S19" s="300">
        <v>1.9669420923252501</v>
      </c>
      <c r="T19" s="300">
        <v>2.3638188452620099</v>
      </c>
      <c r="U19" s="300">
        <v>2.7975955107325299</v>
      </c>
      <c r="V19" s="300">
        <v>3.4402132630397602</v>
      </c>
      <c r="W19" s="300">
        <v>4.0404538926578502</v>
      </c>
      <c r="X19" s="300">
        <v>4.9685606860952198</v>
      </c>
      <c r="Y19" s="300">
        <v>5.9255309755456702</v>
      </c>
      <c r="Z19" s="19">
        <v>7.1758909706655896</v>
      </c>
      <c r="AA19" s="19">
        <v>8.5580044021228598</v>
      </c>
      <c r="AB19" s="19">
        <v>10.363848703103701</v>
      </c>
      <c r="AC19" s="19">
        <v>12.6472343328848</v>
      </c>
      <c r="AD19" s="19">
        <v>15.1991108295293</v>
      </c>
      <c r="AE19" s="19">
        <v>18.265888330039498</v>
      </c>
      <c r="AF19" s="19">
        <v>22.120215670064201</v>
      </c>
      <c r="AG19" s="19">
        <v>26.787853536006899</v>
      </c>
      <c r="AH19" s="19">
        <v>31.9473316166209</v>
      </c>
      <c r="AI19" s="19">
        <v>38.6886119456085</v>
      </c>
      <c r="AJ19" s="19">
        <v>46.852385427368603</v>
      </c>
      <c r="AK19" s="19">
        <v>56.305954329223503</v>
      </c>
      <c r="AL19" s="19">
        <v>68.711404338152903</v>
      </c>
      <c r="AM19" s="19">
        <v>80.084353105042496</v>
      </c>
      <c r="AN19" s="19">
        <v>97.728711517531494</v>
      </c>
      <c r="AO19" s="19">
        <v>115.662587748265</v>
      </c>
      <c r="AP19" s="19">
        <v>143.32412216102901</v>
      </c>
      <c r="AQ19" s="19">
        <v>170.92908370522699</v>
      </c>
      <c r="AR19" s="19">
        <v>206.99722496540099</v>
      </c>
      <c r="AS19" s="185">
        <v>276.91745564046403</v>
      </c>
      <c r="AT19" s="19"/>
      <c r="AU19" s="19"/>
      <c r="AV19" s="19"/>
      <c r="AW19" s="19"/>
      <c r="AX19" s="19"/>
    </row>
    <row r="20" spans="1:50" ht="15.75" customHeight="1">
      <c r="A20" s="182">
        <v>5</v>
      </c>
      <c r="B20" s="179">
        <v>4</v>
      </c>
      <c r="C20" s="301">
        <v>0.1</v>
      </c>
      <c r="D20" s="301">
        <v>0.120177348102179</v>
      </c>
      <c r="E20" s="301">
        <v>0.14442594996872399</v>
      </c>
      <c r="F20" s="301">
        <v>0.17224312920385301</v>
      </c>
      <c r="G20" s="301">
        <v>0.213436304443925</v>
      </c>
      <c r="H20" s="301">
        <v>0.248763775608522</v>
      </c>
      <c r="I20" s="301">
        <v>0.298957708565178</v>
      </c>
      <c r="J20" s="301">
        <v>0.36762936963128101</v>
      </c>
      <c r="K20" s="301">
        <v>0.441807227267633</v>
      </c>
      <c r="L20" s="301">
        <v>0.53503399206054303</v>
      </c>
      <c r="M20" s="301">
        <v>0.63808428501175996</v>
      </c>
      <c r="N20" s="301">
        <v>0.76098259329455098</v>
      </c>
      <c r="O20" s="301">
        <v>0.92155929022937599</v>
      </c>
      <c r="P20" s="301">
        <v>1.1160196473499899</v>
      </c>
      <c r="Q20" s="301">
        <v>1.35151353415493</v>
      </c>
      <c r="R20" s="301">
        <v>1.62421312458944</v>
      </c>
      <c r="S20" s="301">
        <v>1.9669420923252501</v>
      </c>
      <c r="T20" s="301">
        <v>2.3638188452620099</v>
      </c>
      <c r="U20" s="301">
        <v>2.7975955107325299</v>
      </c>
      <c r="V20" s="301">
        <v>3.4402132630397602</v>
      </c>
      <c r="W20" s="301">
        <v>4.0404538926578502</v>
      </c>
      <c r="X20" s="301">
        <v>4.9685606860952198</v>
      </c>
      <c r="Y20" s="301">
        <v>5.9255309755456702</v>
      </c>
      <c r="Z20" s="19">
        <v>7.1758909706655896</v>
      </c>
      <c r="AA20" s="19">
        <v>8.5580044021228598</v>
      </c>
      <c r="AB20" s="19">
        <v>10.363848703103701</v>
      </c>
      <c r="AC20" s="19">
        <v>12.6472343328848</v>
      </c>
      <c r="AD20" s="19">
        <v>15.1991108295293</v>
      </c>
      <c r="AE20" s="19">
        <v>18.265888330039498</v>
      </c>
      <c r="AF20" s="19">
        <v>22.120215670064201</v>
      </c>
      <c r="AG20" s="19">
        <v>26.787853536006899</v>
      </c>
      <c r="AH20" s="19">
        <v>31.9473316166209</v>
      </c>
      <c r="AI20" s="19">
        <v>38.6886119456085</v>
      </c>
      <c r="AJ20" s="19">
        <v>46.852385427368603</v>
      </c>
      <c r="AK20" s="19">
        <v>56.305954329223503</v>
      </c>
      <c r="AL20" s="19">
        <v>68.711404338152903</v>
      </c>
      <c r="AM20" s="19">
        <v>80.084353105042496</v>
      </c>
      <c r="AN20" s="19">
        <v>97.728711517531494</v>
      </c>
      <c r="AO20" s="19">
        <v>115.662587748265</v>
      </c>
      <c r="AP20" s="19">
        <v>143.32412216102901</v>
      </c>
      <c r="AQ20" s="19">
        <v>170.92908370522699</v>
      </c>
      <c r="AR20" s="19">
        <v>206.99722496540099</v>
      </c>
      <c r="AS20" s="185">
        <v>276.91745564046403</v>
      </c>
      <c r="AT20" s="19"/>
      <c r="AU20" s="19"/>
      <c r="AV20" s="19"/>
      <c r="AW20" s="19"/>
      <c r="AX20" s="19"/>
    </row>
    <row r="21" spans="1:50" ht="15.75" customHeight="1">
      <c r="A21" s="182">
        <v>5</v>
      </c>
      <c r="B21" s="179">
        <v>5</v>
      </c>
      <c r="C21" s="300">
        <v>0.1</v>
      </c>
      <c r="D21" s="300">
        <v>0.120177348102179</v>
      </c>
      <c r="E21" s="300">
        <v>0.14442594996872399</v>
      </c>
      <c r="F21" s="300">
        <v>0.17224312920385301</v>
      </c>
      <c r="G21" s="300">
        <v>0.213436304443925</v>
      </c>
      <c r="H21" s="300">
        <v>0.248763775608522</v>
      </c>
      <c r="I21" s="300">
        <v>0.298957708565178</v>
      </c>
      <c r="J21" s="300">
        <v>0.36762936963128101</v>
      </c>
      <c r="K21" s="300">
        <v>0.441807227267633</v>
      </c>
      <c r="L21" s="300">
        <v>0.53503399206054303</v>
      </c>
      <c r="M21" s="300">
        <v>0.63808428501175996</v>
      </c>
      <c r="N21" s="300">
        <v>0.76098259329455098</v>
      </c>
      <c r="O21" s="300">
        <v>0.92155929022937599</v>
      </c>
      <c r="P21" s="300">
        <v>1.1160196473499899</v>
      </c>
      <c r="Q21" s="300">
        <v>1.35151353415493</v>
      </c>
      <c r="R21" s="300">
        <v>1.62421312458944</v>
      </c>
      <c r="S21" s="300">
        <v>1.9669420923252501</v>
      </c>
      <c r="T21" s="300">
        <v>2.3638188452620099</v>
      </c>
      <c r="U21" s="300">
        <v>2.7975955107325299</v>
      </c>
      <c r="V21" s="300">
        <v>3.4402132630397602</v>
      </c>
      <c r="W21" s="300">
        <v>4.0404538926578502</v>
      </c>
      <c r="X21" s="300">
        <v>4.9685606860952198</v>
      </c>
      <c r="Y21" s="300">
        <v>5.9255309755456702</v>
      </c>
      <c r="Z21" s="19">
        <v>7.1758909706655896</v>
      </c>
      <c r="AA21" s="19">
        <v>8.5580044021228598</v>
      </c>
      <c r="AB21" s="19">
        <v>10.363848703103701</v>
      </c>
      <c r="AC21" s="19">
        <v>12.6472343328848</v>
      </c>
      <c r="AD21" s="19">
        <v>15.1991108295293</v>
      </c>
      <c r="AE21" s="19">
        <v>18.265888330039498</v>
      </c>
      <c r="AF21" s="19">
        <v>22.120215670064201</v>
      </c>
      <c r="AG21" s="19">
        <v>26.787853536006899</v>
      </c>
      <c r="AH21" s="19">
        <v>31.9473316166209</v>
      </c>
      <c r="AI21" s="19">
        <v>38.6886119456085</v>
      </c>
      <c r="AJ21" s="19">
        <v>46.852385427368603</v>
      </c>
      <c r="AK21" s="19">
        <v>56.305954329223503</v>
      </c>
      <c r="AL21" s="19">
        <v>68.711404338152903</v>
      </c>
      <c r="AM21" s="19">
        <v>80.084353105042496</v>
      </c>
      <c r="AN21" s="19">
        <v>97.728711517531494</v>
      </c>
      <c r="AO21" s="19">
        <v>115.662587748265</v>
      </c>
      <c r="AP21" s="19">
        <v>143.32412216102901</v>
      </c>
      <c r="AQ21" s="19">
        <v>170.92908370522699</v>
      </c>
      <c r="AR21" s="19">
        <v>206.99722496540099</v>
      </c>
      <c r="AS21" s="185">
        <v>276.91745564046403</v>
      </c>
      <c r="AT21" s="19"/>
      <c r="AU21" s="19"/>
      <c r="AV21" s="19"/>
      <c r="AW21" s="19"/>
      <c r="AX21" s="19"/>
    </row>
    <row r="22" spans="1:50" ht="15.75" customHeight="1">
      <c r="A22" s="182">
        <v>5</v>
      </c>
      <c r="B22" s="179">
        <v>6</v>
      </c>
      <c r="C22" s="301">
        <v>0.1</v>
      </c>
      <c r="D22" s="301">
        <v>0.120177348102179</v>
      </c>
      <c r="E22" s="301">
        <v>0.14442594996872399</v>
      </c>
      <c r="F22" s="301">
        <v>0.17224312920385301</v>
      </c>
      <c r="G22" s="301">
        <v>0.213436304443925</v>
      </c>
      <c r="H22" s="301">
        <v>0.248763775608522</v>
      </c>
      <c r="I22" s="301">
        <v>0.298957708565178</v>
      </c>
      <c r="J22" s="301">
        <v>0.36762936963128101</v>
      </c>
      <c r="K22" s="301">
        <v>0.441807227267633</v>
      </c>
      <c r="L22" s="301">
        <v>0.53503399206054303</v>
      </c>
      <c r="M22" s="301">
        <v>0.63808428501175996</v>
      </c>
      <c r="N22" s="301">
        <v>0.76098259329455098</v>
      </c>
      <c r="O22" s="301">
        <v>0.92155929022937599</v>
      </c>
      <c r="P22" s="301">
        <v>1.1160196473499899</v>
      </c>
      <c r="Q22" s="301">
        <v>1.35151353415493</v>
      </c>
      <c r="R22" s="301">
        <v>1.62421312458944</v>
      </c>
      <c r="S22" s="301">
        <v>1.9669420923252501</v>
      </c>
      <c r="T22" s="301">
        <v>2.3638188452620099</v>
      </c>
      <c r="U22" s="301">
        <v>2.7975955107325299</v>
      </c>
      <c r="V22" s="301">
        <v>3.4402132630397602</v>
      </c>
      <c r="W22" s="301">
        <v>4.0404538926578502</v>
      </c>
      <c r="X22" s="301">
        <v>4.9685606860952198</v>
      </c>
      <c r="Y22" s="301">
        <v>5.9255309755456702</v>
      </c>
      <c r="Z22" s="21">
        <v>7.1758909706655896</v>
      </c>
      <c r="AA22" s="21">
        <v>8.5580044021228598</v>
      </c>
      <c r="AB22" s="21">
        <v>10.363848703103701</v>
      </c>
      <c r="AC22" s="21">
        <v>12.6472343328848</v>
      </c>
      <c r="AD22" s="21">
        <v>15.1991108295293</v>
      </c>
      <c r="AE22" s="21">
        <v>18.265888330039498</v>
      </c>
      <c r="AF22" s="21">
        <v>22.120215670064201</v>
      </c>
      <c r="AG22" s="21">
        <v>26.787853536006899</v>
      </c>
      <c r="AH22" s="21">
        <v>31.9473316166209</v>
      </c>
      <c r="AI22" s="21">
        <v>38.6886119456085</v>
      </c>
      <c r="AJ22" s="21">
        <v>46.852385427368603</v>
      </c>
      <c r="AK22" s="21">
        <v>56.305954329223503</v>
      </c>
      <c r="AL22" s="21">
        <v>68.711404338152903</v>
      </c>
      <c r="AM22" s="21">
        <v>80.084353105042496</v>
      </c>
      <c r="AN22" s="21">
        <v>97.728711517531494</v>
      </c>
      <c r="AO22" s="21">
        <v>115.662587748265</v>
      </c>
      <c r="AP22" s="21">
        <v>143.32412216102901</v>
      </c>
      <c r="AQ22" s="21">
        <v>170.92908370522699</v>
      </c>
      <c r="AR22" s="21">
        <v>206.99722496540099</v>
      </c>
      <c r="AS22" s="186">
        <v>276.91745564046403</v>
      </c>
      <c r="AT22" s="19"/>
      <c r="AU22" s="19"/>
      <c r="AV22" s="19"/>
      <c r="AW22" s="19"/>
      <c r="AX22" s="19"/>
    </row>
    <row r="23" spans="1:50" ht="15.75" customHeight="1">
      <c r="A23" s="181">
        <v>6</v>
      </c>
      <c r="B23" s="178">
        <v>1</v>
      </c>
      <c r="C23" s="306">
        <v>0.102983099197286</v>
      </c>
      <c r="D23" s="306">
        <v>0.12901443294311599</v>
      </c>
      <c r="E23" s="306">
        <v>0.16644723907633799</v>
      </c>
      <c r="F23" s="306">
        <v>0.218990629460591</v>
      </c>
      <c r="G23" s="306">
        <v>0.27977474632885402</v>
      </c>
      <c r="H23" s="306">
        <v>0.36094980249421399</v>
      </c>
      <c r="I23" s="306">
        <v>0.45218812069842801</v>
      </c>
      <c r="J23" s="306">
        <v>0.60670660559262002</v>
      </c>
      <c r="K23" s="306">
        <v>0.77510707692751502</v>
      </c>
      <c r="L23" s="306">
        <v>0.99024961186350602</v>
      </c>
      <c r="M23" s="306">
        <v>1.2775649214671101</v>
      </c>
      <c r="N23" s="306">
        <v>1.6004986757617301</v>
      </c>
      <c r="O23" s="306">
        <v>2.16855385825095</v>
      </c>
      <c r="P23" s="306">
        <v>2.7977474632885402</v>
      </c>
      <c r="Q23" s="306">
        <v>3.5743040182210501</v>
      </c>
      <c r="R23" s="306">
        <v>4.7026258361351099</v>
      </c>
      <c r="S23" s="306">
        <v>6.1268047805733099</v>
      </c>
      <c r="T23" s="306">
        <v>7.7510707692751497</v>
      </c>
      <c r="U23" s="306">
        <v>10.298309919728601</v>
      </c>
      <c r="V23" s="306">
        <v>13.0284759920612</v>
      </c>
      <c r="W23" s="306">
        <v>16.6447239076338</v>
      </c>
      <c r="X23" s="306">
        <v>21.8990629460591</v>
      </c>
      <c r="Y23" s="306">
        <v>27.704683396135898</v>
      </c>
      <c r="Z23" s="195">
        <v>35.049421245590501</v>
      </c>
      <c r="AA23" s="195">
        <v>45.664054323381599</v>
      </c>
      <c r="AB23" s="195">
        <v>59.493303545235797</v>
      </c>
      <c r="AC23" s="195">
        <v>77.510707692751595</v>
      </c>
      <c r="AD23" s="195">
        <v>99.024961186350595</v>
      </c>
      <c r="AE23" s="195">
        <v>129.01443294311599</v>
      </c>
      <c r="AF23" s="195">
        <v>163.217212856327</v>
      </c>
      <c r="AG23" s="195">
        <v>212.64715391898099</v>
      </c>
      <c r="AH23" s="195">
        <v>277.04683396135903</v>
      </c>
      <c r="AI23" s="195">
        <v>364.50385657304997</v>
      </c>
      <c r="AJ23" s="195">
        <v>465.67734089720898</v>
      </c>
      <c r="AK23" s="253">
        <v>594.93303545235801</v>
      </c>
      <c r="AL23" s="74"/>
      <c r="AM23" s="74"/>
      <c r="AN23" s="74"/>
      <c r="AO23" s="74"/>
      <c r="AP23" s="74"/>
      <c r="AQ23" s="74"/>
      <c r="AR23" s="74"/>
      <c r="AS23" s="74"/>
      <c r="AT23" s="74"/>
    </row>
    <row r="24" spans="1:50" ht="15.75" customHeight="1">
      <c r="A24" s="182">
        <v>6</v>
      </c>
      <c r="B24" s="179">
        <v>2</v>
      </c>
      <c r="C24" s="301">
        <v>0.102983099197286</v>
      </c>
      <c r="D24" s="301">
        <v>0.12901443294311599</v>
      </c>
      <c r="E24" s="301">
        <v>0.16644723907633799</v>
      </c>
      <c r="F24" s="301">
        <v>0.218990629460591</v>
      </c>
      <c r="G24" s="301">
        <v>0.27977474632885402</v>
      </c>
      <c r="H24" s="301">
        <v>0.36094980249421399</v>
      </c>
      <c r="I24" s="301">
        <v>0.45218812069842801</v>
      </c>
      <c r="J24" s="301">
        <v>0.60670660559262002</v>
      </c>
      <c r="K24" s="301">
        <v>0.77510707692751502</v>
      </c>
      <c r="L24" s="301">
        <v>0.99024961186350602</v>
      </c>
      <c r="M24" s="301">
        <v>1.2775649214671101</v>
      </c>
      <c r="N24" s="301">
        <v>1.6004986757617301</v>
      </c>
      <c r="O24" s="301">
        <v>2.16855385825095</v>
      </c>
      <c r="P24" s="301">
        <v>2.7977474632885402</v>
      </c>
      <c r="Q24" s="301">
        <v>3.5743040182210501</v>
      </c>
      <c r="R24" s="301">
        <v>4.7026258361351099</v>
      </c>
      <c r="S24" s="301">
        <v>6.1268047805733099</v>
      </c>
      <c r="T24" s="301">
        <v>7.7510707692751497</v>
      </c>
      <c r="U24" s="301">
        <v>10.298309919728601</v>
      </c>
      <c r="V24" s="301">
        <v>13.0284759920612</v>
      </c>
      <c r="W24" s="301">
        <v>16.6447239076338</v>
      </c>
      <c r="X24" s="301">
        <v>21.8990629460591</v>
      </c>
      <c r="Y24" s="301">
        <v>27.704683396135898</v>
      </c>
      <c r="Z24" s="19">
        <v>35.049421245590501</v>
      </c>
      <c r="AA24" s="19">
        <v>45.664054323381599</v>
      </c>
      <c r="AB24" s="19">
        <v>59.493303545235797</v>
      </c>
      <c r="AC24" s="19">
        <v>77.510707692751595</v>
      </c>
      <c r="AD24" s="19">
        <v>99.024961186350595</v>
      </c>
      <c r="AE24" s="19">
        <v>129.01443294311599</v>
      </c>
      <c r="AF24" s="19">
        <v>163.217212856327</v>
      </c>
      <c r="AG24" s="19">
        <v>212.64715391898099</v>
      </c>
      <c r="AH24" s="19">
        <v>277.04683396135903</v>
      </c>
      <c r="AI24" s="19">
        <v>364.50385657304997</v>
      </c>
      <c r="AJ24" s="19">
        <v>465.67734089720898</v>
      </c>
      <c r="AK24" s="185">
        <v>594.93303545235801</v>
      </c>
    </row>
    <row r="25" spans="1:50" ht="15.75" customHeight="1">
      <c r="A25" s="182">
        <v>6</v>
      </c>
      <c r="B25" s="179">
        <v>3</v>
      </c>
      <c r="C25" s="300">
        <v>0.102983099197286</v>
      </c>
      <c r="D25" s="300">
        <v>0.12901443294311599</v>
      </c>
      <c r="E25" s="300">
        <v>0.16644723907633799</v>
      </c>
      <c r="F25" s="300">
        <v>0.218990629460591</v>
      </c>
      <c r="G25" s="300">
        <v>0.27977474632885402</v>
      </c>
      <c r="H25" s="300">
        <v>0.36094980249421399</v>
      </c>
      <c r="I25" s="300">
        <v>0.45218812069842801</v>
      </c>
      <c r="J25" s="300">
        <v>0.60670660559262002</v>
      </c>
      <c r="K25" s="300">
        <v>0.77510707692751502</v>
      </c>
      <c r="L25" s="300">
        <v>0.99024961186350602</v>
      </c>
      <c r="M25" s="300">
        <v>1.2775649214671101</v>
      </c>
      <c r="N25" s="300">
        <v>1.6004986757617301</v>
      </c>
      <c r="O25" s="300">
        <v>2.16855385825095</v>
      </c>
      <c r="P25" s="300">
        <v>2.7977474632885402</v>
      </c>
      <c r="Q25" s="300">
        <v>3.5743040182210501</v>
      </c>
      <c r="R25" s="300">
        <v>4.7026258361351099</v>
      </c>
      <c r="S25" s="300">
        <v>6.1268047805733099</v>
      </c>
      <c r="T25" s="300">
        <v>7.7510707692751497</v>
      </c>
      <c r="U25" s="300">
        <v>10.298309919728601</v>
      </c>
      <c r="V25" s="300">
        <v>13.0284759920612</v>
      </c>
      <c r="W25" s="300">
        <v>16.6447239076338</v>
      </c>
      <c r="X25" s="300">
        <v>21.8990629460591</v>
      </c>
      <c r="Y25" s="300">
        <v>27.704683396135898</v>
      </c>
      <c r="Z25" s="19">
        <v>35.049421245590501</v>
      </c>
      <c r="AA25" s="19">
        <v>45.664054323381599</v>
      </c>
      <c r="AB25" s="19">
        <v>59.493303545235797</v>
      </c>
      <c r="AC25" s="19">
        <v>77.510707692751595</v>
      </c>
      <c r="AD25" s="19">
        <v>99.024961186350595</v>
      </c>
      <c r="AE25" s="19">
        <v>129.01443294311599</v>
      </c>
      <c r="AF25" s="19">
        <v>163.217212856327</v>
      </c>
      <c r="AG25" s="19">
        <v>212.64715391898099</v>
      </c>
      <c r="AH25" s="19">
        <v>277.04683396135903</v>
      </c>
      <c r="AI25" s="19">
        <v>364.50385657304997</v>
      </c>
      <c r="AJ25" s="19">
        <v>465.67734089720898</v>
      </c>
      <c r="AK25" s="185">
        <v>594.93303545235801</v>
      </c>
    </row>
    <row r="26" spans="1:50" ht="15.75" customHeight="1">
      <c r="A26" s="182">
        <v>6</v>
      </c>
      <c r="B26" s="179">
        <v>4</v>
      </c>
      <c r="C26" s="301">
        <v>0.102983099197286</v>
      </c>
      <c r="D26" s="301">
        <v>0.12901443294311599</v>
      </c>
      <c r="E26" s="301">
        <v>0.16644723907633799</v>
      </c>
      <c r="F26" s="301">
        <v>0.218990629460591</v>
      </c>
      <c r="G26" s="301">
        <v>0.27977474632885402</v>
      </c>
      <c r="H26" s="301">
        <v>0.36094980249421399</v>
      </c>
      <c r="I26" s="301">
        <v>0.45218812069842801</v>
      </c>
      <c r="J26" s="301">
        <v>0.60670660559262002</v>
      </c>
      <c r="K26" s="301">
        <v>0.77510707692751502</v>
      </c>
      <c r="L26" s="301">
        <v>0.99024961186350602</v>
      </c>
      <c r="M26" s="301">
        <v>1.2775649214671101</v>
      </c>
      <c r="N26" s="301">
        <v>1.6004986757617301</v>
      </c>
      <c r="O26" s="301">
        <v>2.16855385825095</v>
      </c>
      <c r="P26" s="301">
        <v>2.7977474632885402</v>
      </c>
      <c r="Q26" s="301">
        <v>3.5743040182210501</v>
      </c>
      <c r="R26" s="301">
        <v>4.7026258361351099</v>
      </c>
      <c r="S26" s="301">
        <v>6.1268047805733099</v>
      </c>
      <c r="T26" s="301">
        <v>7.7510707692751497</v>
      </c>
      <c r="U26" s="301">
        <v>10.298309919728601</v>
      </c>
      <c r="V26" s="301">
        <v>13.0284759920612</v>
      </c>
      <c r="W26" s="301">
        <v>16.6447239076338</v>
      </c>
      <c r="X26" s="301">
        <v>21.8990629460591</v>
      </c>
      <c r="Y26" s="301">
        <v>27.704683396135898</v>
      </c>
      <c r="Z26" s="21">
        <v>35.049421245590501</v>
      </c>
      <c r="AA26" s="21">
        <v>45.664054323381599</v>
      </c>
      <c r="AB26" s="21">
        <v>59.493303545235797</v>
      </c>
      <c r="AC26" s="21">
        <v>77.510707692751595</v>
      </c>
      <c r="AD26" s="21">
        <v>99.024961186350595</v>
      </c>
      <c r="AE26" s="21">
        <v>129.01443294311599</v>
      </c>
      <c r="AF26" s="21">
        <v>163.217212856327</v>
      </c>
      <c r="AG26" s="21">
        <v>212.64715391898099</v>
      </c>
      <c r="AH26" s="21">
        <v>277.04683396135903</v>
      </c>
      <c r="AI26" s="21">
        <v>364.50385657304997</v>
      </c>
      <c r="AJ26" s="21">
        <v>465.67734089720898</v>
      </c>
      <c r="AK26" s="186">
        <v>594.93303545235801</v>
      </c>
    </row>
    <row r="27" spans="1:50" ht="15.75" customHeight="1">
      <c r="A27" s="181">
        <v>7</v>
      </c>
      <c r="B27" s="178">
        <v>1</v>
      </c>
      <c r="C27" s="307">
        <v>7.1068089589057595E-2</v>
      </c>
      <c r="D27" s="307">
        <v>0.1</v>
      </c>
      <c r="E27" s="307">
        <v>0.147049690520796</v>
      </c>
      <c r="F27" s="307">
        <v>0.21152361090237501</v>
      </c>
      <c r="G27" s="307">
        <v>0.31449059016463299</v>
      </c>
      <c r="H27" s="307">
        <v>0.45739043814781299</v>
      </c>
      <c r="I27" s="307">
        <v>0.68004223365473404</v>
      </c>
      <c r="J27" s="307">
        <v>0.98904331302099402</v>
      </c>
      <c r="K27" s="307">
        <v>1.4704969052079599</v>
      </c>
      <c r="L27" s="307">
        <v>2.1386688339895299</v>
      </c>
      <c r="M27" s="307">
        <v>3.1797453764085799</v>
      </c>
      <c r="N27" s="307">
        <v>4.6245743955411998</v>
      </c>
      <c r="O27" s="307">
        <v>6.8757578631978298</v>
      </c>
      <c r="P27" s="307">
        <v>10</v>
      </c>
      <c r="Q27" s="307">
        <v>14.543851309140001</v>
      </c>
      <c r="R27" s="307">
        <v>21.152361090237498</v>
      </c>
      <c r="S27" s="307">
        <v>31.449059016463298</v>
      </c>
      <c r="T27" s="307">
        <v>46.758057353581599</v>
      </c>
      <c r="U27" s="307">
        <v>65.793322465756702</v>
      </c>
      <c r="V27" s="307">
        <v>101.107806587917</v>
      </c>
      <c r="W27" s="307">
        <v>140.71012824213699</v>
      </c>
      <c r="X27" s="307">
        <v>213.86688339895301</v>
      </c>
      <c r="Y27" s="308"/>
    </row>
    <row r="28" spans="1:50" ht="15.75" customHeight="1">
      <c r="A28" s="182">
        <v>7</v>
      </c>
      <c r="B28" s="179">
        <v>2</v>
      </c>
      <c r="C28" s="301">
        <v>0.14543851309139999</v>
      </c>
      <c r="D28" s="301">
        <v>0.32505864635467102</v>
      </c>
      <c r="E28" s="301">
        <v>0.69519279617756002</v>
      </c>
      <c r="F28" s="301">
        <v>1.50325789298109</v>
      </c>
      <c r="G28" s="301">
        <v>3.2149708051674399</v>
      </c>
      <c r="H28" s="301">
        <v>6.9519279617756</v>
      </c>
      <c r="I28" s="301">
        <v>14.543851309140001</v>
      </c>
      <c r="J28" s="301">
        <v>32.149708051674402</v>
      </c>
      <c r="K28" s="301">
        <v>67.259122376807596</v>
      </c>
      <c r="L28" s="301">
        <v>148.678716679898</v>
      </c>
      <c r="M28" s="301">
        <v>314.49059016463298</v>
      </c>
      <c r="N28" s="30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301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</row>
    <row r="29" spans="1:50" ht="15.75" customHeight="1">
      <c r="A29" s="181">
        <v>8</v>
      </c>
      <c r="B29" s="178">
        <v>1</v>
      </c>
      <c r="C29" s="310"/>
      <c r="D29" s="216"/>
      <c r="E29" s="216"/>
      <c r="F29" s="216"/>
      <c r="G29" s="216"/>
      <c r="H29" s="216"/>
      <c r="I29" s="216"/>
      <c r="J29" s="216"/>
      <c r="K29" s="311"/>
      <c r="L29" s="311"/>
      <c r="M29" s="216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</row>
    <row r="30" spans="1:50" ht="15.75" customHeight="1">
      <c r="A30" s="182">
        <v>8</v>
      </c>
      <c r="B30" s="179">
        <v>2</v>
      </c>
      <c r="C30" s="312"/>
      <c r="D30" s="283"/>
      <c r="E30" s="283"/>
      <c r="F30" s="283"/>
      <c r="G30" s="283"/>
      <c r="H30" s="283"/>
      <c r="I30" s="283"/>
      <c r="J30" s="283"/>
      <c r="K30" s="313"/>
      <c r="L30" s="31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</row>
    <row r="31" spans="1:50" ht="15.75" customHeight="1">
      <c r="A31" s="182">
        <v>8</v>
      </c>
      <c r="B31" s="179">
        <v>3</v>
      </c>
      <c r="C31" s="314"/>
      <c r="D31" s="239"/>
      <c r="E31" s="239"/>
      <c r="F31" s="239"/>
      <c r="G31" s="239"/>
      <c r="H31" s="239"/>
      <c r="I31" s="239"/>
      <c r="J31" s="239"/>
      <c r="K31" s="315"/>
      <c r="L31" s="315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</row>
    <row r="32" spans="1:50" ht="15.75" customHeight="1">
      <c r="A32" s="182">
        <v>8</v>
      </c>
      <c r="B32" s="179">
        <v>4</v>
      </c>
      <c r="C32" s="312"/>
      <c r="D32" s="283"/>
      <c r="E32" s="283"/>
      <c r="F32" s="283"/>
      <c r="G32" s="283"/>
      <c r="H32" s="283"/>
      <c r="I32" s="283"/>
      <c r="J32" s="283"/>
      <c r="K32" s="313"/>
      <c r="L32" s="31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</row>
    <row r="33" spans="1:47" ht="15.75" customHeight="1">
      <c r="A33" s="181">
        <v>9</v>
      </c>
      <c r="B33" s="178">
        <v>1</v>
      </c>
      <c r="C33" s="314"/>
      <c r="D33" s="239"/>
      <c r="E33" s="239"/>
      <c r="F33" s="239"/>
      <c r="G33" s="239"/>
      <c r="H33" s="239"/>
      <c r="I33" s="239"/>
      <c r="J33" s="239"/>
      <c r="K33" s="315"/>
      <c r="L33" s="315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</row>
    <row r="34" spans="1:47" ht="15.75" customHeight="1">
      <c r="A34" s="182">
        <v>9</v>
      </c>
      <c r="B34" s="179">
        <v>2</v>
      </c>
      <c r="C34" s="312"/>
      <c r="D34" s="283"/>
      <c r="E34" s="283"/>
      <c r="F34" s="283"/>
      <c r="G34" s="283"/>
      <c r="H34" s="283"/>
      <c r="I34" s="283"/>
      <c r="J34" s="283"/>
      <c r="K34" s="313"/>
      <c r="L34" s="31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</row>
    <row r="35" spans="1:47" ht="15.75" customHeight="1">
      <c r="A35" s="182">
        <v>9</v>
      </c>
      <c r="B35" s="179">
        <v>3</v>
      </c>
      <c r="C35" s="314"/>
      <c r="D35" s="239"/>
      <c r="E35" s="239"/>
      <c r="F35" s="239"/>
      <c r="G35" s="239"/>
      <c r="H35" s="239"/>
      <c r="I35" s="239"/>
      <c r="J35" s="239"/>
      <c r="K35" s="315"/>
      <c r="L35" s="315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</row>
    <row r="36" spans="1:47" ht="15.75" customHeight="1">
      <c r="A36" s="182">
        <v>9</v>
      </c>
      <c r="B36" s="179">
        <v>4</v>
      </c>
      <c r="C36" s="312"/>
      <c r="D36" s="283"/>
      <c r="E36" s="283"/>
      <c r="F36" s="283"/>
      <c r="G36" s="283"/>
      <c r="H36" s="283"/>
      <c r="I36" s="283"/>
      <c r="J36" s="283"/>
      <c r="K36" s="313"/>
      <c r="L36" s="31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</row>
    <row r="37" spans="1:47" ht="15.75" customHeight="1">
      <c r="A37" s="177">
        <v>11</v>
      </c>
      <c r="B37" s="178" t="s">
        <v>220</v>
      </c>
      <c r="C37" s="316">
        <f>6.283185*Angular_frequency!C37</f>
        <v>6.2831849999999996</v>
      </c>
      <c r="D37" s="316">
        <f>6.283185*Angular_frequency!D37</f>
        <v>62.831849999999996</v>
      </c>
      <c r="E37" s="316">
        <f>6.283185*Angular_frequency!E37</f>
        <v>125.66369999999999</v>
      </c>
      <c r="F37" s="316">
        <f>6.283185*Angular_frequency!F37</f>
        <v>188.49554999999998</v>
      </c>
      <c r="G37" s="316">
        <f>6.283185*Angular_frequency!G37</f>
        <v>251.32739999999998</v>
      </c>
      <c r="H37" s="316">
        <f>6.283185*Angular_frequency!H37</f>
        <v>314.15924999999999</v>
      </c>
      <c r="I37" s="316">
        <f>6.283185*Angular_frequency!I37</f>
        <v>376.99109999999996</v>
      </c>
      <c r="J37" s="316">
        <f>6.283185*Angular_frequency!J37</f>
        <v>439.82294999999999</v>
      </c>
      <c r="K37" s="316">
        <f>6.283185*Angular_frequency!K37</f>
        <v>502.65479999999997</v>
      </c>
      <c r="L37" s="316">
        <f>6.283185*Angular_frequency!L37</f>
        <v>565.48664999999994</v>
      </c>
      <c r="M37" s="317">
        <f>6.283185*Angular_frequency!M37</f>
        <v>628.31849999999997</v>
      </c>
      <c r="N37" s="399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12"/>
      <c r="AU37" s="2"/>
    </row>
    <row r="38" spans="1:47" ht="15.75" customHeight="1">
      <c r="A38" s="174">
        <v>11</v>
      </c>
      <c r="B38" s="179" t="s">
        <v>221</v>
      </c>
      <c r="C38" s="23">
        <f>6.283185*Angular_frequency!C38</f>
        <v>6.2831849999999996</v>
      </c>
      <c r="D38" s="23">
        <f>6.283185*Angular_frequency!D38</f>
        <v>62.831849999999996</v>
      </c>
      <c r="E38" s="23">
        <f>6.283185*Angular_frequency!E38</f>
        <v>125.66369999999999</v>
      </c>
      <c r="F38" s="23">
        <f>6.283185*Angular_frequency!F38</f>
        <v>188.49554999999998</v>
      </c>
      <c r="G38" s="23">
        <f>6.283185*Angular_frequency!G38</f>
        <v>251.32739999999998</v>
      </c>
      <c r="H38" s="23">
        <f>6.283185*Angular_frequency!H38</f>
        <v>314.15924999999999</v>
      </c>
      <c r="I38" s="23">
        <f>6.283185*Angular_frequency!I38</f>
        <v>376.99109999999996</v>
      </c>
      <c r="J38" s="23">
        <f>6.283185*Angular_frequency!J38</f>
        <v>439.82294999999999</v>
      </c>
      <c r="K38" s="23">
        <f>6.283185*Angular_frequency!K38</f>
        <v>502.65479999999997</v>
      </c>
      <c r="L38" s="398">
        <f>6.283185*Angular_frequency!L38</f>
        <v>565.48664999999994</v>
      </c>
      <c r="M38" s="318">
        <f>6.283185*Angular_frequency!M38</f>
        <v>628.31849999999997</v>
      </c>
      <c r="N38" s="399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12"/>
      <c r="AU38" s="2"/>
    </row>
    <row r="39" spans="1:47" ht="15.75" customHeight="1">
      <c r="A39" s="174">
        <v>11</v>
      </c>
      <c r="B39" s="179" t="s">
        <v>222</v>
      </c>
      <c r="C39" s="23">
        <f>6.283185*Angular_frequency!C39</f>
        <v>6.2831849999999996</v>
      </c>
      <c r="D39" s="23">
        <f>6.283185*Angular_frequency!D39</f>
        <v>62.831849999999996</v>
      </c>
      <c r="E39" s="23">
        <f>6.283185*Angular_frequency!E39</f>
        <v>125.66369999999999</v>
      </c>
      <c r="F39" s="23">
        <f>6.283185*Angular_frequency!F39</f>
        <v>188.49554999999998</v>
      </c>
      <c r="G39" s="23">
        <f>6.283185*Angular_frequency!G39</f>
        <v>251.32739999999998</v>
      </c>
      <c r="H39" s="23">
        <f>6.283185*Angular_frequency!H39</f>
        <v>314.15924999999999</v>
      </c>
      <c r="I39" s="23">
        <f>6.283185*Angular_frequency!I39</f>
        <v>376.99109999999996</v>
      </c>
      <c r="J39" s="23">
        <f>6.283185*Angular_frequency!J39</f>
        <v>439.82294999999999</v>
      </c>
      <c r="K39" s="23">
        <f>6.283185*Angular_frequency!K39</f>
        <v>502.65479999999997</v>
      </c>
      <c r="L39" s="398">
        <f>6.283185*Angular_frequency!L39</f>
        <v>565.48664999999994</v>
      </c>
      <c r="M39" s="318">
        <f>6.283185*Angular_frequency!M39</f>
        <v>628.31849999999997</v>
      </c>
      <c r="N39" s="399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12"/>
      <c r="AU39" s="2"/>
    </row>
    <row r="40" spans="1:47" ht="15.75" customHeight="1">
      <c r="A40" s="319">
        <v>11</v>
      </c>
      <c r="B40" s="180" t="s">
        <v>223</v>
      </c>
      <c r="C40" s="25">
        <f>6.283185*Angular_frequency!C40</f>
        <v>6.2831849999999996</v>
      </c>
      <c r="D40" s="25">
        <f>6.283185*Angular_frequency!D40</f>
        <v>62.831849999999996</v>
      </c>
      <c r="E40" s="25">
        <f>6.283185*Angular_frequency!E40</f>
        <v>125.66369999999999</v>
      </c>
      <c r="F40" s="25">
        <f>6.283185*Angular_frequency!F40</f>
        <v>188.49554999999998</v>
      </c>
      <c r="G40" s="25">
        <f>6.283185*Angular_frequency!G40</f>
        <v>251.32739999999998</v>
      </c>
      <c r="H40" s="25">
        <f>6.283185*Angular_frequency!H40</f>
        <v>314.15924999999999</v>
      </c>
      <c r="I40" s="25">
        <f>6.283185*Angular_frequency!I40</f>
        <v>376.99109999999996</v>
      </c>
      <c r="J40" s="25">
        <f>6.283185*Angular_frequency!J40</f>
        <v>439.82294999999999</v>
      </c>
      <c r="K40" s="25">
        <f>6.283185*Angular_frequency!K40</f>
        <v>502.65479999999997</v>
      </c>
      <c r="L40" s="25">
        <f>6.283185*Angular_frequency!L40</f>
        <v>565.48664999999994</v>
      </c>
      <c r="M40" s="320">
        <f>6.283185*Angular_frequency!M40</f>
        <v>628.31849999999997</v>
      </c>
      <c r="N40" s="399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12"/>
      <c r="AU40" s="2"/>
    </row>
    <row r="41" spans="1:47" ht="15.75" customHeight="1">
      <c r="A41" s="182">
        <v>11</v>
      </c>
      <c r="B41" s="179" t="s">
        <v>224</v>
      </c>
      <c r="C41" s="314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</row>
    <row r="42" spans="1:47" ht="15.75" customHeight="1">
      <c r="A42" s="182">
        <v>11</v>
      </c>
      <c r="B42" s="179" t="s">
        <v>225</v>
      </c>
      <c r="C42" s="312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  <c r="X42" s="283"/>
      <c r="Y42" s="283"/>
    </row>
    <row r="43" spans="1:47" ht="15.75" customHeight="1">
      <c r="A43" s="182">
        <v>11</v>
      </c>
      <c r="B43" s="179" t="s">
        <v>226</v>
      </c>
      <c r="C43" s="314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</row>
    <row r="44" spans="1:47" ht="15.75" customHeight="1">
      <c r="A44" s="182">
        <v>11</v>
      </c>
      <c r="B44" s="179" t="s">
        <v>227</v>
      </c>
      <c r="C44" s="312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"/>
      <c r="AA44" s="2"/>
    </row>
    <row r="45" spans="1:47" ht="15.75" customHeight="1">
      <c r="A45" s="177">
        <v>12</v>
      </c>
      <c r="B45" s="178" t="s">
        <v>220</v>
      </c>
      <c r="C45" s="321">
        <f>Angular_frequency!C45*6.283185</f>
        <v>6.3893853377617438E-2</v>
      </c>
      <c r="D45" s="307">
        <f>Angular_frequency!D45*6.283185</f>
        <v>9.2385693031742711E-2</v>
      </c>
      <c r="E45" s="307">
        <f>Angular_frequency!E45*6.283185</f>
        <v>0.13026604657928553</v>
      </c>
      <c r="F45" s="307">
        <f>Angular_frequency!F45*6.283185</f>
        <v>0.19806824430317382</v>
      </c>
      <c r="G45" s="307">
        <f>Angular_frequency!G45*6.283185</f>
        <v>0.29123261081092988</v>
      </c>
      <c r="H45" s="307">
        <f>Angular_frequency!H45*6.283185</f>
        <v>0.42821795925492778</v>
      </c>
      <c r="I45" s="307">
        <f>Angular_frequency!I45*6.283185</f>
        <v>0.62438165493146869</v>
      </c>
      <c r="J45" s="307">
        <f>Angular_frequency!J45*6.283185</f>
        <v>0.91806833488350914</v>
      </c>
      <c r="K45" s="307">
        <f>Angular_frequency!K45*6.283185</f>
        <v>1.3274575704088409</v>
      </c>
      <c r="L45" s="307">
        <f>Angular_frequency!L45*6.283185</f>
        <v>1.9682721130666399</v>
      </c>
      <c r="M45" s="307">
        <f>Angular_frequency!M45*6.283185</f>
        <v>2.9184323457379135</v>
      </c>
      <c r="N45" s="307">
        <f>Angular_frequency!N45*6.283185</f>
        <v>4.291160728538336</v>
      </c>
      <c r="O45" s="307">
        <f>Angular_frequency!O45*6.283185</f>
        <v>6.256911881798576</v>
      </c>
      <c r="P45" s="307">
        <f>Angular_frequency!P45*6.283185</f>
        <v>9.0470168925574832</v>
      </c>
      <c r="Q45" s="307">
        <f>Angular_frequency!Q45*6.283185</f>
        <v>13.527258413118803</v>
      </c>
      <c r="R45" s="307">
        <f>Angular_frequency!R45*6.283185</f>
        <v>19.724002256618487</v>
      </c>
      <c r="S45" s="307">
        <f>Angular_frequency!S45*6.283185</f>
        <v>29.739887636714165</v>
      </c>
      <c r="T45" s="307">
        <f>Angular_frequency!T45*6.283185</f>
        <v>42.642709455821894</v>
      </c>
      <c r="U45" s="307">
        <f>Angular_frequency!U45*6.283185</f>
        <v>63.22805719011361</v>
      </c>
      <c r="V45" s="307">
        <f>Angular_frequency!V45*6.283185</f>
        <v>90.659914561532631</v>
      </c>
      <c r="W45" s="307">
        <f>Angular_frequency!W45*6.283185</f>
        <v>134.4250948379831</v>
      </c>
      <c r="X45" s="307">
        <f>Angular_frequency!X45*6.283185</f>
        <v>196.00430426901465</v>
      </c>
      <c r="Y45" s="307">
        <f>Angular_frequency!Y45*6.283185</f>
        <v>293.06870041749937</v>
      </c>
      <c r="Z45" s="307">
        <f>Angular_frequency!Z45*6.283185</f>
        <v>430.91795491917145</v>
      </c>
      <c r="AA45" s="112">
        <f>Angular_frequency!AA45*6.283185</f>
        <v>623.07446406603958</v>
      </c>
      <c r="AB45" s="2"/>
    </row>
    <row r="46" spans="1:47" ht="15.75" customHeight="1">
      <c r="A46" s="174">
        <v>12</v>
      </c>
      <c r="B46" s="179" t="s">
        <v>221</v>
      </c>
      <c r="C46" s="322">
        <f>Angular_frequency!C46*6.283185</f>
        <v>6.3893853377617438E-2</v>
      </c>
      <c r="D46" s="323">
        <f>Angular_frequency!D46*6.283185</f>
        <v>9.2385693031742711E-2</v>
      </c>
      <c r="E46" s="323">
        <f>Angular_frequency!E46*6.283185</f>
        <v>0.13026604657928553</v>
      </c>
      <c r="F46" s="323">
        <f>Angular_frequency!F46*6.283185</f>
        <v>0.19806824430317382</v>
      </c>
      <c r="G46" s="323">
        <f>Angular_frequency!G46*6.283185</f>
        <v>0.29123261081092988</v>
      </c>
      <c r="H46" s="323">
        <f>Angular_frequency!H46*6.283185</f>
        <v>0.42821795925492778</v>
      </c>
      <c r="I46" s="323">
        <f>Angular_frequency!I46*6.283185</f>
        <v>0.62438165493146869</v>
      </c>
      <c r="J46" s="323">
        <f>Angular_frequency!J46*6.283185</f>
        <v>0.91806833488350914</v>
      </c>
      <c r="K46" s="323">
        <f>Angular_frequency!K46*6.283185</f>
        <v>1.3274575704088409</v>
      </c>
      <c r="L46" s="323">
        <f>Angular_frequency!L46*6.283185</f>
        <v>1.9682721130666399</v>
      </c>
      <c r="M46" s="323">
        <f>Angular_frequency!M46*6.283185</f>
        <v>2.9184323457379135</v>
      </c>
      <c r="N46" s="323">
        <f>Angular_frequency!N46*6.283185</f>
        <v>4.291160728538336</v>
      </c>
      <c r="O46" s="323">
        <f>Angular_frequency!O46*6.283185</f>
        <v>6.256911881798576</v>
      </c>
      <c r="P46" s="323">
        <f>Angular_frequency!P46*6.283185</f>
        <v>9.0470168925574832</v>
      </c>
      <c r="Q46" s="323">
        <f>Angular_frequency!Q46*6.283185</f>
        <v>13.527258413118803</v>
      </c>
      <c r="R46" s="323">
        <f>Angular_frequency!R46*6.283185</f>
        <v>19.724002256618487</v>
      </c>
      <c r="S46" s="323">
        <f>Angular_frequency!S46*6.283185</f>
        <v>29.739887636714165</v>
      </c>
      <c r="T46" s="323">
        <f>Angular_frequency!T46*6.283185</f>
        <v>42.642709455821894</v>
      </c>
      <c r="U46" s="323">
        <f>Angular_frequency!U46*6.283185</f>
        <v>63.22805719011361</v>
      </c>
      <c r="V46" s="323">
        <f>Angular_frequency!V46*6.283185</f>
        <v>90.659914561532631</v>
      </c>
      <c r="W46" s="323">
        <f>Angular_frequency!W46*6.283185</f>
        <v>134.4250948379831</v>
      </c>
      <c r="X46" s="323">
        <f>Angular_frequency!X46*6.283185</f>
        <v>196.00430426901465</v>
      </c>
      <c r="Y46" s="323">
        <f>Angular_frequency!Y46*6.283185</f>
        <v>293.06870041749937</v>
      </c>
      <c r="Z46" s="323">
        <f>Angular_frequency!Z46*6.283185</f>
        <v>430.91795491917145</v>
      </c>
      <c r="AA46" s="113">
        <f>Angular_frequency!AA46*6.283185</f>
        <v>623.07446406603958</v>
      </c>
      <c r="AB46" s="2"/>
    </row>
    <row r="47" spans="1:47" ht="15.75" customHeight="1">
      <c r="A47" s="174">
        <v>12</v>
      </c>
      <c r="B47" s="179" t="s">
        <v>222</v>
      </c>
      <c r="C47" s="322">
        <f>Angular_frequency!C47*6.283185</f>
        <v>6.3893853377617438E-2</v>
      </c>
      <c r="D47" s="323">
        <f>Angular_frequency!D47*6.283185</f>
        <v>9.2385693031742711E-2</v>
      </c>
      <c r="E47" s="323">
        <f>Angular_frequency!E47*6.283185</f>
        <v>0.13026604657928553</v>
      </c>
      <c r="F47" s="323">
        <f>Angular_frequency!F47*6.283185</f>
        <v>0.19806824430317382</v>
      </c>
      <c r="G47" s="323">
        <f>Angular_frequency!G47*6.283185</f>
        <v>0.29123261081092988</v>
      </c>
      <c r="H47" s="323">
        <f>Angular_frequency!H47*6.283185</f>
        <v>0.42821795925492778</v>
      </c>
      <c r="I47" s="323">
        <f>Angular_frequency!I47*6.283185</f>
        <v>0.62438165493146869</v>
      </c>
      <c r="J47" s="323">
        <f>Angular_frequency!J47*6.283185</f>
        <v>0.91806833488350914</v>
      </c>
      <c r="K47" s="323">
        <f>Angular_frequency!K47*6.283185</f>
        <v>1.3274575704088409</v>
      </c>
      <c r="L47" s="323">
        <f>Angular_frequency!L47*6.283185</f>
        <v>1.9682721130666399</v>
      </c>
      <c r="M47" s="323">
        <f>Angular_frequency!M47*6.283185</f>
        <v>2.9184323457379135</v>
      </c>
      <c r="N47" s="323">
        <f>Angular_frequency!N47*6.283185</f>
        <v>4.291160728538336</v>
      </c>
      <c r="O47" s="323">
        <f>Angular_frequency!O47*6.283185</f>
        <v>6.256911881798576</v>
      </c>
      <c r="P47" s="323">
        <f>Angular_frequency!P47*6.283185</f>
        <v>9.0470168925574832</v>
      </c>
      <c r="Q47" s="323">
        <f>Angular_frequency!Q47*6.283185</f>
        <v>13.527258413118803</v>
      </c>
      <c r="R47" s="323">
        <f>Angular_frequency!R47*6.283185</f>
        <v>19.724002256618487</v>
      </c>
      <c r="S47" s="323">
        <f>Angular_frequency!S47*6.283185</f>
        <v>29.739887636714165</v>
      </c>
      <c r="T47" s="323">
        <f>Angular_frequency!T47*6.283185</f>
        <v>42.642709455821894</v>
      </c>
      <c r="U47" s="323">
        <f>Angular_frequency!U47*6.283185</f>
        <v>63.22805719011361</v>
      </c>
      <c r="V47" s="323">
        <f>Angular_frequency!V47*6.283185</f>
        <v>90.659914561532631</v>
      </c>
      <c r="W47" s="323">
        <f>Angular_frequency!W47*6.283185</f>
        <v>134.4250948379831</v>
      </c>
      <c r="X47" s="323">
        <f>Angular_frequency!X47*6.283185</f>
        <v>196.00430426901465</v>
      </c>
      <c r="Y47" s="323">
        <f>Angular_frequency!Y47*6.283185</f>
        <v>293.06870041749937</v>
      </c>
      <c r="Z47" s="323">
        <f>Angular_frequency!Z47*6.283185</f>
        <v>430.91795491917145</v>
      </c>
      <c r="AA47" s="113">
        <f>Angular_frequency!AA47*6.283185</f>
        <v>623.07446406603958</v>
      </c>
      <c r="AB47" s="2"/>
    </row>
    <row r="48" spans="1:47" ht="15.75" customHeight="1">
      <c r="A48" s="174">
        <v>12</v>
      </c>
      <c r="B48" s="179" t="s">
        <v>223</v>
      </c>
      <c r="C48" s="322">
        <f>Angular_frequency!C48*6.283185</f>
        <v>6.3893853377617438E-2</v>
      </c>
      <c r="D48" s="323">
        <f>Angular_frequency!D48*6.283185</f>
        <v>9.2385693031742711E-2</v>
      </c>
      <c r="E48" s="323">
        <f>Angular_frequency!E48*6.283185</f>
        <v>0.13026604657928553</v>
      </c>
      <c r="F48" s="323">
        <f>Angular_frequency!F48*6.283185</f>
        <v>0.19806824430317382</v>
      </c>
      <c r="G48" s="323">
        <f>Angular_frequency!G48*6.283185</f>
        <v>0.29123261081092988</v>
      </c>
      <c r="H48" s="323">
        <f>Angular_frequency!H48*6.283185</f>
        <v>0.42821795925492778</v>
      </c>
      <c r="I48" s="323">
        <f>Angular_frequency!I48*6.283185</f>
        <v>0.62438165493146869</v>
      </c>
      <c r="J48" s="323">
        <f>Angular_frequency!J48*6.283185</f>
        <v>0.91806833488350914</v>
      </c>
      <c r="K48" s="323">
        <f>Angular_frequency!K48*6.283185</f>
        <v>1.3274575704088409</v>
      </c>
      <c r="L48" s="323">
        <f>Angular_frequency!L48*6.283185</f>
        <v>1.9682721130666399</v>
      </c>
      <c r="M48" s="323">
        <f>Angular_frequency!M48*6.283185</f>
        <v>2.9184323457379135</v>
      </c>
      <c r="N48" s="323">
        <f>Angular_frequency!N48*6.283185</f>
        <v>4.291160728538336</v>
      </c>
      <c r="O48" s="323">
        <f>Angular_frequency!O48*6.283185</f>
        <v>6.256911881798576</v>
      </c>
      <c r="P48" s="323">
        <f>Angular_frequency!P48*6.283185</f>
        <v>9.0470168925574832</v>
      </c>
      <c r="Q48" s="323">
        <f>Angular_frequency!Q48*6.283185</f>
        <v>13.527258413118803</v>
      </c>
      <c r="R48" s="323">
        <f>Angular_frequency!R48*6.283185</f>
        <v>19.724002256618487</v>
      </c>
      <c r="S48" s="323">
        <f>Angular_frequency!S48*6.283185</f>
        <v>29.739887636714165</v>
      </c>
      <c r="T48" s="323">
        <f>Angular_frequency!T48*6.283185</f>
        <v>42.642709455821894</v>
      </c>
      <c r="U48" s="323">
        <f>Angular_frequency!U48*6.283185</f>
        <v>63.22805719011361</v>
      </c>
      <c r="V48" s="323">
        <f>Angular_frequency!V48*6.283185</f>
        <v>90.659914561532631</v>
      </c>
      <c r="W48" s="323">
        <f>Angular_frequency!W48*6.283185</f>
        <v>134.4250948379831</v>
      </c>
      <c r="X48" s="323">
        <f>Angular_frequency!X48*6.283185</f>
        <v>196.00430426901465</v>
      </c>
      <c r="Y48" s="323">
        <f>Angular_frequency!Y48*6.283185</f>
        <v>293.06870041749937</v>
      </c>
      <c r="Z48" s="323">
        <f>Angular_frequency!Z48*6.283185</f>
        <v>430.91795491917145</v>
      </c>
      <c r="AA48" s="113">
        <f>Angular_frequency!AA48*6.283185</f>
        <v>623.07446406603958</v>
      </c>
      <c r="AB48" s="2"/>
    </row>
    <row r="49" spans="1:45" ht="15.75" customHeight="1">
      <c r="A49" s="174">
        <v>12</v>
      </c>
      <c r="B49" s="179" t="s">
        <v>228</v>
      </c>
      <c r="C49" s="324">
        <f>Angular_frequency!C49*6.283185</f>
        <v>6.3893853377617438E-2</v>
      </c>
      <c r="D49" s="325">
        <f>Angular_frequency!D49*6.283185</f>
        <v>9.2385693031742711E-2</v>
      </c>
      <c r="E49" s="325">
        <f>Angular_frequency!E49*6.283185</f>
        <v>0.13026604657928553</v>
      </c>
      <c r="F49" s="325">
        <f>Angular_frequency!F49*6.283185</f>
        <v>0.19806824430317382</v>
      </c>
      <c r="G49" s="325">
        <f>Angular_frequency!G49*6.283185</f>
        <v>0.29123261081092988</v>
      </c>
      <c r="H49" s="325">
        <f>Angular_frequency!H49*6.283185</f>
        <v>0.42821795925492778</v>
      </c>
      <c r="I49" s="325">
        <f>Angular_frequency!I49*6.283185</f>
        <v>0.62438165493146869</v>
      </c>
      <c r="J49" s="325">
        <f>Angular_frequency!J49*6.283185</f>
        <v>0.91806833488350914</v>
      </c>
      <c r="K49" s="325">
        <f>Angular_frequency!K49*6.283185</f>
        <v>1.3274575704088409</v>
      </c>
      <c r="L49" s="325">
        <f>Angular_frequency!L49*6.283185</f>
        <v>1.9682721130666399</v>
      </c>
      <c r="M49" s="325">
        <f>Angular_frequency!M49*6.283185</f>
        <v>2.9184323457379135</v>
      </c>
      <c r="N49" s="325">
        <f>Angular_frequency!N49*6.283185</f>
        <v>4.291160728538336</v>
      </c>
      <c r="O49" s="325">
        <f>Angular_frequency!O49*6.283185</f>
        <v>6.256911881798576</v>
      </c>
      <c r="P49" s="325">
        <f>Angular_frequency!P49*6.283185</f>
        <v>9.0470168925574832</v>
      </c>
      <c r="Q49" s="325">
        <f>Angular_frequency!Q49*6.283185</f>
        <v>13.527258413118803</v>
      </c>
      <c r="R49" s="325">
        <f>Angular_frequency!R49*6.283185</f>
        <v>19.724002256618487</v>
      </c>
      <c r="S49" s="325">
        <f>Angular_frequency!S49*6.283185</f>
        <v>29.739887636714165</v>
      </c>
      <c r="T49" s="325">
        <f>Angular_frequency!T49*6.283185</f>
        <v>42.642709455821894</v>
      </c>
      <c r="U49" s="325">
        <f>Angular_frequency!U49*6.283185</f>
        <v>63.22805719011361</v>
      </c>
      <c r="V49" s="325">
        <f>Angular_frequency!V49*6.283185</f>
        <v>90.659914561532631</v>
      </c>
      <c r="W49" s="325">
        <f>Angular_frequency!W49*6.283185</f>
        <v>134.4250948379831</v>
      </c>
      <c r="X49" s="325">
        <f>Angular_frequency!X49*6.283185</f>
        <v>196.00430426901465</v>
      </c>
      <c r="Y49" s="325">
        <f>Angular_frequency!Y49*6.283185</f>
        <v>293.06870041749937</v>
      </c>
      <c r="Z49" s="325">
        <f>Angular_frequency!Z49*6.283185</f>
        <v>430.91795491917145</v>
      </c>
      <c r="AA49" s="114">
        <f>Angular_frequency!AA49*6.283185</f>
        <v>623.07446406603958</v>
      </c>
      <c r="AB49" s="2"/>
    </row>
    <row r="50" spans="1:45" ht="15.75" customHeight="1">
      <c r="A50" s="181">
        <v>12</v>
      </c>
      <c r="B50" s="178" t="s">
        <v>224</v>
      </c>
      <c r="C50" s="326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"/>
      <c r="AA50" s="2"/>
    </row>
    <row r="51" spans="1:45" ht="15.75" customHeight="1">
      <c r="A51" s="182">
        <v>12</v>
      </c>
      <c r="B51" s="179" t="s">
        <v>225</v>
      </c>
      <c r="C51" s="228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</row>
    <row r="52" spans="1:45" ht="15.75" customHeight="1">
      <c r="A52" s="182">
        <v>12</v>
      </c>
      <c r="B52" s="179" t="s">
        <v>226</v>
      </c>
      <c r="C52" s="326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</row>
    <row r="53" spans="1:45" ht="15.75" customHeight="1">
      <c r="A53" s="182">
        <v>12</v>
      </c>
      <c r="B53" s="179" t="s">
        <v>227</v>
      </c>
      <c r="C53" s="228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</row>
    <row r="54" spans="1:45" ht="15.75" customHeight="1">
      <c r="A54" s="182">
        <v>12</v>
      </c>
      <c r="B54" s="179" t="s">
        <v>229</v>
      </c>
      <c r="C54" s="326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3"/>
      <c r="P54" s="283"/>
      <c r="Q54" s="283"/>
      <c r="R54" s="283"/>
      <c r="S54" s="283"/>
      <c r="T54" s="283"/>
      <c r="U54" s="283"/>
      <c r="V54" s="283"/>
      <c r="W54" s="283"/>
      <c r="X54" s="283"/>
      <c r="Y54" s="283"/>
    </row>
    <row r="55" spans="1:45" ht="15.75" customHeight="1">
      <c r="A55" s="181">
        <v>13</v>
      </c>
      <c r="B55" s="178">
        <v>1</v>
      </c>
      <c r="C55" s="306">
        <v>0.51553025672583197</v>
      </c>
      <c r="D55" s="306">
        <v>0.574760139586875</v>
      </c>
      <c r="E55" s="306">
        <v>0.64736193128836494</v>
      </c>
      <c r="F55" s="306">
        <v>0.72913454016248402</v>
      </c>
      <c r="G55" s="306">
        <v>0.81567321766900003</v>
      </c>
      <c r="H55" s="306">
        <v>0.91248266109909704</v>
      </c>
      <c r="I55" s="306">
        <v>1.03475428361372</v>
      </c>
      <c r="J55" s="306">
        <v>1.16546100766585</v>
      </c>
      <c r="K55" s="306">
        <v>1.29495352405761</v>
      </c>
      <c r="L55" s="306">
        <v>1.46349313372846</v>
      </c>
      <c r="M55" s="306">
        <v>1.6539683569177099</v>
      </c>
      <c r="N55" s="306">
        <v>1.83150301570848</v>
      </c>
      <c r="O55" s="306">
        <v>2.0769223041159601</v>
      </c>
      <c r="P55" s="306">
        <v>2.31554207165465</v>
      </c>
      <c r="Q55" s="306">
        <v>2.6347613288793599</v>
      </c>
      <c r="R55" s="306">
        <v>2.9675756282842101</v>
      </c>
      <c r="S55" s="306">
        <v>3.3424299245093598</v>
      </c>
      <c r="T55" s="306">
        <v>3.7138019901048298</v>
      </c>
      <c r="U55" s="306">
        <v>4.1404845702896003</v>
      </c>
      <c r="V55" s="306">
        <v>4.6793731406980497</v>
      </c>
      <c r="W55" s="306">
        <v>5.3064037360798197</v>
      </c>
      <c r="X55" s="306">
        <v>5.8560479863541897</v>
      </c>
      <c r="Y55" s="306">
        <v>6.6633592899835996</v>
      </c>
      <c r="Z55" s="195">
        <v>7.4542123753105303</v>
      </c>
      <c r="AA55" s="195">
        <v>8.42438840828145</v>
      </c>
      <c r="AB55" s="195">
        <v>9.3286505214771491</v>
      </c>
      <c r="AC55" s="195">
        <v>10.542781799870401</v>
      </c>
      <c r="AD55" s="195">
        <v>11.754052985754701</v>
      </c>
      <c r="AE55" s="195">
        <v>13.419994977144899</v>
      </c>
      <c r="AF55" s="195">
        <v>15.3220486591533</v>
      </c>
      <c r="AG55" s="195">
        <v>16.8517611267464</v>
      </c>
      <c r="AH55" s="195">
        <v>18.9804196172372</v>
      </c>
      <c r="AI55" s="195">
        <v>21.377963177665698</v>
      </c>
      <c r="AJ55" s="195">
        <v>24.0783564769342</v>
      </c>
      <c r="AK55" s="195">
        <v>27.119854488103002</v>
      </c>
      <c r="AL55" s="195">
        <v>30.338624430131301</v>
      </c>
      <c r="AM55" s="195">
        <v>34.170898694956499</v>
      </c>
      <c r="AN55" s="195">
        <v>38.487253115579897</v>
      </c>
      <c r="AO55" s="195">
        <v>43.793083012851199</v>
      </c>
      <c r="AP55" s="195">
        <v>49.157516169684001</v>
      </c>
      <c r="AQ55" s="195">
        <v>55.366930329961797</v>
      </c>
      <c r="AR55" s="195">
        <v>63.645417461403902</v>
      </c>
      <c r="AS55" s="253">
        <v>68.820099754706305</v>
      </c>
    </row>
    <row r="56" spans="1:45" ht="15.75" customHeight="1">
      <c r="A56" s="182">
        <v>13</v>
      </c>
      <c r="B56" s="179">
        <v>2</v>
      </c>
      <c r="C56" s="301">
        <v>0.51553025672583197</v>
      </c>
      <c r="D56" s="301">
        <v>0.574760139586875</v>
      </c>
      <c r="E56" s="301">
        <v>0.64736193128836494</v>
      </c>
      <c r="F56" s="301">
        <v>0.72913454016248402</v>
      </c>
      <c r="G56" s="301">
        <v>0.81567321766900003</v>
      </c>
      <c r="H56" s="301">
        <v>0.91248266109909704</v>
      </c>
      <c r="I56" s="301">
        <v>1.03475428361372</v>
      </c>
      <c r="J56" s="301">
        <v>1.16546100766585</v>
      </c>
      <c r="K56" s="301">
        <v>1.29495352405761</v>
      </c>
      <c r="L56" s="301">
        <v>1.46349313372846</v>
      </c>
      <c r="M56" s="301">
        <v>1.6539683569177099</v>
      </c>
      <c r="N56" s="301">
        <v>1.83150301570848</v>
      </c>
      <c r="O56" s="301">
        <v>2.0769223041159601</v>
      </c>
      <c r="P56" s="301">
        <v>2.31554207165465</v>
      </c>
      <c r="Q56" s="301">
        <v>2.6347613288793599</v>
      </c>
      <c r="R56" s="301">
        <v>2.9675756282842101</v>
      </c>
      <c r="S56" s="301">
        <v>3.3424299245093598</v>
      </c>
      <c r="T56" s="301">
        <v>3.7138019901048298</v>
      </c>
      <c r="U56" s="301">
        <v>4.1404845702896003</v>
      </c>
      <c r="V56" s="301">
        <v>4.6793731406980497</v>
      </c>
      <c r="W56" s="301">
        <v>5.3064037360798197</v>
      </c>
      <c r="X56" s="301">
        <v>5.8560479863541897</v>
      </c>
      <c r="Y56" s="301">
        <v>6.6633592899835996</v>
      </c>
      <c r="Z56" s="19">
        <v>7.4542123753105303</v>
      </c>
      <c r="AA56" s="19">
        <v>8.42438840828145</v>
      </c>
      <c r="AB56" s="19">
        <v>9.3286505214771491</v>
      </c>
      <c r="AC56" s="19">
        <v>10.542781799870401</v>
      </c>
      <c r="AD56" s="19">
        <v>11.754052985754701</v>
      </c>
      <c r="AE56" s="19">
        <v>13.419994977144899</v>
      </c>
      <c r="AF56" s="19">
        <v>15.3220486591533</v>
      </c>
      <c r="AG56" s="19">
        <v>16.8517611267464</v>
      </c>
      <c r="AH56" s="19">
        <v>18.9804196172372</v>
      </c>
      <c r="AI56" s="19">
        <v>21.377963177665698</v>
      </c>
      <c r="AJ56" s="19">
        <v>24.0783564769342</v>
      </c>
      <c r="AK56" s="19">
        <v>27.119854488103002</v>
      </c>
      <c r="AL56" s="19">
        <v>30.338624430131301</v>
      </c>
      <c r="AM56" s="19">
        <v>34.170898694956499</v>
      </c>
      <c r="AN56" s="19">
        <v>38.487253115579897</v>
      </c>
      <c r="AO56" s="19">
        <v>43.793083012851199</v>
      </c>
      <c r="AP56" s="19">
        <v>49.157516169684001</v>
      </c>
      <c r="AQ56" s="19">
        <v>55.366930329961797</v>
      </c>
      <c r="AR56" s="19">
        <v>63.645417461403902</v>
      </c>
      <c r="AS56" s="185">
        <v>68.820099754706305</v>
      </c>
    </row>
    <row r="57" spans="1:45" ht="15.75" customHeight="1">
      <c r="A57" s="182">
        <v>13</v>
      </c>
      <c r="B57" s="179">
        <v>3</v>
      </c>
      <c r="C57" s="300">
        <v>0.51553025672583197</v>
      </c>
      <c r="D57" s="300">
        <v>0.574760139586875</v>
      </c>
      <c r="E57" s="300">
        <v>0.64736193128836494</v>
      </c>
      <c r="F57" s="300">
        <v>0.72913454016248402</v>
      </c>
      <c r="G57" s="300">
        <v>0.81567321766900003</v>
      </c>
      <c r="H57" s="300">
        <v>0.91248266109909704</v>
      </c>
      <c r="I57" s="300">
        <v>1.03475428361372</v>
      </c>
      <c r="J57" s="300">
        <v>1.16546100766585</v>
      </c>
      <c r="K57" s="300">
        <v>1.29495352405761</v>
      </c>
      <c r="L57" s="300">
        <v>1.46349313372846</v>
      </c>
      <c r="M57" s="300">
        <v>1.6539683569177099</v>
      </c>
      <c r="N57" s="300">
        <v>1.83150301570848</v>
      </c>
      <c r="O57" s="300">
        <v>2.0769223041159601</v>
      </c>
      <c r="P57" s="300">
        <v>2.31554207165465</v>
      </c>
      <c r="Q57" s="300">
        <v>2.6347613288793599</v>
      </c>
      <c r="R57" s="300">
        <v>2.9675756282842101</v>
      </c>
      <c r="S57" s="300">
        <v>3.3424299245093598</v>
      </c>
      <c r="T57" s="300">
        <v>3.7138019901048298</v>
      </c>
      <c r="U57" s="300">
        <v>4.1404845702896003</v>
      </c>
      <c r="V57" s="300">
        <v>4.6793731406980497</v>
      </c>
      <c r="W57" s="300">
        <v>5.3064037360798197</v>
      </c>
      <c r="X57" s="300">
        <v>5.8560479863541897</v>
      </c>
      <c r="Y57" s="300">
        <v>6.6633592899835996</v>
      </c>
      <c r="Z57" s="19">
        <v>7.4542123753105303</v>
      </c>
      <c r="AA57" s="19">
        <v>8.42438840828145</v>
      </c>
      <c r="AB57" s="19">
        <v>9.3286505214771491</v>
      </c>
      <c r="AC57" s="19">
        <v>10.542781799870401</v>
      </c>
      <c r="AD57" s="19">
        <v>11.754052985754701</v>
      </c>
      <c r="AE57" s="19">
        <v>13.419994977144899</v>
      </c>
      <c r="AF57" s="19">
        <v>15.3220486591533</v>
      </c>
      <c r="AG57" s="19">
        <v>16.8517611267464</v>
      </c>
      <c r="AH57" s="19">
        <v>18.9804196172372</v>
      </c>
      <c r="AI57" s="19">
        <v>21.377963177665698</v>
      </c>
      <c r="AJ57" s="19">
        <v>24.0783564769342</v>
      </c>
      <c r="AK57" s="19">
        <v>27.119854488103002</v>
      </c>
      <c r="AL57" s="19">
        <v>30.338624430131301</v>
      </c>
      <c r="AM57" s="19">
        <v>34.170898694956499</v>
      </c>
      <c r="AN57" s="19">
        <v>38.487253115579897</v>
      </c>
      <c r="AO57" s="19">
        <v>43.793083012851199</v>
      </c>
      <c r="AP57" s="19">
        <v>49.157516169684001</v>
      </c>
      <c r="AQ57" s="19">
        <v>55.366930329961797</v>
      </c>
      <c r="AR57" s="19">
        <v>63.645417461403902</v>
      </c>
      <c r="AS57" s="185">
        <v>68.820099754706305</v>
      </c>
    </row>
    <row r="58" spans="1:45" ht="15.75" customHeight="1">
      <c r="A58" s="182">
        <v>13</v>
      </c>
      <c r="B58" s="179">
        <v>4</v>
      </c>
      <c r="C58" s="301">
        <v>0.51553025672583197</v>
      </c>
      <c r="D58" s="301">
        <v>0.574760139586875</v>
      </c>
      <c r="E58" s="301">
        <v>0.64736193128836494</v>
      </c>
      <c r="F58" s="301">
        <v>0.72913454016248402</v>
      </c>
      <c r="G58" s="301">
        <v>0.81567321766900003</v>
      </c>
      <c r="H58" s="301">
        <v>0.91248266109909704</v>
      </c>
      <c r="I58" s="301">
        <v>1.03475428361372</v>
      </c>
      <c r="J58" s="301">
        <v>1.16546100766585</v>
      </c>
      <c r="K58" s="301">
        <v>1.29495352405761</v>
      </c>
      <c r="L58" s="301">
        <v>1.46349313372846</v>
      </c>
      <c r="M58" s="301">
        <v>1.6539683569177099</v>
      </c>
      <c r="N58" s="301">
        <v>1.83150301570848</v>
      </c>
      <c r="O58" s="301">
        <v>2.0769223041159601</v>
      </c>
      <c r="P58" s="301">
        <v>2.31554207165465</v>
      </c>
      <c r="Q58" s="301">
        <v>2.6347613288793599</v>
      </c>
      <c r="R58" s="301">
        <v>2.9675756282842101</v>
      </c>
      <c r="S58" s="301">
        <v>3.3424299245093598</v>
      </c>
      <c r="T58" s="301">
        <v>3.7138019901048298</v>
      </c>
      <c r="U58" s="301">
        <v>4.1404845702896003</v>
      </c>
      <c r="V58" s="301">
        <v>4.6793731406980497</v>
      </c>
      <c r="W58" s="301">
        <v>5.3064037360798197</v>
      </c>
      <c r="X58" s="301">
        <v>5.8560479863541897</v>
      </c>
      <c r="Y58" s="301">
        <v>6.6633592899835996</v>
      </c>
      <c r="Z58" s="19">
        <v>7.4542123753105303</v>
      </c>
      <c r="AA58" s="19">
        <v>8.42438840828145</v>
      </c>
      <c r="AB58" s="19">
        <v>9.3286505214771491</v>
      </c>
      <c r="AC58" s="19">
        <v>10.542781799870401</v>
      </c>
      <c r="AD58" s="19">
        <v>11.754052985754701</v>
      </c>
      <c r="AE58" s="19">
        <v>13.419994977144899</v>
      </c>
      <c r="AF58" s="19">
        <v>15.3220486591533</v>
      </c>
      <c r="AG58" s="19">
        <v>16.8517611267464</v>
      </c>
      <c r="AH58" s="19">
        <v>18.9804196172372</v>
      </c>
      <c r="AI58" s="19">
        <v>21.377963177665698</v>
      </c>
      <c r="AJ58" s="19">
        <v>24.0783564769342</v>
      </c>
      <c r="AK58" s="19">
        <v>27.119854488103002</v>
      </c>
      <c r="AL58" s="19">
        <v>30.338624430131301</v>
      </c>
      <c r="AM58" s="19">
        <v>34.170898694956499</v>
      </c>
      <c r="AN58" s="19">
        <v>38.487253115579897</v>
      </c>
      <c r="AO58" s="19">
        <v>43.793083012851199</v>
      </c>
      <c r="AP58" s="19">
        <v>49.157516169684001</v>
      </c>
      <c r="AQ58" s="19">
        <v>55.366930329961797</v>
      </c>
      <c r="AR58" s="19">
        <v>63.645417461403902</v>
      </c>
      <c r="AS58" s="185">
        <v>68.820099754706305</v>
      </c>
    </row>
    <row r="59" spans="1:45" ht="15.75" customHeight="1">
      <c r="A59" s="182">
        <v>13</v>
      </c>
      <c r="B59" s="179">
        <v>5</v>
      </c>
      <c r="C59" s="300">
        <v>0.51553025672583197</v>
      </c>
      <c r="D59" s="300">
        <v>0.574760139586875</v>
      </c>
      <c r="E59" s="300">
        <v>0.64736193128836494</v>
      </c>
      <c r="F59" s="300">
        <v>0.72913454016248402</v>
      </c>
      <c r="G59" s="300">
        <v>0.81567321766900003</v>
      </c>
      <c r="H59" s="300">
        <v>0.91248266109909704</v>
      </c>
      <c r="I59" s="300">
        <v>1.03475428361372</v>
      </c>
      <c r="J59" s="300">
        <v>1.16546100766585</v>
      </c>
      <c r="K59" s="300">
        <v>1.29495352405761</v>
      </c>
      <c r="L59" s="300">
        <v>1.46349313372846</v>
      </c>
      <c r="M59" s="300">
        <v>1.6539683569177099</v>
      </c>
      <c r="N59" s="300">
        <v>1.83150301570848</v>
      </c>
      <c r="O59" s="300">
        <v>2.0769223041159601</v>
      </c>
      <c r="P59" s="300">
        <v>2.31554207165465</v>
      </c>
      <c r="Q59" s="300">
        <v>2.6347613288793599</v>
      </c>
      <c r="R59" s="300">
        <v>2.9675756282842101</v>
      </c>
      <c r="S59" s="300">
        <v>3.3424299245093598</v>
      </c>
      <c r="T59" s="300">
        <v>3.7138019901048298</v>
      </c>
      <c r="U59" s="300">
        <v>4.1404845702896003</v>
      </c>
      <c r="V59" s="300">
        <v>4.6793731406980497</v>
      </c>
      <c r="W59" s="300">
        <v>5.3064037360798197</v>
      </c>
      <c r="X59" s="300">
        <v>5.8560479863541897</v>
      </c>
      <c r="Y59" s="300">
        <v>6.6633592899835996</v>
      </c>
      <c r="Z59" s="19">
        <v>7.4542123753105303</v>
      </c>
      <c r="AA59" s="19">
        <v>8.42438840828145</v>
      </c>
      <c r="AB59" s="19">
        <v>9.3286505214771491</v>
      </c>
      <c r="AC59" s="19">
        <v>10.542781799870401</v>
      </c>
      <c r="AD59" s="19">
        <v>11.754052985754701</v>
      </c>
      <c r="AE59" s="19">
        <v>13.419994977144899</v>
      </c>
      <c r="AF59" s="19">
        <v>15.3220486591533</v>
      </c>
      <c r="AG59" s="19">
        <v>16.8517611267464</v>
      </c>
      <c r="AH59" s="19">
        <v>18.9804196172372</v>
      </c>
      <c r="AI59" s="19">
        <v>21.377963177665698</v>
      </c>
      <c r="AJ59" s="19">
        <v>24.0783564769342</v>
      </c>
      <c r="AK59" s="19">
        <v>27.119854488103002</v>
      </c>
      <c r="AL59" s="19">
        <v>30.338624430131301</v>
      </c>
      <c r="AM59" s="19">
        <v>34.170898694956499</v>
      </c>
      <c r="AN59" s="19">
        <v>38.487253115579897</v>
      </c>
      <c r="AO59" s="19">
        <v>43.793083012851199</v>
      </c>
      <c r="AP59" s="19">
        <v>49.157516169684001</v>
      </c>
      <c r="AQ59" s="19">
        <v>55.366930329961797</v>
      </c>
      <c r="AR59" s="19">
        <v>63.645417461403902</v>
      </c>
      <c r="AS59" s="185">
        <v>68.820099754706305</v>
      </c>
    </row>
    <row r="60" spans="1:45" ht="15.75" customHeight="1">
      <c r="A60" s="182">
        <v>13</v>
      </c>
      <c r="B60" s="179">
        <v>6</v>
      </c>
      <c r="C60" s="301">
        <v>0.51553025672583197</v>
      </c>
      <c r="D60" s="301">
        <v>0.574760139586875</v>
      </c>
      <c r="E60" s="301">
        <v>0.64736193128836494</v>
      </c>
      <c r="F60" s="301">
        <v>0.72913454016248402</v>
      </c>
      <c r="G60" s="301">
        <v>0.81567321766900003</v>
      </c>
      <c r="H60" s="301">
        <v>0.91248266109909704</v>
      </c>
      <c r="I60" s="301">
        <v>1.03475428361372</v>
      </c>
      <c r="J60" s="301">
        <v>1.16546100766585</v>
      </c>
      <c r="K60" s="301">
        <v>1.29495352405761</v>
      </c>
      <c r="L60" s="301">
        <v>1.46349313372846</v>
      </c>
      <c r="M60" s="301">
        <v>1.6539683569177099</v>
      </c>
      <c r="N60" s="301">
        <v>1.83150301570848</v>
      </c>
      <c r="O60" s="301">
        <v>2.0769223041159601</v>
      </c>
      <c r="P60" s="301">
        <v>2.31554207165465</v>
      </c>
      <c r="Q60" s="301">
        <v>2.6347613288793599</v>
      </c>
      <c r="R60" s="301">
        <v>2.9675756282842101</v>
      </c>
      <c r="S60" s="301">
        <v>3.3424299245093598</v>
      </c>
      <c r="T60" s="301">
        <v>3.7138019901048298</v>
      </c>
      <c r="U60" s="301">
        <v>4.1404845702896003</v>
      </c>
      <c r="V60" s="301">
        <v>4.6793731406980497</v>
      </c>
      <c r="W60" s="301">
        <v>5.3064037360798197</v>
      </c>
      <c r="X60" s="301">
        <v>5.8560479863541897</v>
      </c>
      <c r="Y60" s="301">
        <v>6.6633592899835996</v>
      </c>
      <c r="Z60" s="19">
        <v>7.4542123753105303</v>
      </c>
      <c r="AA60" s="19">
        <v>8.42438840828145</v>
      </c>
      <c r="AB60" s="19">
        <v>9.3286505214771491</v>
      </c>
      <c r="AC60" s="19">
        <v>10.542781799870401</v>
      </c>
      <c r="AD60" s="19">
        <v>11.754052985754701</v>
      </c>
      <c r="AE60" s="19">
        <v>13.419994977144899</v>
      </c>
      <c r="AF60" s="19">
        <v>15.3220486591533</v>
      </c>
      <c r="AG60" s="19">
        <v>16.8517611267464</v>
      </c>
      <c r="AH60" s="19">
        <v>18.9804196172372</v>
      </c>
      <c r="AI60" s="19">
        <v>21.377963177665698</v>
      </c>
      <c r="AJ60" s="19">
        <v>24.0783564769342</v>
      </c>
      <c r="AK60" s="19">
        <v>27.119854488103002</v>
      </c>
      <c r="AL60" s="19">
        <v>30.338624430131301</v>
      </c>
      <c r="AM60" s="19">
        <v>34.170898694956499</v>
      </c>
      <c r="AN60" s="19">
        <v>38.487253115579897</v>
      </c>
      <c r="AO60" s="19">
        <v>43.793083012851199</v>
      </c>
      <c r="AP60" s="19">
        <v>49.157516169684001</v>
      </c>
      <c r="AQ60" s="19">
        <v>55.366930329961797</v>
      </c>
      <c r="AR60" s="19">
        <v>63.645417461403902</v>
      </c>
      <c r="AS60" s="185">
        <v>68.820099754706305</v>
      </c>
    </row>
    <row r="61" spans="1:45" ht="15.75" customHeight="1">
      <c r="A61" s="182">
        <v>13</v>
      </c>
      <c r="B61" s="179">
        <v>7</v>
      </c>
      <c r="C61" s="300">
        <v>0.51553025672583197</v>
      </c>
      <c r="D61" s="300">
        <v>0.574760139586875</v>
      </c>
      <c r="E61" s="300">
        <v>0.64736193128836494</v>
      </c>
      <c r="F61" s="300">
        <v>0.72913454016248402</v>
      </c>
      <c r="G61" s="300">
        <v>0.81567321766900003</v>
      </c>
      <c r="H61" s="300">
        <v>0.91248266109909704</v>
      </c>
      <c r="I61" s="300">
        <v>1.03475428361372</v>
      </c>
      <c r="J61" s="300">
        <v>1.16546100766585</v>
      </c>
      <c r="K61" s="300">
        <v>1.29495352405761</v>
      </c>
      <c r="L61" s="300">
        <v>1.46349313372846</v>
      </c>
      <c r="M61" s="300">
        <v>1.6539683569177099</v>
      </c>
      <c r="N61" s="300">
        <v>1.83150301570848</v>
      </c>
      <c r="O61" s="300">
        <v>2.0769223041159601</v>
      </c>
      <c r="P61" s="300">
        <v>2.31554207165465</v>
      </c>
      <c r="Q61" s="300">
        <v>2.6347613288793599</v>
      </c>
      <c r="R61" s="300">
        <v>2.9675756282842101</v>
      </c>
      <c r="S61" s="300">
        <v>3.3424299245093598</v>
      </c>
      <c r="T61" s="300">
        <v>3.7138019901048298</v>
      </c>
      <c r="U61" s="300">
        <v>4.1404845702896003</v>
      </c>
      <c r="V61" s="300">
        <v>4.6793731406980497</v>
      </c>
      <c r="W61" s="300">
        <v>5.3064037360798197</v>
      </c>
      <c r="X61" s="300">
        <v>5.8560479863541897</v>
      </c>
      <c r="Y61" s="300">
        <v>6.6633592899835996</v>
      </c>
      <c r="Z61" s="19">
        <v>7.4542123753105303</v>
      </c>
      <c r="AA61" s="19">
        <v>8.42438840828145</v>
      </c>
      <c r="AB61" s="19">
        <v>9.3286505214771491</v>
      </c>
      <c r="AC61" s="19">
        <v>10.542781799870401</v>
      </c>
      <c r="AD61" s="19">
        <v>11.754052985754701</v>
      </c>
      <c r="AE61" s="19">
        <v>13.419994977144899</v>
      </c>
      <c r="AF61" s="19">
        <v>15.3220486591533</v>
      </c>
      <c r="AG61" s="19">
        <v>16.8517611267464</v>
      </c>
      <c r="AH61" s="19">
        <v>18.9804196172372</v>
      </c>
      <c r="AI61" s="19">
        <v>21.377963177665698</v>
      </c>
      <c r="AJ61" s="19">
        <v>24.0783564769342</v>
      </c>
      <c r="AK61" s="19">
        <v>27.119854488103002</v>
      </c>
      <c r="AL61" s="19">
        <v>30.338624430131301</v>
      </c>
      <c r="AM61" s="19">
        <v>34.170898694956499</v>
      </c>
      <c r="AN61" s="19">
        <v>38.487253115579897</v>
      </c>
      <c r="AO61" s="19">
        <v>43.793083012851199</v>
      </c>
      <c r="AP61" s="19">
        <v>49.157516169684001</v>
      </c>
      <c r="AQ61" s="19">
        <v>55.366930329961797</v>
      </c>
      <c r="AR61" s="19">
        <v>63.645417461403902</v>
      </c>
      <c r="AS61" s="185">
        <v>68.820099754706305</v>
      </c>
    </row>
    <row r="62" spans="1:45" ht="15.75" customHeight="1">
      <c r="A62" s="182">
        <v>13</v>
      </c>
      <c r="B62" s="179">
        <v>8</v>
      </c>
      <c r="C62" s="301">
        <v>0.51553025672583197</v>
      </c>
      <c r="D62" s="301">
        <v>0.574760139586875</v>
      </c>
      <c r="E62" s="301">
        <v>0.64736193128836494</v>
      </c>
      <c r="F62" s="301">
        <v>0.72913454016248402</v>
      </c>
      <c r="G62" s="301">
        <v>0.81567321766900003</v>
      </c>
      <c r="H62" s="301">
        <v>0.91248266109909704</v>
      </c>
      <c r="I62" s="301">
        <v>1.03475428361372</v>
      </c>
      <c r="J62" s="301">
        <v>1.16546100766585</v>
      </c>
      <c r="K62" s="301">
        <v>1.29495352405761</v>
      </c>
      <c r="L62" s="301">
        <v>1.46349313372846</v>
      </c>
      <c r="M62" s="301">
        <v>1.6539683569177099</v>
      </c>
      <c r="N62" s="301">
        <v>1.83150301570848</v>
      </c>
      <c r="O62" s="301">
        <v>2.0769223041159601</v>
      </c>
      <c r="P62" s="301">
        <v>2.31554207165465</v>
      </c>
      <c r="Q62" s="301">
        <v>2.6347613288793599</v>
      </c>
      <c r="R62" s="301">
        <v>2.9675756282842101</v>
      </c>
      <c r="S62" s="301">
        <v>3.3424299245093598</v>
      </c>
      <c r="T62" s="301">
        <v>3.7138019901048298</v>
      </c>
      <c r="U62" s="301">
        <v>4.1404845702896003</v>
      </c>
      <c r="V62" s="301">
        <v>4.6793731406980497</v>
      </c>
      <c r="W62" s="301">
        <v>5.3064037360798197</v>
      </c>
      <c r="X62" s="301">
        <v>5.8560479863541897</v>
      </c>
      <c r="Y62" s="301">
        <v>6.6633592899835996</v>
      </c>
      <c r="Z62" s="21">
        <v>7.4542123753105303</v>
      </c>
      <c r="AA62" s="21">
        <v>8.42438840828145</v>
      </c>
      <c r="AB62" s="21">
        <v>9.3286505214771491</v>
      </c>
      <c r="AC62" s="21">
        <v>10.542781799870401</v>
      </c>
      <c r="AD62" s="21">
        <v>11.754052985754701</v>
      </c>
      <c r="AE62" s="21">
        <v>13.419994977144899</v>
      </c>
      <c r="AF62" s="21">
        <v>15.3220486591533</v>
      </c>
      <c r="AG62" s="21">
        <v>16.8517611267464</v>
      </c>
      <c r="AH62" s="21">
        <v>18.9804196172372</v>
      </c>
      <c r="AI62" s="21">
        <v>21.377963177665698</v>
      </c>
      <c r="AJ62" s="21">
        <v>24.0783564769342</v>
      </c>
      <c r="AK62" s="21">
        <v>27.119854488103002</v>
      </c>
      <c r="AL62" s="21">
        <v>30.338624430131301</v>
      </c>
      <c r="AM62" s="21">
        <v>34.170898694956499</v>
      </c>
      <c r="AN62" s="21">
        <v>38.487253115579897</v>
      </c>
      <c r="AO62" s="21">
        <v>43.793083012851199</v>
      </c>
      <c r="AP62" s="21">
        <v>49.157516169684001</v>
      </c>
      <c r="AQ62" s="21">
        <v>55.366930329961797</v>
      </c>
      <c r="AR62" s="21">
        <v>63.645417461403902</v>
      </c>
      <c r="AS62" s="186">
        <v>68.820099754706305</v>
      </c>
    </row>
    <row r="63" spans="1:45" ht="15.75" customHeight="1">
      <c r="A63" s="177">
        <v>14</v>
      </c>
      <c r="B63" s="178">
        <v>1</v>
      </c>
      <c r="C63" s="306">
        <v>1.4660177833749599</v>
      </c>
      <c r="D63" s="306">
        <v>2.42378322217687</v>
      </c>
      <c r="E63" s="306">
        <v>3.79414525395867</v>
      </c>
      <c r="F63" s="306">
        <v>5.9392845351937398</v>
      </c>
      <c r="G63" s="306">
        <v>9.3994282086104697</v>
      </c>
      <c r="H63" s="306">
        <v>14.7136903999174</v>
      </c>
      <c r="I63" s="306">
        <v>24.061860570751801</v>
      </c>
      <c r="J63" s="306">
        <v>38.0799305136442</v>
      </c>
      <c r="K63" s="306">
        <v>60.927058832994803</v>
      </c>
      <c r="L63" s="306">
        <v>95.374086673168307</v>
      </c>
      <c r="M63" s="306">
        <v>150.93756289699201</v>
      </c>
      <c r="N63" s="306">
        <v>236.275055550628</v>
      </c>
      <c r="O63" s="306">
        <v>357.92942381455799</v>
      </c>
      <c r="P63" s="308"/>
      <c r="Q63" s="216"/>
      <c r="R63" s="216"/>
      <c r="S63" s="216"/>
      <c r="T63" s="216"/>
      <c r="U63" s="216"/>
      <c r="V63" s="216"/>
      <c r="W63" s="216"/>
      <c r="X63" s="216"/>
      <c r="Y63" s="216"/>
    </row>
    <row r="64" spans="1:45" ht="15.75" customHeight="1">
      <c r="A64" s="174">
        <v>14</v>
      </c>
      <c r="B64" s="179">
        <v>2</v>
      </c>
      <c r="C64" s="301">
        <v>1.4660177833749599</v>
      </c>
      <c r="D64" s="301">
        <v>2.42378322217687</v>
      </c>
      <c r="E64" s="301">
        <v>3.79414525395867</v>
      </c>
      <c r="F64" s="301">
        <v>5.9392845351937398</v>
      </c>
      <c r="G64" s="301">
        <v>9.3994282086104697</v>
      </c>
      <c r="H64" s="301">
        <v>14.7136903999174</v>
      </c>
      <c r="I64" s="301">
        <v>24.061860570751801</v>
      </c>
      <c r="J64" s="301">
        <v>38.0799305136442</v>
      </c>
      <c r="K64" s="301">
        <v>60.927058832994803</v>
      </c>
      <c r="L64" s="301">
        <v>95.374086673168307</v>
      </c>
      <c r="M64" s="301">
        <v>150.93756289699201</v>
      </c>
      <c r="N64" s="301">
        <v>236.275055550628</v>
      </c>
      <c r="O64" s="301">
        <v>357.92942381455799</v>
      </c>
      <c r="P64" s="295"/>
      <c r="Q64" s="283"/>
      <c r="R64" s="283"/>
      <c r="S64" s="283"/>
      <c r="T64" s="283"/>
      <c r="U64" s="283"/>
      <c r="V64" s="283"/>
      <c r="W64" s="283"/>
      <c r="X64" s="283"/>
      <c r="Y64" s="283"/>
    </row>
    <row r="65" spans="1:25" ht="15.75" customHeight="1">
      <c r="A65" s="174">
        <v>14</v>
      </c>
      <c r="B65" s="179">
        <v>3</v>
      </c>
      <c r="C65" s="300">
        <v>1.4660177833749599</v>
      </c>
      <c r="D65" s="300">
        <v>2.42378322217687</v>
      </c>
      <c r="E65" s="300">
        <v>3.79414525395867</v>
      </c>
      <c r="F65" s="300">
        <v>5.9392845351937398</v>
      </c>
      <c r="G65" s="300">
        <v>9.3994282086104697</v>
      </c>
      <c r="H65" s="300">
        <v>14.7136903999174</v>
      </c>
      <c r="I65" s="300">
        <v>24.061860570751801</v>
      </c>
      <c r="J65" s="300">
        <v>38.0799305136442</v>
      </c>
      <c r="K65" s="300">
        <v>60.927058832994803</v>
      </c>
      <c r="L65" s="300">
        <v>95.374086673168307</v>
      </c>
      <c r="M65" s="300">
        <v>150.93756289699201</v>
      </c>
      <c r="N65" s="300">
        <v>236.275055550628</v>
      </c>
      <c r="O65" s="300">
        <v>357.92942381455799</v>
      </c>
      <c r="P65" s="297"/>
      <c r="Q65" s="239"/>
      <c r="R65" s="239"/>
      <c r="S65" s="239"/>
      <c r="T65" s="239"/>
      <c r="U65" s="239"/>
      <c r="V65" s="239"/>
      <c r="W65" s="239"/>
      <c r="X65" s="239"/>
      <c r="Y65" s="239"/>
    </row>
    <row r="66" spans="1:25" ht="15.75" customHeight="1">
      <c r="A66" s="174">
        <v>14</v>
      </c>
      <c r="B66" s="179">
        <v>4</v>
      </c>
      <c r="C66" s="301">
        <v>1.4660177833749599</v>
      </c>
      <c r="D66" s="301">
        <v>2.42378322217687</v>
      </c>
      <c r="E66" s="301">
        <v>3.79414525395867</v>
      </c>
      <c r="F66" s="301">
        <v>5.9392845351937398</v>
      </c>
      <c r="G66" s="301">
        <v>9.3994282086104697</v>
      </c>
      <c r="H66" s="301">
        <v>14.7136903999174</v>
      </c>
      <c r="I66" s="301">
        <v>24.061860570751801</v>
      </c>
      <c r="J66" s="301">
        <v>38.0799305136442</v>
      </c>
      <c r="K66" s="301">
        <v>60.927058832994803</v>
      </c>
      <c r="L66" s="301">
        <v>95.374086673168307</v>
      </c>
      <c r="M66" s="301">
        <v>150.93756289699201</v>
      </c>
      <c r="N66" s="301">
        <v>236.275055550628</v>
      </c>
      <c r="O66" s="301">
        <v>357.92942381455799</v>
      </c>
      <c r="P66" s="295"/>
      <c r="Q66" s="283"/>
      <c r="R66" s="283"/>
      <c r="S66" s="283"/>
      <c r="T66" s="283"/>
      <c r="U66" s="283"/>
      <c r="V66" s="283"/>
      <c r="W66" s="283"/>
      <c r="X66" s="283"/>
      <c r="Y66" s="283"/>
    </row>
    <row r="67" spans="1:25" ht="15.75" customHeight="1">
      <c r="A67" s="174">
        <v>14</v>
      </c>
      <c r="B67" s="179">
        <v>5</v>
      </c>
      <c r="C67" s="300">
        <v>1.4660177833749599</v>
      </c>
      <c r="D67" s="300">
        <v>2.42378322217687</v>
      </c>
      <c r="E67" s="300">
        <v>3.79414525395867</v>
      </c>
      <c r="F67" s="300">
        <v>5.9392845351937398</v>
      </c>
      <c r="G67" s="300">
        <v>9.3994282086104697</v>
      </c>
      <c r="H67" s="300">
        <v>14.7136903999174</v>
      </c>
      <c r="I67" s="300">
        <v>24.061860570751801</v>
      </c>
      <c r="J67" s="300">
        <v>38.0799305136442</v>
      </c>
      <c r="K67" s="300">
        <v>60.927058832994803</v>
      </c>
      <c r="L67" s="300">
        <v>95.374086673168307</v>
      </c>
      <c r="M67" s="300">
        <v>150.93756289699201</v>
      </c>
      <c r="N67" s="300">
        <v>236.275055550628</v>
      </c>
      <c r="O67" s="300">
        <v>357.92942381455799</v>
      </c>
      <c r="P67" s="297"/>
      <c r="Q67" s="239"/>
      <c r="R67" s="239"/>
      <c r="S67" s="239"/>
      <c r="T67" s="239"/>
      <c r="U67" s="239"/>
      <c r="V67" s="239"/>
      <c r="W67" s="239"/>
      <c r="X67" s="239"/>
      <c r="Y67" s="239"/>
    </row>
    <row r="68" spans="1:25" ht="15.75" customHeight="1">
      <c r="A68" s="174">
        <v>14</v>
      </c>
      <c r="B68" s="179">
        <v>6</v>
      </c>
      <c r="C68" s="301">
        <v>1.4660177833749599</v>
      </c>
      <c r="D68" s="301">
        <v>2.42378322217687</v>
      </c>
      <c r="E68" s="301">
        <v>3.79414525395867</v>
      </c>
      <c r="F68" s="301">
        <v>5.9392845351937398</v>
      </c>
      <c r="G68" s="301">
        <v>9.3994282086104697</v>
      </c>
      <c r="H68" s="301">
        <v>14.7136903999174</v>
      </c>
      <c r="I68" s="301">
        <v>24.061860570751801</v>
      </c>
      <c r="J68" s="301">
        <v>38.0799305136442</v>
      </c>
      <c r="K68" s="301">
        <v>60.927058832994803</v>
      </c>
      <c r="L68" s="301">
        <v>95.374086673168307</v>
      </c>
      <c r="M68" s="301">
        <v>150.93756289699201</v>
      </c>
      <c r="N68" s="301">
        <v>236.275055550628</v>
      </c>
      <c r="O68" s="301">
        <v>357.92942381455799</v>
      </c>
      <c r="P68" s="295"/>
      <c r="Q68" s="283"/>
      <c r="R68" s="283"/>
      <c r="S68" s="283"/>
      <c r="T68" s="283"/>
      <c r="U68" s="283"/>
      <c r="V68" s="283"/>
      <c r="W68" s="283"/>
      <c r="X68" s="283"/>
      <c r="Y68" s="283"/>
    </row>
    <row r="69" spans="1:25" ht="15.75" customHeight="1">
      <c r="A69" s="174">
        <v>14</v>
      </c>
      <c r="B69" s="179">
        <v>7</v>
      </c>
      <c r="C69" s="300">
        <v>1.4660177833749599</v>
      </c>
      <c r="D69" s="300">
        <v>2.42378322217687</v>
      </c>
      <c r="E69" s="300">
        <v>3.79414525395867</v>
      </c>
      <c r="F69" s="300">
        <v>5.9392845351937398</v>
      </c>
      <c r="G69" s="300">
        <v>9.3994282086104697</v>
      </c>
      <c r="H69" s="300">
        <v>14.7136903999174</v>
      </c>
      <c r="I69" s="300">
        <v>24.061860570751801</v>
      </c>
      <c r="J69" s="300">
        <v>38.0799305136442</v>
      </c>
      <c r="K69" s="300">
        <v>60.927058832994803</v>
      </c>
      <c r="L69" s="300">
        <v>95.374086673168307</v>
      </c>
      <c r="M69" s="300">
        <v>150.93756289699201</v>
      </c>
      <c r="N69" s="300">
        <v>236.275055550628</v>
      </c>
      <c r="O69" s="300">
        <v>357.92942381455799</v>
      </c>
      <c r="P69" s="297"/>
      <c r="Q69" s="239"/>
      <c r="R69" s="239"/>
      <c r="S69" s="239"/>
      <c r="T69" s="239"/>
      <c r="U69" s="239"/>
      <c r="V69" s="239"/>
      <c r="W69" s="239"/>
      <c r="X69" s="239"/>
      <c r="Y69" s="239"/>
    </row>
    <row r="70" spans="1:25" ht="15.75" customHeight="1">
      <c r="A70" s="174">
        <v>14</v>
      </c>
      <c r="B70" s="179">
        <v>8</v>
      </c>
      <c r="C70" s="301">
        <v>1.4660177833749599</v>
      </c>
      <c r="D70" s="301">
        <v>2.42378322217687</v>
      </c>
      <c r="E70" s="301">
        <v>3.79414525395867</v>
      </c>
      <c r="F70" s="301">
        <v>5.9392845351937398</v>
      </c>
      <c r="G70" s="301">
        <v>9.3994282086104697</v>
      </c>
      <c r="H70" s="301">
        <v>14.7136903999174</v>
      </c>
      <c r="I70" s="301">
        <v>24.061860570751801</v>
      </c>
      <c r="J70" s="301">
        <v>38.0799305136442</v>
      </c>
      <c r="K70" s="301">
        <v>60.927058832994803</v>
      </c>
      <c r="L70" s="301">
        <v>95.374086673168307</v>
      </c>
      <c r="M70" s="301">
        <v>150.93756289699201</v>
      </c>
      <c r="N70" s="301">
        <v>236.275055550628</v>
      </c>
      <c r="O70" s="301">
        <v>357.92942381455799</v>
      </c>
      <c r="P70" s="295"/>
      <c r="Q70" s="283"/>
      <c r="R70" s="283"/>
      <c r="S70" s="283"/>
      <c r="T70" s="283"/>
      <c r="U70" s="283"/>
      <c r="V70" s="283"/>
      <c r="W70" s="283"/>
      <c r="X70" s="283"/>
      <c r="Y70" s="283"/>
    </row>
    <row r="71" spans="1:25" ht="15.75" customHeight="1">
      <c r="A71" s="174">
        <v>14</v>
      </c>
      <c r="B71" s="179">
        <v>9</v>
      </c>
      <c r="C71" s="300">
        <v>1.4660177833749599</v>
      </c>
      <c r="D71" s="300">
        <v>2.42378322217687</v>
      </c>
      <c r="E71" s="300">
        <v>3.79414525395867</v>
      </c>
      <c r="F71" s="300">
        <v>5.9392845351937398</v>
      </c>
      <c r="G71" s="300">
        <v>9.3994282086104697</v>
      </c>
      <c r="H71" s="300">
        <v>14.7136903999174</v>
      </c>
      <c r="I71" s="300">
        <v>24.061860570751801</v>
      </c>
      <c r="J71" s="300">
        <v>38.0799305136442</v>
      </c>
      <c r="K71" s="300">
        <v>60.927058832994803</v>
      </c>
      <c r="L71" s="300">
        <v>95.374086673168307</v>
      </c>
      <c r="M71" s="300">
        <v>150.93756289699201</v>
      </c>
      <c r="N71" s="300">
        <v>236.275055550628</v>
      </c>
      <c r="O71" s="300">
        <v>357.92942381455799</v>
      </c>
      <c r="P71" s="297"/>
      <c r="Q71" s="239"/>
      <c r="R71" s="239"/>
      <c r="S71" s="239"/>
      <c r="T71" s="239"/>
      <c r="U71" s="239"/>
      <c r="V71" s="239"/>
      <c r="W71" s="239"/>
      <c r="X71" s="239"/>
      <c r="Y71" s="239"/>
    </row>
    <row r="72" spans="1:25" ht="15.75" customHeight="1">
      <c r="A72" s="174">
        <v>14</v>
      </c>
      <c r="B72" s="179">
        <v>10</v>
      </c>
      <c r="C72" s="301">
        <v>1.4660177833749599</v>
      </c>
      <c r="D72" s="301">
        <v>2.42378322217687</v>
      </c>
      <c r="E72" s="301">
        <v>3.79414525395867</v>
      </c>
      <c r="F72" s="301">
        <v>5.9392845351937398</v>
      </c>
      <c r="G72" s="301">
        <v>9.3994282086104697</v>
      </c>
      <c r="H72" s="301">
        <v>14.7136903999174</v>
      </c>
      <c r="I72" s="301">
        <v>24.061860570751801</v>
      </c>
      <c r="J72" s="301">
        <v>38.0799305136442</v>
      </c>
      <c r="K72" s="301">
        <v>60.927058832994803</v>
      </c>
      <c r="L72" s="301">
        <v>95.374086673168307</v>
      </c>
      <c r="M72" s="301">
        <v>150.93756289699201</v>
      </c>
      <c r="N72" s="301">
        <v>236.275055550628</v>
      </c>
      <c r="O72" s="301">
        <v>357.92942381455799</v>
      </c>
      <c r="P72" s="295"/>
      <c r="Q72" s="283"/>
      <c r="R72" s="283"/>
      <c r="S72" s="283"/>
      <c r="T72" s="283"/>
      <c r="U72" s="283"/>
      <c r="V72" s="283"/>
      <c r="W72" s="283"/>
      <c r="X72" s="283"/>
      <c r="Y72" s="283"/>
    </row>
    <row r="73" spans="1:25" ht="15.75" customHeight="1">
      <c r="A73" s="177">
        <v>15</v>
      </c>
      <c r="B73" s="178">
        <v>1</v>
      </c>
      <c r="C73" s="306">
        <v>1.4797715552584101</v>
      </c>
      <c r="D73" s="306">
        <v>2.3352421822689502</v>
      </c>
      <c r="E73" s="306">
        <v>3.7505047782463801</v>
      </c>
      <c r="F73" s="306">
        <v>5.7818398167551699</v>
      </c>
      <c r="G73" s="306">
        <v>9.3403689883800798</v>
      </c>
      <c r="H73" s="306">
        <v>14.913571066174701</v>
      </c>
      <c r="I73" s="306">
        <v>22.8569349813184</v>
      </c>
      <c r="J73" s="306">
        <v>38.920445002713699</v>
      </c>
      <c r="K73" s="306">
        <v>62.874678136849099</v>
      </c>
      <c r="L73" s="306">
        <v>88.786921572692407</v>
      </c>
      <c r="M73" s="306">
        <v>140.11552239504201</v>
      </c>
      <c r="N73" s="306">
        <v>234.43654725803901</v>
      </c>
      <c r="O73" s="306">
        <v>376.51588761529399</v>
      </c>
      <c r="P73" s="297"/>
      <c r="Q73" s="239"/>
      <c r="R73" s="239"/>
      <c r="S73" s="239"/>
      <c r="T73" s="239"/>
      <c r="U73" s="239"/>
      <c r="V73" s="239"/>
      <c r="W73" s="239"/>
      <c r="X73" s="239"/>
      <c r="Y73" s="239"/>
    </row>
    <row r="74" spans="1:25" ht="15.75" customHeight="1">
      <c r="A74" s="174">
        <v>15</v>
      </c>
      <c r="B74" s="179">
        <v>2</v>
      </c>
      <c r="C74" s="301">
        <v>1.4797715552584101</v>
      </c>
      <c r="D74" s="301">
        <v>2.3352421822689502</v>
      </c>
      <c r="E74" s="301">
        <v>3.7505047782463801</v>
      </c>
      <c r="F74" s="301">
        <v>5.7818398167551699</v>
      </c>
      <c r="G74" s="301">
        <v>9.3403689883800798</v>
      </c>
      <c r="H74" s="301">
        <v>14.913571066174701</v>
      </c>
      <c r="I74" s="301">
        <v>22.8569349813184</v>
      </c>
      <c r="J74" s="301">
        <v>38.920445002713699</v>
      </c>
      <c r="K74" s="301">
        <v>62.874678136849099</v>
      </c>
      <c r="L74" s="301">
        <v>88.786921572692407</v>
      </c>
      <c r="M74" s="301">
        <v>140.11552239504201</v>
      </c>
      <c r="N74" s="301">
        <v>234.43654725803901</v>
      </c>
      <c r="O74" s="301">
        <v>376.51588761529399</v>
      </c>
      <c r="P74" s="295"/>
      <c r="Q74" s="283"/>
      <c r="R74" s="283"/>
      <c r="S74" s="283"/>
      <c r="T74" s="283"/>
      <c r="U74" s="283"/>
      <c r="V74" s="283"/>
      <c r="W74" s="283"/>
      <c r="X74" s="283"/>
      <c r="Y74" s="283"/>
    </row>
    <row r="75" spans="1:25" ht="15.75" customHeight="1">
      <c r="A75" s="174">
        <v>15</v>
      </c>
      <c r="B75" s="179">
        <v>3</v>
      </c>
      <c r="C75" s="300">
        <v>1.4797715552584101</v>
      </c>
      <c r="D75" s="300">
        <v>2.3352421822689502</v>
      </c>
      <c r="E75" s="300">
        <v>3.7505047782463801</v>
      </c>
      <c r="F75" s="300">
        <v>5.7818398167551699</v>
      </c>
      <c r="G75" s="300">
        <v>9.3403689883800798</v>
      </c>
      <c r="H75" s="300">
        <v>14.913571066174701</v>
      </c>
      <c r="I75" s="300">
        <v>22.8569349813184</v>
      </c>
      <c r="J75" s="300">
        <v>38.920445002713699</v>
      </c>
      <c r="K75" s="300">
        <v>62.874678136849099</v>
      </c>
      <c r="L75" s="300">
        <v>88.786921572692407</v>
      </c>
      <c r="M75" s="300">
        <v>140.11552239504201</v>
      </c>
      <c r="N75" s="300">
        <v>234.43654725803901</v>
      </c>
      <c r="O75" s="300">
        <v>376.51588761529399</v>
      </c>
      <c r="P75" s="297"/>
      <c r="Q75" s="239"/>
      <c r="R75" s="239"/>
      <c r="S75" s="216"/>
      <c r="T75" s="239"/>
      <c r="U75" s="239"/>
      <c r="V75" s="239"/>
      <c r="W75" s="239"/>
      <c r="X75" s="239"/>
      <c r="Y75" s="239"/>
    </row>
    <row r="76" spans="1:25" ht="15.75" customHeight="1">
      <c r="A76" s="174">
        <v>15</v>
      </c>
      <c r="B76" s="179">
        <v>4</v>
      </c>
      <c r="C76" s="301">
        <v>1.4797715552584101</v>
      </c>
      <c r="D76" s="301">
        <v>2.3352421822689502</v>
      </c>
      <c r="E76" s="301">
        <v>3.7505047782463801</v>
      </c>
      <c r="F76" s="301">
        <v>5.7818398167551699</v>
      </c>
      <c r="G76" s="301">
        <v>9.3403689883800798</v>
      </c>
      <c r="H76" s="301">
        <v>14.913571066174701</v>
      </c>
      <c r="I76" s="301">
        <v>22.8569349813184</v>
      </c>
      <c r="J76" s="301">
        <v>38.920445002713699</v>
      </c>
      <c r="K76" s="301">
        <v>62.874678136849099</v>
      </c>
      <c r="L76" s="301">
        <v>88.786921572692407</v>
      </c>
      <c r="M76" s="301">
        <v>140.11552239504201</v>
      </c>
      <c r="N76" s="301">
        <v>234.43654725803901</v>
      </c>
      <c r="O76" s="301">
        <v>376.51588761529399</v>
      </c>
      <c r="P76" s="295"/>
      <c r="Q76" s="283"/>
      <c r="R76" s="283"/>
      <c r="S76" s="221"/>
      <c r="T76" s="283"/>
      <c r="U76" s="283"/>
      <c r="V76" s="283"/>
      <c r="W76" s="283"/>
      <c r="X76" s="283"/>
      <c r="Y76" s="283"/>
    </row>
    <row r="77" spans="1:25" ht="15.75" customHeight="1">
      <c r="A77" s="174">
        <v>15</v>
      </c>
      <c r="B77" s="179">
        <v>5</v>
      </c>
      <c r="C77" s="300">
        <v>1.4797715552584101</v>
      </c>
      <c r="D77" s="300">
        <v>2.3352421822689502</v>
      </c>
      <c r="E77" s="300">
        <v>3.7505047782463801</v>
      </c>
      <c r="F77" s="300">
        <v>5.7818398167551699</v>
      </c>
      <c r="G77" s="300">
        <v>9.3403689883800798</v>
      </c>
      <c r="H77" s="300">
        <v>14.913571066174701</v>
      </c>
      <c r="I77" s="300">
        <v>22.8569349813184</v>
      </c>
      <c r="J77" s="300">
        <v>38.920445002713699</v>
      </c>
      <c r="K77" s="300">
        <v>62.874678136849099</v>
      </c>
      <c r="L77" s="300">
        <v>88.786921572692407</v>
      </c>
      <c r="M77" s="300">
        <v>140.11552239504201</v>
      </c>
      <c r="N77" s="300">
        <v>234.43654725803901</v>
      </c>
      <c r="O77" s="300">
        <v>376.51588761529399</v>
      </c>
      <c r="P77" s="297"/>
      <c r="Q77" s="239"/>
      <c r="R77" s="239"/>
      <c r="S77" s="239"/>
      <c r="T77" s="239"/>
      <c r="U77" s="239"/>
      <c r="V77" s="239"/>
      <c r="W77" s="239"/>
      <c r="X77" s="239"/>
      <c r="Y77" s="239"/>
    </row>
    <row r="78" spans="1:25" ht="15.75" customHeight="1">
      <c r="A78" s="174">
        <v>15</v>
      </c>
      <c r="B78" s="179">
        <v>6</v>
      </c>
      <c r="C78" s="301">
        <v>1.4797715552584101</v>
      </c>
      <c r="D78" s="301">
        <v>2.3352421822689502</v>
      </c>
      <c r="E78" s="301">
        <v>3.7505047782463801</v>
      </c>
      <c r="F78" s="301">
        <v>5.7818398167551699</v>
      </c>
      <c r="G78" s="301">
        <v>9.3403689883800798</v>
      </c>
      <c r="H78" s="301">
        <v>14.913571066174701</v>
      </c>
      <c r="I78" s="301">
        <v>22.8569349813184</v>
      </c>
      <c r="J78" s="301">
        <v>38.920445002713699</v>
      </c>
      <c r="K78" s="301">
        <v>62.874678136849099</v>
      </c>
      <c r="L78" s="301">
        <v>88.786921572692407</v>
      </c>
      <c r="M78" s="301">
        <v>140.11552239504201</v>
      </c>
      <c r="N78" s="301">
        <v>234.43654725803901</v>
      </c>
      <c r="O78" s="301">
        <v>376.51588761529399</v>
      </c>
      <c r="P78" s="295"/>
      <c r="Q78" s="283"/>
      <c r="R78" s="283"/>
      <c r="S78" s="283"/>
      <c r="T78" s="283"/>
      <c r="U78" s="283"/>
      <c r="V78" s="283"/>
      <c r="W78" s="283"/>
      <c r="X78" s="283"/>
      <c r="Y78" s="283"/>
    </row>
    <row r="79" spans="1:25" ht="15.75" customHeight="1">
      <c r="A79" s="237">
        <v>16</v>
      </c>
      <c r="B79" s="58">
        <v>1</v>
      </c>
      <c r="C79" s="226"/>
      <c r="D79" s="226"/>
      <c r="E79" s="310"/>
      <c r="F79" s="310"/>
      <c r="G79" s="226"/>
      <c r="H79" s="226"/>
      <c r="I79" s="226"/>
      <c r="J79" s="226"/>
      <c r="K79" s="226"/>
      <c r="L79" s="226"/>
      <c r="M79" s="226"/>
      <c r="N79" s="226"/>
      <c r="O79" s="226"/>
      <c r="P79" s="228"/>
      <c r="Q79" s="228"/>
      <c r="R79" s="228"/>
      <c r="S79" s="228"/>
      <c r="T79" s="228"/>
      <c r="U79" s="228"/>
      <c r="V79" s="228"/>
      <c r="W79" s="228"/>
      <c r="X79" s="228"/>
      <c r="Y79" s="228"/>
    </row>
    <row r="80" spans="1:25" ht="15.75" customHeight="1">
      <c r="A80" s="205">
        <v>16</v>
      </c>
      <c r="B80" s="59">
        <v>2</v>
      </c>
      <c r="C80" s="326"/>
      <c r="D80" s="326"/>
      <c r="E80" s="312"/>
      <c r="F80" s="312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</row>
    <row r="81" spans="1:28" ht="15.75" customHeight="1">
      <c r="A81" s="205">
        <v>16</v>
      </c>
      <c r="B81" s="59">
        <v>3</v>
      </c>
      <c r="C81" s="228"/>
      <c r="D81" s="228"/>
      <c r="E81" s="314"/>
      <c r="F81" s="314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</row>
    <row r="82" spans="1:28" ht="15.75" customHeight="1">
      <c r="A82" s="201">
        <v>17</v>
      </c>
      <c r="B82" s="58">
        <v>1</v>
      </c>
      <c r="C82" s="221">
        <v>0.16</v>
      </c>
      <c r="D82" s="221">
        <v>0.25</v>
      </c>
      <c r="E82" s="221">
        <v>0.41</v>
      </c>
      <c r="F82" s="221">
        <v>0.66</v>
      </c>
      <c r="G82" s="221">
        <v>1.02</v>
      </c>
      <c r="H82" s="221">
        <v>1.6</v>
      </c>
      <c r="I82" s="221">
        <v>2.52</v>
      </c>
      <c r="J82" s="221">
        <v>3.97</v>
      </c>
      <c r="K82" s="221">
        <v>6.4</v>
      </c>
      <c r="L82" s="221">
        <v>10</v>
      </c>
      <c r="M82" s="115">
        <v>16</v>
      </c>
      <c r="N82" s="283"/>
      <c r="O82" s="283"/>
      <c r="P82" s="283"/>
      <c r="Q82" s="283"/>
      <c r="R82" s="283"/>
      <c r="S82" s="283"/>
      <c r="T82" s="283"/>
      <c r="U82" s="283"/>
      <c r="V82" s="283"/>
      <c r="W82" s="326"/>
      <c r="X82" s="326"/>
      <c r="Y82" s="326"/>
    </row>
    <row r="83" spans="1:28" ht="15.75" customHeight="1">
      <c r="A83" s="200">
        <v>17</v>
      </c>
      <c r="B83" s="59">
        <v>2</v>
      </c>
      <c r="C83" s="239">
        <v>0.16</v>
      </c>
      <c r="D83" s="239">
        <v>0.25</v>
      </c>
      <c r="E83" s="239">
        <v>0.41</v>
      </c>
      <c r="F83" s="239">
        <v>0.66</v>
      </c>
      <c r="G83" s="239">
        <v>1.02</v>
      </c>
      <c r="H83" s="239">
        <v>1.6</v>
      </c>
      <c r="I83" s="239">
        <v>2.5299999999999998</v>
      </c>
      <c r="J83" s="239">
        <v>3.97</v>
      </c>
      <c r="K83" s="239">
        <v>6.4</v>
      </c>
      <c r="L83" s="239">
        <v>10</v>
      </c>
      <c r="M83" s="116">
        <v>16</v>
      </c>
      <c r="N83" s="239"/>
      <c r="O83" s="239"/>
      <c r="P83" s="239"/>
      <c r="Q83" s="239"/>
      <c r="R83" s="239"/>
      <c r="S83" s="239"/>
      <c r="T83" s="239"/>
      <c r="U83" s="239"/>
      <c r="V83" s="239"/>
      <c r="W83" s="228"/>
      <c r="X83" s="228"/>
      <c r="Y83" s="228"/>
    </row>
    <row r="84" spans="1:28" ht="15.75" customHeight="1">
      <c r="A84" s="200">
        <v>17</v>
      </c>
      <c r="B84" s="59">
        <v>3</v>
      </c>
      <c r="C84" s="283">
        <v>0.16</v>
      </c>
      <c r="D84" s="283">
        <v>0.25</v>
      </c>
      <c r="E84" s="283">
        <v>0.41</v>
      </c>
      <c r="F84" s="283">
        <v>0.66</v>
      </c>
      <c r="G84" s="283">
        <v>1.02</v>
      </c>
      <c r="H84" s="283">
        <v>1.6</v>
      </c>
      <c r="I84" s="283">
        <v>2.54</v>
      </c>
      <c r="J84" s="283">
        <v>3.97</v>
      </c>
      <c r="K84" s="283">
        <v>6.4</v>
      </c>
      <c r="L84" s="283">
        <v>10</v>
      </c>
      <c r="M84" s="117">
        <v>16</v>
      </c>
      <c r="N84" s="283"/>
      <c r="O84" s="283"/>
      <c r="P84" s="283"/>
      <c r="Q84" s="283"/>
      <c r="R84" s="283"/>
      <c r="S84" s="283"/>
      <c r="T84" s="283"/>
      <c r="U84" s="283"/>
      <c r="V84" s="283"/>
      <c r="W84" s="326"/>
      <c r="X84" s="326"/>
      <c r="Y84" s="326"/>
    </row>
    <row r="85" spans="1:28" ht="15.75" customHeight="1">
      <c r="A85" s="202">
        <v>17</v>
      </c>
      <c r="B85" s="203">
        <v>4</v>
      </c>
      <c r="C85" s="240">
        <v>0.16</v>
      </c>
      <c r="D85" s="240">
        <v>0.25</v>
      </c>
      <c r="E85" s="240">
        <v>0.41</v>
      </c>
      <c r="F85" s="240">
        <v>0.66</v>
      </c>
      <c r="G85" s="240">
        <v>1.02</v>
      </c>
      <c r="H85" s="240">
        <v>1.6</v>
      </c>
      <c r="I85" s="240">
        <v>2.5499999999999998</v>
      </c>
      <c r="J85" s="240">
        <v>3.97</v>
      </c>
      <c r="K85" s="240">
        <v>6.4</v>
      </c>
      <c r="L85" s="240">
        <v>10</v>
      </c>
      <c r="M85" s="118">
        <v>16</v>
      </c>
      <c r="N85" s="239"/>
      <c r="O85" s="239"/>
      <c r="P85" s="239"/>
      <c r="Q85" s="239"/>
      <c r="R85" s="239"/>
      <c r="S85" s="239"/>
      <c r="T85" s="239"/>
      <c r="U85" s="239"/>
      <c r="V85" s="239"/>
      <c r="W85" s="228"/>
      <c r="X85" s="228"/>
      <c r="Y85" s="228"/>
    </row>
    <row r="86" spans="1:28" ht="15.75" customHeight="1">
      <c r="A86" s="200">
        <v>18</v>
      </c>
      <c r="B86" s="59">
        <v>1</v>
      </c>
      <c r="C86" s="283">
        <v>0.19</v>
      </c>
      <c r="D86" s="283">
        <v>0.28999999999999998</v>
      </c>
      <c r="E86" s="283">
        <v>0.41</v>
      </c>
      <c r="F86" s="283">
        <v>0.6</v>
      </c>
      <c r="G86" s="283">
        <v>0.83</v>
      </c>
      <c r="H86" s="283">
        <v>1.21</v>
      </c>
      <c r="I86" s="283">
        <v>1.82</v>
      </c>
      <c r="J86" s="283">
        <v>2.4900000000000002</v>
      </c>
      <c r="K86" s="283">
        <v>3.57</v>
      </c>
      <c r="L86" s="283">
        <v>5.1100000000000003</v>
      </c>
      <c r="M86" s="283">
        <v>7.5</v>
      </c>
      <c r="N86" s="221">
        <v>10.49</v>
      </c>
      <c r="O86" s="221">
        <v>15.77</v>
      </c>
      <c r="P86" s="221">
        <v>22.6</v>
      </c>
      <c r="Q86" s="221">
        <v>31.62</v>
      </c>
      <c r="R86" s="221">
        <v>46.42</v>
      </c>
      <c r="S86" s="221">
        <v>68.13</v>
      </c>
      <c r="T86" s="221">
        <v>100</v>
      </c>
      <c r="U86" s="221">
        <v>143.30000000000001</v>
      </c>
      <c r="V86" s="221">
        <v>205.35</v>
      </c>
      <c r="W86" s="327"/>
      <c r="X86" s="326"/>
      <c r="Y86" s="326"/>
    </row>
    <row r="87" spans="1:28" ht="15.75" customHeight="1">
      <c r="A87" s="200">
        <v>18</v>
      </c>
      <c r="B87" s="59">
        <v>2</v>
      </c>
      <c r="C87" s="239">
        <v>1.24</v>
      </c>
      <c r="D87" s="239">
        <v>1.78</v>
      </c>
      <c r="E87" s="239">
        <v>2.4900000000000002</v>
      </c>
      <c r="F87" s="239">
        <v>3.48</v>
      </c>
      <c r="G87" s="239">
        <v>4.87</v>
      </c>
      <c r="H87" s="239">
        <v>6.49</v>
      </c>
      <c r="I87" s="239">
        <v>9.5299999999999994</v>
      </c>
      <c r="J87" s="239">
        <v>13.02</v>
      </c>
      <c r="K87" s="239">
        <v>17.78</v>
      </c>
      <c r="L87" s="239">
        <v>26.1</v>
      </c>
      <c r="M87" s="239">
        <v>35.65</v>
      </c>
      <c r="N87" s="239">
        <v>51.09</v>
      </c>
      <c r="O87" s="239">
        <v>69.78</v>
      </c>
      <c r="P87" s="239">
        <v>100</v>
      </c>
      <c r="Q87" s="239">
        <v>133.35</v>
      </c>
      <c r="R87" s="239">
        <v>191.1</v>
      </c>
      <c r="S87" s="239">
        <v>273.83999999999997</v>
      </c>
      <c r="T87" s="239"/>
      <c r="U87" s="239"/>
      <c r="V87" s="239"/>
      <c r="W87" s="328"/>
      <c r="X87" s="228"/>
      <c r="Y87" s="228"/>
    </row>
    <row r="88" spans="1:28" ht="15.75" customHeight="1">
      <c r="A88" s="201">
        <v>19</v>
      </c>
      <c r="B88" s="58">
        <v>1</v>
      </c>
      <c r="C88" s="221"/>
      <c r="D88" s="221"/>
      <c r="E88" s="329"/>
      <c r="F88" s="329"/>
      <c r="G88" s="221"/>
      <c r="H88" s="221"/>
      <c r="I88" s="221"/>
      <c r="J88" s="221"/>
      <c r="K88" s="221"/>
      <c r="L88" s="221"/>
      <c r="M88" s="221"/>
      <c r="N88" s="221"/>
      <c r="O88" s="330"/>
      <c r="P88" s="331"/>
      <c r="Q88" s="331"/>
      <c r="R88" s="331"/>
      <c r="S88" s="331"/>
      <c r="T88" s="331"/>
      <c r="U88" s="331"/>
      <c r="V88" s="331"/>
      <c r="W88" s="326"/>
      <c r="X88" s="326"/>
      <c r="Y88" s="326"/>
    </row>
    <row r="89" spans="1:28" ht="15.75" customHeight="1">
      <c r="A89" s="200">
        <v>19</v>
      </c>
      <c r="B89" s="59">
        <v>2</v>
      </c>
      <c r="C89" s="239"/>
      <c r="D89" s="239"/>
      <c r="E89" s="323"/>
      <c r="F89" s="323"/>
      <c r="G89" s="239"/>
      <c r="H89" s="239"/>
      <c r="I89" s="239"/>
      <c r="J89" s="239"/>
      <c r="K89" s="239"/>
      <c r="L89" s="239"/>
      <c r="M89" s="239"/>
      <c r="N89" s="239"/>
      <c r="O89" s="3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</row>
    <row r="90" spans="1:28" ht="15.75" customHeight="1">
      <c r="A90" s="200">
        <v>19</v>
      </c>
      <c r="B90" s="59">
        <v>3</v>
      </c>
      <c r="C90" s="283"/>
      <c r="D90" s="283"/>
      <c r="E90" s="332"/>
      <c r="F90" s="332"/>
      <c r="G90" s="283"/>
      <c r="H90" s="283"/>
      <c r="I90" s="283"/>
      <c r="J90" s="283"/>
      <c r="K90" s="283"/>
      <c r="L90" s="283"/>
      <c r="M90" s="283"/>
      <c r="N90" s="283"/>
      <c r="O90" s="327"/>
      <c r="P90" s="326"/>
      <c r="Q90" s="326"/>
      <c r="R90" s="326"/>
      <c r="S90" s="326"/>
      <c r="T90" s="326"/>
      <c r="U90" s="326"/>
      <c r="V90" s="326"/>
      <c r="W90" s="326"/>
      <c r="X90" s="326"/>
      <c r="Y90" s="326"/>
    </row>
    <row r="91" spans="1:28" ht="15.75" customHeight="1">
      <c r="A91" s="200">
        <v>19</v>
      </c>
      <c r="B91" s="59">
        <v>4</v>
      </c>
      <c r="C91" s="239"/>
      <c r="D91" s="239"/>
      <c r="E91" s="323"/>
      <c r="F91" s="323"/>
      <c r="G91" s="239"/>
      <c r="H91" s="239"/>
      <c r="I91" s="239"/>
      <c r="J91" s="239"/>
      <c r="K91" s="239"/>
      <c r="L91" s="239"/>
      <c r="M91" s="239"/>
      <c r="N91" s="239"/>
      <c r="O91" s="328"/>
      <c r="P91" s="228"/>
      <c r="Q91" s="228"/>
      <c r="R91" s="228"/>
      <c r="S91" s="228"/>
      <c r="T91" s="228"/>
      <c r="U91" s="228"/>
      <c r="V91" s="228"/>
      <c r="W91" s="228"/>
      <c r="X91" s="228"/>
      <c r="Y91" s="228"/>
    </row>
    <row r="92" spans="1:28" ht="15.75" customHeight="1">
      <c r="A92" s="202">
        <v>19</v>
      </c>
      <c r="B92" s="59">
        <v>5</v>
      </c>
      <c r="C92" s="283"/>
      <c r="D92" s="283"/>
      <c r="E92" s="332"/>
      <c r="F92" s="332"/>
      <c r="G92" s="283"/>
      <c r="H92" s="283"/>
      <c r="I92" s="283"/>
      <c r="J92" s="283"/>
      <c r="K92" s="283"/>
      <c r="L92" s="283"/>
      <c r="M92" s="283"/>
      <c r="N92" s="283"/>
      <c r="O92" s="327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2"/>
      <c r="AA92" s="2"/>
    </row>
    <row r="93" spans="1:28" ht="15.75" customHeight="1">
      <c r="A93" s="237">
        <v>20</v>
      </c>
      <c r="B93" s="178" t="s">
        <v>220</v>
      </c>
      <c r="C93" s="264">
        <v>0.1</v>
      </c>
      <c r="D93" s="264">
        <v>0.24556039520355999</v>
      </c>
      <c r="E93" s="264">
        <v>0.61781862824222999</v>
      </c>
      <c r="F93" s="264">
        <v>1.55440468444548</v>
      </c>
      <c r="G93" s="264">
        <v>3.91081429496607</v>
      </c>
      <c r="H93" s="195">
        <v>9.8394379550954696</v>
      </c>
      <c r="I93" s="195">
        <v>25.057939345604101</v>
      </c>
      <c r="J93" s="195">
        <v>98.793231355898996</v>
      </c>
      <c r="K93" s="333"/>
      <c r="L93" s="206"/>
      <c r="M93" s="206"/>
      <c r="N93" s="206"/>
      <c r="O93" s="333"/>
      <c r="P93" s="333"/>
      <c r="Q93" s="206"/>
      <c r="R93" s="206"/>
      <c r="S93" s="206"/>
      <c r="T93" s="333"/>
      <c r="U93" s="333"/>
      <c r="V93" s="206"/>
      <c r="W93" s="206"/>
      <c r="X93" s="206"/>
      <c r="Y93" s="333"/>
      <c r="Z93" s="206"/>
      <c r="AA93" s="207"/>
      <c r="AB93" s="2"/>
    </row>
    <row r="94" spans="1:28" ht="15.75" customHeight="1">
      <c r="A94" s="205">
        <v>20</v>
      </c>
      <c r="B94" s="179" t="s">
        <v>221</v>
      </c>
      <c r="C94" s="19">
        <v>0.1</v>
      </c>
      <c r="D94" s="19">
        <v>0.156703667858656</v>
      </c>
      <c r="E94" s="19">
        <v>0.99193892886254598</v>
      </c>
      <c r="F94" s="19">
        <v>2.4655603947361699</v>
      </c>
      <c r="G94" s="19">
        <v>6.2790032424797699</v>
      </c>
      <c r="H94" s="74">
        <v>15.7976979126181</v>
      </c>
      <c r="I94" s="74">
        <v>61.5323748869342</v>
      </c>
      <c r="J94" s="74">
        <v>96.423582143358601</v>
      </c>
      <c r="K94" s="75"/>
      <c r="L94" s="2"/>
      <c r="M94" s="2"/>
      <c r="N94" s="2"/>
      <c r="O94" s="75"/>
      <c r="P94" s="75"/>
      <c r="Q94" s="2"/>
      <c r="R94" s="2"/>
      <c r="S94" s="2"/>
      <c r="T94" s="75"/>
      <c r="U94" s="75"/>
      <c r="V94" s="2"/>
      <c r="W94" s="2"/>
      <c r="X94" s="2"/>
      <c r="Y94" s="75"/>
      <c r="Z94" s="2"/>
      <c r="AA94" s="208"/>
      <c r="AB94" s="2"/>
    </row>
    <row r="95" spans="1:28" ht="15.75" customHeight="1">
      <c r="A95" s="205">
        <v>20</v>
      </c>
      <c r="B95" s="179" t="s">
        <v>222</v>
      </c>
      <c r="C95" s="74">
        <v>9.7601215457868901E-2</v>
      </c>
      <c r="D95" s="74">
        <v>0.31304479344083602</v>
      </c>
      <c r="E95" s="74">
        <v>0.74122016431039695</v>
      </c>
      <c r="F95" s="74">
        <v>3.1431405860308699</v>
      </c>
      <c r="G95" s="74">
        <v>7.4422622455649998</v>
      </c>
      <c r="H95" s="74">
        <v>23.2975918162848</v>
      </c>
      <c r="I95" s="74">
        <v>41.220536589744803</v>
      </c>
      <c r="J95" s="74">
        <v>97.601200000000006</v>
      </c>
      <c r="K95" s="75"/>
      <c r="L95" s="2"/>
      <c r="M95" s="2"/>
      <c r="N95" s="2"/>
      <c r="O95" s="75"/>
      <c r="P95" s="75"/>
      <c r="Q95" s="2"/>
      <c r="R95" s="2"/>
      <c r="S95" s="2"/>
      <c r="T95" s="75"/>
      <c r="U95" s="75"/>
      <c r="V95" s="2"/>
      <c r="W95" s="2"/>
      <c r="X95" s="2"/>
      <c r="Y95" s="75"/>
      <c r="Z95" s="2"/>
      <c r="AA95" s="208"/>
      <c r="AB95" s="2"/>
    </row>
    <row r="96" spans="1:28" ht="15.75" customHeight="1">
      <c r="A96" s="205">
        <v>20</v>
      </c>
      <c r="B96" s="179" t="s">
        <v>223</v>
      </c>
      <c r="C96" s="19">
        <v>0.1</v>
      </c>
      <c r="D96" s="19">
        <v>0.156703667858656</v>
      </c>
      <c r="E96" s="19">
        <v>0.99193892886254598</v>
      </c>
      <c r="F96" s="19">
        <v>2.4655603947361699</v>
      </c>
      <c r="G96" s="19">
        <v>6.2790032424797699</v>
      </c>
      <c r="H96" s="74">
        <v>15.7976979126181</v>
      </c>
      <c r="I96" s="74">
        <v>61.5323748869342</v>
      </c>
      <c r="J96" s="74">
        <v>96.423582143358601</v>
      </c>
      <c r="K96" s="75"/>
      <c r="L96" s="2"/>
      <c r="M96" s="2"/>
      <c r="N96" s="2"/>
      <c r="O96" s="75"/>
      <c r="P96" s="75"/>
      <c r="Q96" s="2"/>
      <c r="R96" s="2"/>
      <c r="S96" s="2"/>
      <c r="T96" s="75"/>
      <c r="U96" s="75"/>
      <c r="V96" s="2"/>
      <c r="W96" s="2"/>
      <c r="X96" s="2"/>
      <c r="Y96" s="75"/>
      <c r="Z96" s="2"/>
      <c r="AA96" s="208"/>
      <c r="AB96" s="2"/>
    </row>
    <row r="97" spans="1:28" ht="15.75" customHeight="1">
      <c r="A97" s="205">
        <v>20</v>
      </c>
      <c r="B97" s="179" t="s">
        <v>224</v>
      </c>
      <c r="C97" s="74">
        <v>9.7269999999999995E-2</v>
      </c>
      <c r="D97" s="74">
        <v>0.12937526846038699</v>
      </c>
      <c r="E97" s="74">
        <v>0.173652329579458</v>
      </c>
      <c r="F97" s="74">
        <v>0.23094865758781999</v>
      </c>
      <c r="G97" s="74">
        <v>0.30714982385082601</v>
      </c>
      <c r="H97" s="74">
        <v>0.40849345164831602</v>
      </c>
      <c r="I97" s="74">
        <v>0.548295552485765</v>
      </c>
      <c r="J97" s="74">
        <v>0.72920485498018195</v>
      </c>
      <c r="K97" s="74">
        <v>0.97876667844574705</v>
      </c>
      <c r="L97" s="74">
        <v>1.3137381139100499</v>
      </c>
      <c r="M97" s="74">
        <v>1.7153572610085099</v>
      </c>
      <c r="N97" s="74">
        <v>2.3024152903961701</v>
      </c>
      <c r="O97" s="74">
        <v>3.0903899648954098</v>
      </c>
      <c r="P97" s="74">
        <v>4.1100595399089501</v>
      </c>
      <c r="Q97" s="74">
        <v>5.4661744801146597</v>
      </c>
      <c r="R97" s="74">
        <v>7.3368994255983502</v>
      </c>
      <c r="S97" s="74">
        <v>9.7577108102580095</v>
      </c>
      <c r="T97" s="74">
        <v>12.8584309009932</v>
      </c>
      <c r="U97" s="74">
        <v>17.418565873262899</v>
      </c>
      <c r="V97" s="74">
        <v>23.1657957902279</v>
      </c>
      <c r="W97" s="19">
        <v>31.094018154569302</v>
      </c>
      <c r="X97" s="19">
        <v>40.974855341396101</v>
      </c>
      <c r="Y97" s="19">
        <v>54.997950342038699</v>
      </c>
      <c r="Z97" s="19">
        <v>73.144534695700401</v>
      </c>
      <c r="AA97" s="185">
        <v>97.278342309736303</v>
      </c>
      <c r="AB97" s="2"/>
    </row>
    <row r="98" spans="1:28" ht="15.75" customHeight="1">
      <c r="A98" s="205">
        <v>20</v>
      </c>
      <c r="B98" s="179" t="s">
        <v>225</v>
      </c>
      <c r="C98" s="28">
        <v>9.7278342309736504E-2</v>
      </c>
      <c r="D98" s="28">
        <v>0.152670593281933</v>
      </c>
      <c r="E98" s="28">
        <v>0.24630781387886</v>
      </c>
      <c r="F98" s="28">
        <v>0.38656020890200798</v>
      </c>
      <c r="G98" s="28">
        <v>0.60667500861282597</v>
      </c>
      <c r="H98" s="28">
        <v>0.96980491290866999</v>
      </c>
      <c r="I98" s="28">
        <v>1.5360952043218301</v>
      </c>
      <c r="J98" s="28">
        <v>2.4330547776496401</v>
      </c>
      <c r="K98" s="28">
        <v>3.8184828500034702</v>
      </c>
      <c r="L98" s="28">
        <v>6.16047485592411</v>
      </c>
      <c r="M98" s="28">
        <v>9.6683674372296302</v>
      </c>
      <c r="N98" s="28">
        <v>15.455431961653</v>
      </c>
      <c r="O98" s="28">
        <v>24.480196584911901</v>
      </c>
      <c r="P98" s="28">
        <v>38.774767558228397</v>
      </c>
      <c r="Q98" s="28">
        <v>60.853787292089301</v>
      </c>
      <c r="R98" s="28">
        <v>99.084506991156204</v>
      </c>
      <c r="S98" s="2"/>
      <c r="T98" s="2"/>
      <c r="U98" s="2"/>
      <c r="V98" s="2"/>
      <c r="W98" s="2"/>
      <c r="X98" s="2"/>
      <c r="Y98" s="2"/>
      <c r="Z98" s="2"/>
      <c r="AA98" s="208"/>
      <c r="AB98" s="2"/>
    </row>
    <row r="99" spans="1:28" ht="15.75" customHeight="1">
      <c r="A99" s="205">
        <v>20</v>
      </c>
      <c r="B99" s="179" t="s">
        <v>226</v>
      </c>
      <c r="C99" s="74">
        <v>9.6387644133333797E-2</v>
      </c>
      <c r="D99" s="74">
        <v>0.12937526846038699</v>
      </c>
      <c r="E99" s="74">
        <v>0.17048701095409499</v>
      </c>
      <c r="F99" s="74">
        <v>0.233082658897869</v>
      </c>
      <c r="G99" s="74">
        <v>0.31285246977541098</v>
      </c>
      <c r="H99" s="74">
        <v>0.41226825469207901</v>
      </c>
      <c r="I99" s="74">
        <v>0.54327560191187296</v>
      </c>
      <c r="J99" s="74">
        <v>0.74274398427981103</v>
      </c>
      <c r="K99" s="19">
        <v>1.2546869171799599</v>
      </c>
      <c r="L99" s="19">
        <v>1.69965113826852</v>
      </c>
      <c r="M99" s="19">
        <v>2.2813368393780502</v>
      </c>
      <c r="N99" s="19">
        <v>3.0340605382948298</v>
      </c>
      <c r="O99" s="19">
        <v>4.0724322321617796</v>
      </c>
      <c r="P99" s="19">
        <v>5.3665341671306797</v>
      </c>
      <c r="Q99" s="19">
        <v>7.4046981875412303</v>
      </c>
      <c r="R99" s="19">
        <v>9.6683674372296302</v>
      </c>
      <c r="S99" s="74">
        <v>12.8584309009932</v>
      </c>
      <c r="T99" s="74">
        <v>17.259078319399499</v>
      </c>
      <c r="U99" s="74">
        <v>22.7435174397183</v>
      </c>
      <c r="V99" s="74">
        <v>30.809315674965799</v>
      </c>
      <c r="W99" s="74">
        <v>40.974855341396101</v>
      </c>
      <c r="X99" s="74">
        <v>54.494379116291803</v>
      </c>
      <c r="Y99" s="74">
        <v>72.474718499129906</v>
      </c>
      <c r="Z99" s="74">
        <v>98.177271242773799</v>
      </c>
      <c r="AA99" s="208"/>
      <c r="AB99" s="2"/>
    </row>
    <row r="100" spans="1:28" ht="15.75" customHeight="1">
      <c r="A100" s="205">
        <v>20</v>
      </c>
      <c r="B100" s="179" t="s">
        <v>227</v>
      </c>
      <c r="C100" s="74">
        <v>9.7841180949089002E-2</v>
      </c>
      <c r="D100" s="74">
        <v>0.15335214006051601</v>
      </c>
      <c r="E100" s="74">
        <v>0.24417799921022301</v>
      </c>
      <c r="F100" s="74">
        <v>0.376726958756473</v>
      </c>
      <c r="G100" s="74">
        <v>0.60459855965556197</v>
      </c>
      <c r="H100" s="74">
        <v>1.5328500236423499</v>
      </c>
      <c r="I100" s="74">
        <v>2.4600281315711201</v>
      </c>
      <c r="J100" s="19">
        <v>3.8862633022462498</v>
      </c>
      <c r="K100" s="19">
        <v>6.1879762345611997</v>
      </c>
      <c r="L100" s="19">
        <v>9.5470474308631808</v>
      </c>
      <c r="M100" s="19">
        <v>15.565309093814699</v>
      </c>
      <c r="N100" s="19">
        <v>24.589511291799301</v>
      </c>
      <c r="O100" s="19">
        <v>38.540587150162999</v>
      </c>
      <c r="P100" s="19">
        <v>60.885023047701402</v>
      </c>
      <c r="Q100" s="19">
        <v>97.712732345747497</v>
      </c>
      <c r="R100" s="2"/>
      <c r="S100" s="2"/>
      <c r="T100" s="2"/>
      <c r="U100" s="2"/>
      <c r="V100" s="2"/>
      <c r="W100" s="2"/>
      <c r="X100" s="2"/>
      <c r="Y100" s="2"/>
      <c r="Z100" s="2"/>
      <c r="AA100" s="208"/>
      <c r="AB100" s="2"/>
    </row>
    <row r="101" spans="1:28" ht="15.75" customHeight="1">
      <c r="A101" s="205">
        <v>20</v>
      </c>
      <c r="B101" s="179" t="s">
        <v>230</v>
      </c>
      <c r="C101" s="74">
        <v>0.101775190930399</v>
      </c>
      <c r="D101" s="74">
        <v>0.13517797972835599</v>
      </c>
      <c r="E101" s="74">
        <v>0.23847043918164099</v>
      </c>
      <c r="F101" s="74">
        <v>0.31673683830819799</v>
      </c>
      <c r="G101" s="74">
        <v>0.55876205121047695</v>
      </c>
      <c r="H101" s="74">
        <v>1.0013905511180601</v>
      </c>
      <c r="I101" s="74">
        <v>1.31960369156694</v>
      </c>
      <c r="J101" s="74">
        <v>1.76657392109554</v>
      </c>
      <c r="K101" s="74">
        <v>3.16598170653198</v>
      </c>
      <c r="L101" s="74">
        <v>5.6293819976902002</v>
      </c>
      <c r="M101" s="74">
        <v>9.8529221778055902</v>
      </c>
      <c r="N101" s="74">
        <v>17.381756138725201</v>
      </c>
      <c r="O101" s="74">
        <v>23.2692411268632</v>
      </c>
      <c r="P101" s="74">
        <v>31.150874189559602</v>
      </c>
      <c r="Q101" s="74">
        <v>41.049778685089798</v>
      </c>
      <c r="R101" s="74">
        <v>73.567645632033305</v>
      </c>
      <c r="S101" s="74">
        <v>97.712732345747497</v>
      </c>
      <c r="T101" s="2"/>
      <c r="U101" s="2"/>
      <c r="V101" s="2"/>
      <c r="W101" s="2"/>
      <c r="X101" s="2"/>
      <c r="Y101" s="2"/>
      <c r="Z101" s="2"/>
      <c r="AA101" s="208"/>
      <c r="AB101" s="2"/>
    </row>
    <row r="102" spans="1:28" ht="15.75" customHeight="1">
      <c r="A102" s="205">
        <v>20</v>
      </c>
      <c r="B102" s="179" t="s">
        <v>231</v>
      </c>
      <c r="C102" s="74">
        <v>0.101775190930399</v>
      </c>
      <c r="D102" s="74">
        <v>0.157022574843277</v>
      </c>
      <c r="E102" s="74">
        <v>0.25200097953550099</v>
      </c>
      <c r="F102" s="74">
        <v>0.63388586387008095</v>
      </c>
      <c r="G102" s="74">
        <v>1.5819615060449701</v>
      </c>
      <c r="H102" s="74">
        <v>3.9480328387967001</v>
      </c>
      <c r="I102" s="74">
        <v>9.8529221778055902</v>
      </c>
      <c r="J102" s="74">
        <v>24.589511291799301</v>
      </c>
      <c r="K102" s="74">
        <v>60.885023047701402</v>
      </c>
      <c r="L102" s="74">
        <v>99.265684996793198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08"/>
      <c r="AB102" s="2"/>
    </row>
    <row r="103" spans="1:28" ht="15.75" customHeight="1">
      <c r="A103" s="205">
        <v>20</v>
      </c>
      <c r="B103" s="179" t="s">
        <v>232</v>
      </c>
      <c r="C103" s="74">
        <v>0.101775190930399</v>
      </c>
      <c r="D103" s="74">
        <v>0.17813365711203899</v>
      </c>
      <c r="E103" s="74">
        <v>0.31673683830819799</v>
      </c>
      <c r="F103" s="19">
        <v>0.73053868205783301</v>
      </c>
      <c r="G103" s="19">
        <v>1.31960369156694</v>
      </c>
      <c r="H103" s="19">
        <v>3.16598170653198</v>
      </c>
      <c r="I103" s="19">
        <v>5.4978009874522797</v>
      </c>
      <c r="J103" s="19">
        <v>9.7755529799156999</v>
      </c>
      <c r="K103" s="19">
        <v>17.519347215572001</v>
      </c>
      <c r="L103" s="19">
        <v>41.374669610129899</v>
      </c>
      <c r="M103" s="19">
        <v>100.051329189195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08"/>
      <c r="AB103" s="2"/>
    </row>
    <row r="104" spans="1:28" ht="15.75" customHeight="1">
      <c r="A104" s="205">
        <v>20</v>
      </c>
      <c r="B104" s="179" t="s">
        <v>233</v>
      </c>
      <c r="C104" s="74">
        <v>0.159518141367955</v>
      </c>
      <c r="D104" s="74">
        <v>0.25200097953550099</v>
      </c>
      <c r="E104" s="74">
        <v>0.39810226755753703</v>
      </c>
      <c r="F104" s="74">
        <v>0.62890793411430201</v>
      </c>
      <c r="G104" s="74">
        <v>1.0013905511180601</v>
      </c>
      <c r="H104" s="74">
        <v>1.5572116748900799</v>
      </c>
      <c r="I104" s="74">
        <v>3.91702631309502</v>
      </c>
      <c r="J104" s="74">
        <v>9.93091626319673</v>
      </c>
      <c r="K104" s="74">
        <v>15.6885016622526</v>
      </c>
      <c r="L104" s="74">
        <v>39.153163813527897</v>
      </c>
      <c r="M104" s="74">
        <v>61.852671333457401</v>
      </c>
      <c r="N104" s="74">
        <v>98.486210005760199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08"/>
      <c r="AB104" s="2"/>
    </row>
    <row r="105" spans="1:28" ht="15.75" customHeight="1">
      <c r="A105" s="200">
        <v>20</v>
      </c>
      <c r="B105" s="59" t="s">
        <v>234</v>
      </c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08"/>
      <c r="AB105" s="2"/>
    </row>
    <row r="106" spans="1:28" ht="15.75" customHeight="1">
      <c r="A106" s="200">
        <v>20</v>
      </c>
      <c r="B106" s="59" t="s">
        <v>235</v>
      </c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08"/>
      <c r="AB106" s="2"/>
    </row>
    <row r="107" spans="1:28" ht="15.75" customHeight="1">
      <c r="A107" s="200">
        <v>20</v>
      </c>
      <c r="B107" s="59" t="s">
        <v>236</v>
      </c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08"/>
      <c r="AB107" s="2"/>
    </row>
    <row r="108" spans="1:28" ht="15.75" customHeight="1">
      <c r="A108" s="200">
        <v>20</v>
      </c>
      <c r="B108" s="59" t="s">
        <v>237</v>
      </c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08"/>
      <c r="AB108" s="2"/>
    </row>
    <row r="109" spans="1:28" ht="15.75" customHeight="1">
      <c r="A109" s="200">
        <v>20</v>
      </c>
      <c r="B109" s="59" t="s">
        <v>238</v>
      </c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08"/>
      <c r="AB109" s="2"/>
    </row>
    <row r="110" spans="1:28" ht="15.75" customHeight="1">
      <c r="A110" s="200">
        <v>20</v>
      </c>
      <c r="B110" s="59" t="s">
        <v>239</v>
      </c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08"/>
      <c r="AB110" s="2"/>
    </row>
    <row r="111" spans="1:28" ht="15.75" customHeight="1">
      <c r="A111" s="200">
        <v>20</v>
      </c>
      <c r="B111" s="59" t="s">
        <v>240</v>
      </c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08"/>
      <c r="AB111" s="2"/>
    </row>
    <row r="112" spans="1:28" ht="15.75" customHeight="1">
      <c r="A112" s="200">
        <v>20</v>
      </c>
      <c r="B112" s="59" t="s">
        <v>241</v>
      </c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2"/>
      <c r="P112" s="2"/>
      <c r="Q112" s="2"/>
      <c r="R112" s="2"/>
      <c r="S112" s="2"/>
      <c r="T112" s="2"/>
      <c r="U112" s="2"/>
      <c r="V112" s="30"/>
      <c r="W112" s="30"/>
      <c r="X112" s="30"/>
      <c r="Y112" s="30"/>
      <c r="Z112" s="30"/>
      <c r="AA112" s="209"/>
      <c r="AB112" s="2"/>
    </row>
    <row r="113" spans="1:27" ht="15.75" customHeight="1">
      <c r="A113" s="201">
        <v>21</v>
      </c>
      <c r="B113" s="58" t="s">
        <v>220</v>
      </c>
      <c r="C113" s="206"/>
      <c r="D113" s="206"/>
      <c r="E113" s="333"/>
      <c r="F113" s="333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7"/>
      <c r="V113" s="2"/>
      <c r="W113" s="2"/>
      <c r="X113" s="2"/>
      <c r="Y113" s="2"/>
      <c r="Z113" s="2"/>
      <c r="AA113" s="2"/>
    </row>
    <row r="114" spans="1:27" ht="15.75" customHeight="1">
      <c r="A114" s="200">
        <v>21</v>
      </c>
      <c r="B114" s="59" t="s">
        <v>221</v>
      </c>
      <c r="C114" s="2"/>
      <c r="D114" s="2"/>
      <c r="E114" s="75"/>
      <c r="F114" s="7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08"/>
      <c r="V114" s="2"/>
    </row>
    <row r="115" spans="1:27" ht="15.75" customHeight="1">
      <c r="A115" s="200">
        <v>21</v>
      </c>
      <c r="B115" s="59" t="s">
        <v>222</v>
      </c>
      <c r="C115" s="2"/>
      <c r="D115" s="2"/>
      <c r="E115" s="75"/>
      <c r="F115" s="7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08"/>
      <c r="V115" s="2"/>
    </row>
    <row r="116" spans="1:27" ht="15.75" customHeight="1">
      <c r="A116" s="200">
        <v>21</v>
      </c>
      <c r="B116" s="59" t="s">
        <v>223</v>
      </c>
      <c r="C116" s="2"/>
      <c r="D116" s="2"/>
      <c r="E116" s="75"/>
      <c r="F116" s="7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08"/>
      <c r="V116" s="2"/>
    </row>
    <row r="117" spans="1:27" ht="15.75" customHeight="1">
      <c r="A117" s="200">
        <v>21</v>
      </c>
      <c r="B117" s="59" t="s">
        <v>228</v>
      </c>
      <c r="C117" s="2"/>
      <c r="D117" s="2"/>
      <c r="E117" s="75"/>
      <c r="F117" s="7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08"/>
      <c r="V117" s="2"/>
    </row>
    <row r="118" spans="1:27" ht="15.75" customHeight="1">
      <c r="A118" s="200">
        <v>21</v>
      </c>
      <c r="B118" s="59" t="s">
        <v>242</v>
      </c>
      <c r="C118" s="2"/>
      <c r="D118" s="2"/>
      <c r="E118" s="75"/>
      <c r="F118" s="7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08"/>
      <c r="V118" s="2"/>
    </row>
    <row r="119" spans="1:27" ht="15.75" customHeight="1">
      <c r="A119" s="200">
        <v>21</v>
      </c>
      <c r="B119" s="59" t="s">
        <v>243</v>
      </c>
      <c r="C119" s="2"/>
      <c r="D119" s="2"/>
      <c r="E119" s="75"/>
      <c r="F119" s="7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08"/>
      <c r="V119" s="2"/>
    </row>
    <row r="120" spans="1:27" ht="15.75" customHeight="1">
      <c r="A120" s="200">
        <v>21</v>
      </c>
      <c r="B120" s="59" t="s">
        <v>244</v>
      </c>
      <c r="C120" s="2"/>
      <c r="D120" s="2"/>
      <c r="E120" s="75"/>
      <c r="F120" s="7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08"/>
      <c r="V120" s="2"/>
    </row>
    <row r="121" spans="1:27" ht="15.75" customHeight="1">
      <c r="A121" s="201">
        <v>21</v>
      </c>
      <c r="B121" s="58" t="s">
        <v>224</v>
      </c>
      <c r="C121" s="2">
        <v>0.98</v>
      </c>
      <c r="D121" s="2">
        <v>1.32</v>
      </c>
      <c r="E121" s="2">
        <v>1.79</v>
      </c>
      <c r="F121" s="2">
        <v>2.44</v>
      </c>
      <c r="G121" s="2">
        <v>3.32</v>
      </c>
      <c r="H121" s="2">
        <v>4.42</v>
      </c>
      <c r="I121" s="2">
        <v>6.27</v>
      </c>
      <c r="J121" s="2">
        <v>8.36</v>
      </c>
      <c r="K121" s="2">
        <v>11.49</v>
      </c>
      <c r="L121" s="2">
        <v>15.31</v>
      </c>
      <c r="M121" s="2">
        <v>21.25</v>
      </c>
      <c r="N121" s="2">
        <v>28.32</v>
      </c>
      <c r="O121" s="2">
        <v>38.130000000000003</v>
      </c>
      <c r="P121" s="2">
        <v>52.41</v>
      </c>
      <c r="Q121" s="2">
        <v>70.56</v>
      </c>
      <c r="R121" s="2">
        <v>95</v>
      </c>
      <c r="S121" s="2">
        <v>130.56</v>
      </c>
      <c r="T121" s="2">
        <v>181.28</v>
      </c>
      <c r="U121" s="208">
        <v>249</v>
      </c>
      <c r="V121" s="2"/>
    </row>
    <row r="122" spans="1:27" ht="15.75" customHeight="1">
      <c r="A122" s="200">
        <v>21</v>
      </c>
      <c r="B122" s="59" t="s">
        <v>225</v>
      </c>
      <c r="C122" s="2">
        <v>0.98</v>
      </c>
      <c r="D122" s="2">
        <v>1.32</v>
      </c>
      <c r="E122" s="2">
        <v>1.79</v>
      </c>
      <c r="F122" s="2">
        <v>2.44</v>
      </c>
      <c r="G122" s="2">
        <v>3.32</v>
      </c>
      <c r="H122" s="2">
        <v>4.42</v>
      </c>
      <c r="I122" s="2">
        <v>6.27</v>
      </c>
      <c r="J122" s="2">
        <v>8.36</v>
      </c>
      <c r="K122" s="2">
        <v>11.49</v>
      </c>
      <c r="L122" s="2">
        <v>15.31</v>
      </c>
      <c r="M122" s="2">
        <v>21.25</v>
      </c>
      <c r="N122" s="2">
        <v>28.32</v>
      </c>
      <c r="O122" s="2">
        <v>38.130000000000003</v>
      </c>
      <c r="P122" s="2">
        <v>52.41</v>
      </c>
      <c r="Q122" s="2">
        <v>70.56</v>
      </c>
      <c r="R122" s="2">
        <v>95</v>
      </c>
      <c r="S122" s="2">
        <v>130.56</v>
      </c>
      <c r="T122" s="2">
        <v>181.28</v>
      </c>
      <c r="U122" s="208">
        <v>249</v>
      </c>
      <c r="V122" s="2"/>
    </row>
    <row r="123" spans="1:27" ht="15.75" customHeight="1">
      <c r="A123" s="200">
        <v>21</v>
      </c>
      <c r="B123" s="59" t="s">
        <v>226</v>
      </c>
      <c r="C123" s="2">
        <v>0.98</v>
      </c>
      <c r="D123" s="2">
        <v>1.32</v>
      </c>
      <c r="E123" s="2">
        <v>1.79</v>
      </c>
      <c r="F123" s="2">
        <v>2.44</v>
      </c>
      <c r="G123" s="2">
        <v>3.32</v>
      </c>
      <c r="H123" s="2">
        <v>4.42</v>
      </c>
      <c r="I123" s="2">
        <v>6.27</v>
      </c>
      <c r="J123" s="2">
        <v>8.36</v>
      </c>
      <c r="K123" s="2">
        <v>11.49</v>
      </c>
      <c r="L123" s="2">
        <v>15.31</v>
      </c>
      <c r="M123" s="2">
        <v>21.25</v>
      </c>
      <c r="N123" s="2">
        <v>28.32</v>
      </c>
      <c r="O123" s="2">
        <v>38.130000000000003</v>
      </c>
      <c r="P123" s="2">
        <v>52.41</v>
      </c>
      <c r="Q123" s="2">
        <v>70.56</v>
      </c>
      <c r="R123" s="2">
        <v>95</v>
      </c>
      <c r="S123" s="2">
        <v>130.56</v>
      </c>
      <c r="T123" s="2">
        <v>181.28</v>
      </c>
      <c r="U123" s="208">
        <v>249</v>
      </c>
      <c r="V123" s="2"/>
    </row>
    <row r="124" spans="1:27" ht="15.75" customHeight="1">
      <c r="A124" s="200">
        <v>21</v>
      </c>
      <c r="B124" s="59" t="s">
        <v>227</v>
      </c>
      <c r="C124" s="2">
        <v>0.98</v>
      </c>
      <c r="D124" s="2">
        <v>1.32</v>
      </c>
      <c r="E124" s="2">
        <v>1.79</v>
      </c>
      <c r="F124" s="2">
        <v>2.44</v>
      </c>
      <c r="G124" s="2">
        <v>3.32</v>
      </c>
      <c r="H124" s="2">
        <v>4.42</v>
      </c>
      <c r="I124" s="2">
        <v>6.27</v>
      </c>
      <c r="J124" s="2">
        <v>8.36</v>
      </c>
      <c r="K124" s="2">
        <v>11.49</v>
      </c>
      <c r="L124" s="2">
        <v>15.31</v>
      </c>
      <c r="M124" s="2">
        <v>21.25</v>
      </c>
      <c r="N124" s="2">
        <v>28.32</v>
      </c>
      <c r="O124" s="2">
        <v>38.130000000000003</v>
      </c>
      <c r="P124" s="2">
        <v>52.41</v>
      </c>
      <c r="Q124" s="2">
        <v>70.56</v>
      </c>
      <c r="R124" s="2">
        <v>95</v>
      </c>
      <c r="S124" s="2">
        <v>130.56</v>
      </c>
      <c r="T124" s="2">
        <v>181.28</v>
      </c>
      <c r="U124" s="208">
        <v>249</v>
      </c>
      <c r="V124" s="2"/>
    </row>
    <row r="125" spans="1:27" ht="15.75" customHeight="1">
      <c r="A125" s="200">
        <v>21</v>
      </c>
      <c r="B125" s="59" t="s">
        <v>229</v>
      </c>
      <c r="C125" s="2">
        <v>0.98</v>
      </c>
      <c r="D125" s="2">
        <v>1.32</v>
      </c>
      <c r="E125" s="2">
        <v>1.79</v>
      </c>
      <c r="F125" s="2">
        <v>2.44</v>
      </c>
      <c r="G125" s="2">
        <v>3.32</v>
      </c>
      <c r="H125" s="2">
        <v>4.42</v>
      </c>
      <c r="I125" s="2">
        <v>6.27</v>
      </c>
      <c r="J125" s="2">
        <v>8.36</v>
      </c>
      <c r="K125" s="2">
        <v>11.49</v>
      </c>
      <c r="L125" s="2">
        <v>15.31</v>
      </c>
      <c r="M125" s="2">
        <v>21.25</v>
      </c>
      <c r="N125" s="2">
        <v>28.32</v>
      </c>
      <c r="O125" s="2">
        <v>38.130000000000003</v>
      </c>
      <c r="P125" s="2">
        <v>52.41</v>
      </c>
      <c r="Q125" s="2">
        <v>70.56</v>
      </c>
      <c r="R125" s="2">
        <v>95</v>
      </c>
      <c r="S125" s="2">
        <v>130.56</v>
      </c>
      <c r="T125" s="2">
        <v>181.28</v>
      </c>
      <c r="U125" s="208">
        <v>249</v>
      </c>
      <c r="V125" s="2"/>
    </row>
    <row r="126" spans="1:27" ht="15.75" customHeight="1">
      <c r="A126" s="200">
        <v>21</v>
      </c>
      <c r="B126" s="59" t="s">
        <v>245</v>
      </c>
      <c r="C126" s="2">
        <v>0.98</v>
      </c>
      <c r="D126" s="2">
        <v>1.32</v>
      </c>
      <c r="E126" s="2">
        <v>1.79</v>
      </c>
      <c r="F126" s="2">
        <v>2.44</v>
      </c>
      <c r="G126" s="2">
        <v>3.32</v>
      </c>
      <c r="H126" s="2">
        <v>4.42</v>
      </c>
      <c r="I126" s="2">
        <v>6.27</v>
      </c>
      <c r="J126" s="2">
        <v>8.36</v>
      </c>
      <c r="K126" s="2">
        <v>11.49</v>
      </c>
      <c r="L126" s="2">
        <v>15.31</v>
      </c>
      <c r="M126" s="2">
        <v>21.25</v>
      </c>
      <c r="N126" s="2">
        <v>28.32</v>
      </c>
      <c r="O126" s="2">
        <v>38.130000000000003</v>
      </c>
      <c r="P126" s="2">
        <v>52.41</v>
      </c>
      <c r="Q126" s="2">
        <v>70.56</v>
      </c>
      <c r="R126" s="2">
        <v>95</v>
      </c>
      <c r="S126" s="2">
        <v>130.56</v>
      </c>
      <c r="T126" s="2">
        <v>181.28</v>
      </c>
      <c r="U126" s="208">
        <v>249</v>
      </c>
      <c r="V126" s="2"/>
    </row>
    <row r="127" spans="1:27" ht="15.75" customHeight="1">
      <c r="A127" s="200">
        <v>21</v>
      </c>
      <c r="B127" s="59" t="s">
        <v>246</v>
      </c>
      <c r="C127" s="2">
        <v>0.98</v>
      </c>
      <c r="D127" s="2">
        <v>1.32</v>
      </c>
      <c r="E127" s="2">
        <v>1.79</v>
      </c>
      <c r="F127" s="2">
        <v>2.44</v>
      </c>
      <c r="G127" s="2">
        <v>3.32</v>
      </c>
      <c r="H127" s="2">
        <v>4.42</v>
      </c>
      <c r="I127" s="2">
        <v>6.27</v>
      </c>
      <c r="J127" s="2">
        <v>8.36</v>
      </c>
      <c r="K127" s="2">
        <v>11.49</v>
      </c>
      <c r="L127" s="2">
        <v>15.31</v>
      </c>
      <c r="M127" s="2">
        <v>21.25</v>
      </c>
      <c r="N127" s="2">
        <v>28.32</v>
      </c>
      <c r="O127" s="2">
        <v>38.130000000000003</v>
      </c>
      <c r="P127" s="2">
        <v>52.41</v>
      </c>
      <c r="Q127" s="2">
        <v>70.56</v>
      </c>
      <c r="R127" s="2">
        <v>95</v>
      </c>
      <c r="S127" s="2">
        <v>130.56</v>
      </c>
      <c r="T127" s="2">
        <v>181.28</v>
      </c>
      <c r="U127" s="208">
        <v>249</v>
      </c>
      <c r="V127" s="2"/>
    </row>
    <row r="128" spans="1:27" ht="15.75" customHeight="1">
      <c r="A128" s="202">
        <v>21</v>
      </c>
      <c r="B128" s="203" t="s">
        <v>247</v>
      </c>
      <c r="C128" s="30">
        <v>0.98</v>
      </c>
      <c r="D128" s="30">
        <v>1.32</v>
      </c>
      <c r="E128" s="30">
        <v>1.79</v>
      </c>
      <c r="F128" s="30">
        <v>2.44</v>
      </c>
      <c r="G128" s="30">
        <v>3.32</v>
      </c>
      <c r="H128" s="30">
        <v>4.42</v>
      </c>
      <c r="I128" s="30">
        <v>6.27</v>
      </c>
      <c r="J128" s="30">
        <v>8.36</v>
      </c>
      <c r="K128" s="30">
        <v>11.49</v>
      </c>
      <c r="L128" s="30">
        <v>15.31</v>
      </c>
      <c r="M128" s="30">
        <v>21.25</v>
      </c>
      <c r="N128" s="30">
        <v>28.32</v>
      </c>
      <c r="O128" s="30">
        <v>38.130000000000003</v>
      </c>
      <c r="P128" s="30">
        <v>52.41</v>
      </c>
      <c r="Q128" s="30">
        <v>70.56</v>
      </c>
      <c r="R128" s="30">
        <v>95</v>
      </c>
      <c r="S128" s="30">
        <v>130.56</v>
      </c>
      <c r="T128" s="30">
        <v>181.28</v>
      </c>
      <c r="U128" s="209">
        <v>249</v>
      </c>
      <c r="V128" s="2"/>
    </row>
    <row r="129" spans="1:37" ht="15.75" customHeight="1">
      <c r="A129" s="200">
        <v>22</v>
      </c>
      <c r="B129" s="59">
        <v>1</v>
      </c>
      <c r="C129" s="2">
        <v>0.1</v>
      </c>
      <c r="D129" s="2">
        <v>0.14000000000000001</v>
      </c>
      <c r="E129" s="2">
        <v>0.21</v>
      </c>
      <c r="F129" s="2">
        <v>0.3</v>
      </c>
      <c r="G129" s="2">
        <v>0.45</v>
      </c>
      <c r="H129" s="2">
        <v>0.61</v>
      </c>
      <c r="I129" s="2">
        <v>0.87</v>
      </c>
      <c r="J129" s="2">
        <v>1.29</v>
      </c>
      <c r="K129" s="2">
        <v>1.85</v>
      </c>
      <c r="L129" s="2">
        <v>2.62</v>
      </c>
      <c r="M129" s="2">
        <v>3.78</v>
      </c>
      <c r="N129" s="2">
        <v>5.28</v>
      </c>
      <c r="O129" s="2">
        <v>7.7</v>
      </c>
      <c r="P129" s="2">
        <v>11.1</v>
      </c>
      <c r="Q129" s="2">
        <v>16.18</v>
      </c>
      <c r="R129" s="2">
        <v>22.86</v>
      </c>
      <c r="S129" s="2">
        <v>34.75</v>
      </c>
      <c r="T129" s="2">
        <v>49.6</v>
      </c>
      <c r="U129" s="2">
        <v>70.790000000000006</v>
      </c>
      <c r="V129" s="207">
        <v>98.96</v>
      </c>
      <c r="W129" s="2"/>
    </row>
    <row r="130" spans="1:37" ht="15.75" customHeight="1">
      <c r="A130" s="200">
        <v>22</v>
      </c>
      <c r="B130" s="59">
        <v>2</v>
      </c>
      <c r="C130" s="2">
        <v>0.1</v>
      </c>
      <c r="D130" s="2">
        <v>0.14000000000000001</v>
      </c>
      <c r="E130" s="2">
        <v>0.21</v>
      </c>
      <c r="F130" s="2">
        <v>0.3</v>
      </c>
      <c r="G130" s="2">
        <v>0.45</v>
      </c>
      <c r="H130" s="2">
        <v>0.61</v>
      </c>
      <c r="I130" s="2">
        <v>0.87</v>
      </c>
      <c r="J130" s="2">
        <v>1.29</v>
      </c>
      <c r="K130" s="2">
        <v>1.85</v>
      </c>
      <c r="L130" s="2">
        <v>2.62</v>
      </c>
      <c r="M130" s="2">
        <v>3.78</v>
      </c>
      <c r="N130" s="2">
        <v>5.28</v>
      </c>
      <c r="O130" s="2">
        <v>7.7</v>
      </c>
      <c r="P130" s="2">
        <v>11.1</v>
      </c>
      <c r="Q130" s="2">
        <v>16.18</v>
      </c>
      <c r="R130" s="2">
        <v>22.86</v>
      </c>
      <c r="S130" s="2">
        <v>34.75</v>
      </c>
      <c r="T130" s="2">
        <v>49.6</v>
      </c>
      <c r="U130" s="2">
        <v>70.790000000000006</v>
      </c>
      <c r="V130" s="208">
        <v>98.96</v>
      </c>
      <c r="W130" s="2"/>
    </row>
    <row r="131" spans="1:37" ht="15.75" customHeight="1">
      <c r="A131" s="200">
        <v>22</v>
      </c>
      <c r="B131" s="59">
        <v>3</v>
      </c>
      <c r="C131" s="2">
        <v>0.1</v>
      </c>
      <c r="D131" s="2">
        <v>0.14000000000000001</v>
      </c>
      <c r="E131" s="2">
        <v>0.21</v>
      </c>
      <c r="F131" s="2">
        <v>0.3</v>
      </c>
      <c r="G131" s="2">
        <v>0.45</v>
      </c>
      <c r="H131" s="2">
        <v>0.61</v>
      </c>
      <c r="I131" s="2">
        <v>0.87</v>
      </c>
      <c r="J131" s="2">
        <v>1.29</v>
      </c>
      <c r="K131" s="2">
        <v>1.85</v>
      </c>
      <c r="L131" s="2">
        <v>2.62</v>
      </c>
      <c r="M131" s="2">
        <v>3.78</v>
      </c>
      <c r="N131" s="2">
        <v>5.28</v>
      </c>
      <c r="O131" s="2">
        <v>7.7</v>
      </c>
      <c r="P131" s="2">
        <v>11.1</v>
      </c>
      <c r="Q131" s="2">
        <v>16.18</v>
      </c>
      <c r="R131" s="2">
        <v>22.86</v>
      </c>
      <c r="S131" s="2">
        <v>34.75</v>
      </c>
      <c r="T131" s="2">
        <v>49.6</v>
      </c>
      <c r="U131" s="2">
        <v>70.790000000000006</v>
      </c>
      <c r="V131" s="208">
        <v>98.96</v>
      </c>
      <c r="W131" s="2"/>
    </row>
    <row r="132" spans="1:37" ht="15.75" customHeight="1">
      <c r="A132" s="200">
        <v>22</v>
      </c>
      <c r="B132" s="59">
        <v>4</v>
      </c>
      <c r="C132" s="2">
        <v>0.1</v>
      </c>
      <c r="D132" s="2">
        <v>0.14000000000000001</v>
      </c>
      <c r="E132" s="2">
        <v>0.21</v>
      </c>
      <c r="F132" s="2">
        <v>0.3</v>
      </c>
      <c r="G132" s="2">
        <v>0.45</v>
      </c>
      <c r="H132" s="2">
        <v>0.61</v>
      </c>
      <c r="I132" s="2">
        <v>0.87</v>
      </c>
      <c r="J132" s="2">
        <v>1.29</v>
      </c>
      <c r="K132" s="2">
        <v>1.85</v>
      </c>
      <c r="L132" s="2">
        <v>2.62</v>
      </c>
      <c r="M132" s="2">
        <v>3.78</v>
      </c>
      <c r="N132" s="2">
        <v>5.28</v>
      </c>
      <c r="O132" s="2">
        <v>7.7</v>
      </c>
      <c r="P132" s="2">
        <v>11.1</v>
      </c>
      <c r="Q132" s="2">
        <v>16.18</v>
      </c>
      <c r="R132" s="2">
        <v>22.86</v>
      </c>
      <c r="S132" s="2">
        <v>34.75</v>
      </c>
      <c r="T132" s="2">
        <v>49.6</v>
      </c>
      <c r="U132" s="2">
        <v>70.790000000000006</v>
      </c>
      <c r="V132" s="208">
        <v>98.96</v>
      </c>
      <c r="W132" s="2"/>
    </row>
    <row r="133" spans="1:37" ht="15.75" customHeight="1">
      <c r="A133" s="200">
        <v>22</v>
      </c>
      <c r="B133" s="59">
        <v>5</v>
      </c>
      <c r="C133" s="2">
        <v>0.1</v>
      </c>
      <c r="D133" s="2">
        <v>0.14000000000000001</v>
      </c>
      <c r="E133" s="2">
        <v>0.21</v>
      </c>
      <c r="F133" s="2">
        <v>0.3</v>
      </c>
      <c r="G133" s="2">
        <v>0.45</v>
      </c>
      <c r="H133" s="2">
        <v>0.61</v>
      </c>
      <c r="I133" s="2">
        <v>0.87</v>
      </c>
      <c r="J133" s="2">
        <v>1.29</v>
      </c>
      <c r="K133" s="2">
        <v>1.85</v>
      </c>
      <c r="L133" s="2">
        <v>2.62</v>
      </c>
      <c r="M133" s="2">
        <v>3.78</v>
      </c>
      <c r="N133" s="2">
        <v>5.28</v>
      </c>
      <c r="O133" s="2">
        <v>7.7</v>
      </c>
      <c r="P133" s="2">
        <v>11.1</v>
      </c>
      <c r="Q133" s="2">
        <v>16.18</v>
      </c>
      <c r="R133" s="2">
        <v>22.86</v>
      </c>
      <c r="S133" s="2">
        <v>34.75</v>
      </c>
      <c r="T133" s="2">
        <v>49.6</v>
      </c>
      <c r="U133" s="2">
        <v>70.790000000000006</v>
      </c>
      <c r="V133" s="208">
        <v>98.96</v>
      </c>
      <c r="W133" s="2"/>
    </row>
    <row r="134" spans="1:37" ht="15.75" customHeight="1">
      <c r="A134" s="200">
        <v>22</v>
      </c>
      <c r="B134" s="59">
        <v>6</v>
      </c>
      <c r="C134" s="2">
        <v>0.1</v>
      </c>
      <c r="D134" s="2">
        <v>0.14000000000000001</v>
      </c>
      <c r="E134" s="2">
        <v>0.21</v>
      </c>
      <c r="F134" s="2">
        <v>0.3</v>
      </c>
      <c r="G134" s="2">
        <v>0.45</v>
      </c>
      <c r="H134" s="2">
        <v>0.61</v>
      </c>
      <c r="I134" s="2">
        <v>0.87</v>
      </c>
      <c r="J134" s="2">
        <v>1.29</v>
      </c>
      <c r="K134" s="2">
        <v>1.85</v>
      </c>
      <c r="L134" s="2">
        <v>2.62</v>
      </c>
      <c r="M134" s="2">
        <v>3.78</v>
      </c>
      <c r="N134" s="2">
        <v>5.28</v>
      </c>
      <c r="O134" s="2">
        <v>7.7</v>
      </c>
      <c r="P134" s="2">
        <v>11.1</v>
      </c>
      <c r="Q134" s="2">
        <v>16.18</v>
      </c>
      <c r="R134" s="2">
        <v>22.86</v>
      </c>
      <c r="S134" s="2">
        <v>34.75</v>
      </c>
      <c r="T134" s="2">
        <v>49.6</v>
      </c>
      <c r="U134" s="2">
        <v>70.790000000000006</v>
      </c>
      <c r="V134" s="208">
        <v>98.96</v>
      </c>
      <c r="W134" s="2"/>
    </row>
    <row r="135" spans="1:37" ht="15.75" customHeight="1">
      <c r="A135" s="200">
        <v>22</v>
      </c>
      <c r="B135" s="59">
        <v>7</v>
      </c>
      <c r="C135" s="2">
        <v>0.1</v>
      </c>
      <c r="D135" s="2">
        <v>0.14000000000000001</v>
      </c>
      <c r="E135" s="2">
        <v>0.21</v>
      </c>
      <c r="F135" s="2">
        <v>0.3</v>
      </c>
      <c r="G135" s="2">
        <v>0.45</v>
      </c>
      <c r="H135" s="2">
        <v>0.61</v>
      </c>
      <c r="I135" s="2">
        <v>0.87</v>
      </c>
      <c r="J135" s="2">
        <v>1.29</v>
      </c>
      <c r="K135" s="2">
        <v>1.85</v>
      </c>
      <c r="L135" s="2">
        <v>2.62</v>
      </c>
      <c r="M135" s="2">
        <v>3.78</v>
      </c>
      <c r="N135" s="2">
        <v>5.28</v>
      </c>
      <c r="O135" s="2">
        <v>7.7</v>
      </c>
      <c r="P135" s="2">
        <v>11.1</v>
      </c>
      <c r="Q135" s="2">
        <v>16.18</v>
      </c>
      <c r="R135" s="2">
        <v>22.86</v>
      </c>
      <c r="S135" s="2">
        <v>34.75</v>
      </c>
      <c r="T135" s="2">
        <v>49.6</v>
      </c>
      <c r="U135" s="2">
        <v>70.790000000000006</v>
      </c>
      <c r="V135" s="208">
        <v>98.96</v>
      </c>
      <c r="W135" s="2"/>
    </row>
    <row r="136" spans="1:37" ht="15.75" customHeight="1">
      <c r="A136" s="202">
        <v>22</v>
      </c>
      <c r="B136" s="203">
        <v>8</v>
      </c>
      <c r="C136" s="30">
        <v>0.1</v>
      </c>
      <c r="D136" s="30">
        <v>0.14000000000000001</v>
      </c>
      <c r="E136" s="30">
        <v>0.21</v>
      </c>
      <c r="F136" s="30">
        <v>0.3</v>
      </c>
      <c r="G136" s="30">
        <v>0.45</v>
      </c>
      <c r="H136" s="30">
        <v>0.61</v>
      </c>
      <c r="I136" s="30">
        <v>0.87</v>
      </c>
      <c r="J136" s="30">
        <v>1.29</v>
      </c>
      <c r="K136" s="30">
        <v>1.85</v>
      </c>
      <c r="L136" s="30">
        <v>2.62</v>
      </c>
      <c r="M136" s="30">
        <v>3.78</v>
      </c>
      <c r="N136" s="30">
        <v>5.28</v>
      </c>
      <c r="O136" s="30">
        <v>7.7</v>
      </c>
      <c r="P136" s="30">
        <v>11.1</v>
      </c>
      <c r="Q136" s="30">
        <v>16.18</v>
      </c>
      <c r="R136" s="30">
        <v>22.86</v>
      </c>
      <c r="S136" s="30">
        <v>34.75</v>
      </c>
      <c r="T136" s="30">
        <v>49.6</v>
      </c>
      <c r="U136" s="30">
        <v>70.790000000000006</v>
      </c>
      <c r="V136" s="209">
        <v>98.96</v>
      </c>
      <c r="W136" s="2"/>
    </row>
    <row r="137" spans="1:37" ht="15.75" customHeight="1">
      <c r="A137" s="200">
        <v>23</v>
      </c>
      <c r="B137" s="59">
        <v>1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37" ht="15.75" customHeight="1">
      <c r="A138" s="200">
        <v>23</v>
      </c>
      <c r="B138" s="59">
        <v>2</v>
      </c>
    </row>
    <row r="139" spans="1:37" ht="15.75" customHeight="1">
      <c r="A139" s="200">
        <v>23</v>
      </c>
      <c r="B139" s="59">
        <v>3</v>
      </c>
    </row>
    <row r="140" spans="1:37" ht="15.75" customHeight="1">
      <c r="A140" s="200">
        <v>23</v>
      </c>
      <c r="B140" s="59">
        <v>4</v>
      </c>
    </row>
    <row r="141" spans="1:37" ht="15.75" customHeight="1">
      <c r="A141" s="200">
        <v>23</v>
      </c>
      <c r="B141" s="59">
        <v>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7" ht="15.75" customHeight="1">
      <c r="A142" s="266">
        <v>24</v>
      </c>
      <c r="B142" s="267">
        <v>1</v>
      </c>
      <c r="C142" s="206">
        <v>0.1</v>
      </c>
      <c r="D142" s="206">
        <v>0.12</v>
      </c>
      <c r="E142" s="206">
        <v>0.15</v>
      </c>
      <c r="F142" s="206">
        <v>0.19</v>
      </c>
      <c r="G142" s="206">
        <v>0.23</v>
      </c>
      <c r="H142" s="206">
        <v>0.28000000000000003</v>
      </c>
      <c r="I142" s="206">
        <v>0.35</v>
      </c>
      <c r="J142" s="206">
        <v>0.43</v>
      </c>
      <c r="K142" s="206">
        <v>0.52</v>
      </c>
      <c r="L142" s="206">
        <v>0.67</v>
      </c>
      <c r="M142" s="206">
        <v>0.82</v>
      </c>
      <c r="N142" s="206">
        <v>1</v>
      </c>
      <c r="O142" s="206">
        <v>1.22</v>
      </c>
      <c r="P142" s="206">
        <v>1.53</v>
      </c>
      <c r="Q142" s="206">
        <v>1.87</v>
      </c>
      <c r="R142" s="206">
        <v>2.2799999999999998</v>
      </c>
      <c r="S142" s="206">
        <v>2.82</v>
      </c>
      <c r="T142" s="206">
        <v>3.55</v>
      </c>
      <c r="U142" s="206">
        <v>4.32</v>
      </c>
      <c r="V142" s="206">
        <v>5.27</v>
      </c>
      <c r="W142" s="206">
        <v>6.74</v>
      </c>
      <c r="X142" s="206">
        <v>8.2100000000000009</v>
      </c>
      <c r="Y142" s="206">
        <v>10.17</v>
      </c>
      <c r="Z142" s="206">
        <v>12.18</v>
      </c>
      <c r="AA142" s="206">
        <v>15.09</v>
      </c>
      <c r="AB142" s="206">
        <v>18.68</v>
      </c>
      <c r="AC142" s="206">
        <v>22.76</v>
      </c>
      <c r="AD142" s="206">
        <v>28.65</v>
      </c>
      <c r="AE142" s="206">
        <v>35.479999999999997</v>
      </c>
      <c r="AF142" s="206">
        <v>42.52</v>
      </c>
      <c r="AG142" s="206">
        <v>52.65</v>
      </c>
      <c r="AH142" s="206">
        <v>64.14</v>
      </c>
      <c r="AI142" s="206">
        <v>82.09</v>
      </c>
      <c r="AJ142" s="207">
        <v>96.76</v>
      </c>
      <c r="AK142" s="2"/>
    </row>
    <row r="143" spans="1:37" ht="15.75" customHeight="1">
      <c r="A143" s="210">
        <v>24</v>
      </c>
      <c r="B143" s="211">
        <v>2</v>
      </c>
      <c r="C143" s="2">
        <v>0.1</v>
      </c>
      <c r="D143" s="2">
        <v>0.12</v>
      </c>
      <c r="E143" s="2">
        <v>0.15</v>
      </c>
      <c r="F143" s="2">
        <v>0.19</v>
      </c>
      <c r="G143" s="2">
        <v>0.23</v>
      </c>
      <c r="H143" s="2">
        <v>0.28000000000000003</v>
      </c>
      <c r="I143" s="2">
        <v>0.35</v>
      </c>
      <c r="J143" s="2">
        <v>0.43</v>
      </c>
      <c r="K143" s="2">
        <v>0.52</v>
      </c>
      <c r="L143" s="2">
        <v>0.67</v>
      </c>
      <c r="M143" s="2">
        <v>0.82</v>
      </c>
      <c r="N143" s="2">
        <v>1</v>
      </c>
      <c r="O143" s="2">
        <v>1.22</v>
      </c>
      <c r="P143" s="2">
        <v>1.53</v>
      </c>
      <c r="Q143" s="2">
        <v>1.87</v>
      </c>
      <c r="R143" s="2">
        <v>2.2799999999999998</v>
      </c>
      <c r="S143" s="2">
        <v>2.82</v>
      </c>
      <c r="T143" s="2">
        <v>3.55</v>
      </c>
      <c r="U143" s="2">
        <v>4.32</v>
      </c>
      <c r="V143" s="2">
        <v>5.27</v>
      </c>
      <c r="W143" s="2">
        <v>6.74</v>
      </c>
      <c r="X143" s="2">
        <v>8.2100000000000009</v>
      </c>
      <c r="Y143" s="2">
        <v>10.17</v>
      </c>
      <c r="Z143" s="2">
        <v>12.18</v>
      </c>
      <c r="AA143" s="2">
        <v>15.09</v>
      </c>
      <c r="AB143" s="2">
        <v>18.68</v>
      </c>
      <c r="AC143" s="2">
        <v>22.76</v>
      </c>
      <c r="AD143" s="2">
        <v>28.65</v>
      </c>
      <c r="AE143" s="2">
        <v>35.479999999999997</v>
      </c>
      <c r="AF143" s="2">
        <v>42.52</v>
      </c>
      <c r="AG143" s="2">
        <v>52.65</v>
      </c>
      <c r="AH143" s="2">
        <v>64.14</v>
      </c>
      <c r="AI143" s="2">
        <v>82.09</v>
      </c>
      <c r="AJ143" s="208">
        <v>96.76</v>
      </c>
      <c r="AK143" s="2"/>
    </row>
    <row r="144" spans="1:37" ht="15.75" customHeight="1">
      <c r="A144" s="210">
        <v>24</v>
      </c>
      <c r="B144" s="211">
        <v>3</v>
      </c>
      <c r="C144" s="2">
        <v>0.1</v>
      </c>
      <c r="D144" s="2">
        <v>0.12</v>
      </c>
      <c r="E144" s="2">
        <v>0.15</v>
      </c>
      <c r="F144" s="2">
        <v>0.19</v>
      </c>
      <c r="G144" s="2">
        <v>0.23</v>
      </c>
      <c r="H144" s="2">
        <v>0.28000000000000003</v>
      </c>
      <c r="I144" s="2">
        <v>0.35</v>
      </c>
      <c r="J144" s="2">
        <v>0.43</v>
      </c>
      <c r="K144" s="2">
        <v>0.52</v>
      </c>
      <c r="L144" s="2">
        <v>0.67</v>
      </c>
      <c r="M144" s="2">
        <v>0.82</v>
      </c>
      <c r="N144" s="2">
        <v>1</v>
      </c>
      <c r="O144" s="2">
        <v>1.22</v>
      </c>
      <c r="P144" s="2">
        <v>1.53</v>
      </c>
      <c r="Q144" s="2">
        <v>1.87</v>
      </c>
      <c r="R144" s="2">
        <v>2.2799999999999998</v>
      </c>
      <c r="S144" s="2">
        <v>2.82</v>
      </c>
      <c r="T144" s="2">
        <v>3.55</v>
      </c>
      <c r="U144" s="2">
        <v>4.32</v>
      </c>
      <c r="V144" s="2">
        <v>5.27</v>
      </c>
      <c r="W144" s="2">
        <v>6.74</v>
      </c>
      <c r="X144" s="2">
        <v>8.2100000000000009</v>
      </c>
      <c r="Y144" s="2">
        <v>10.17</v>
      </c>
      <c r="Z144" s="2">
        <v>12.18</v>
      </c>
      <c r="AA144" s="2">
        <v>15.09</v>
      </c>
      <c r="AB144" s="2">
        <v>18.68</v>
      </c>
      <c r="AC144" s="2">
        <v>22.76</v>
      </c>
      <c r="AD144" s="2">
        <v>28.65</v>
      </c>
      <c r="AE144" s="2">
        <v>35.479999999999997</v>
      </c>
      <c r="AF144" s="2">
        <v>42.52</v>
      </c>
      <c r="AG144" s="2">
        <v>52.65</v>
      </c>
      <c r="AH144" s="2">
        <v>64.14</v>
      </c>
      <c r="AI144" s="2">
        <v>82.09</v>
      </c>
      <c r="AJ144" s="208">
        <v>96.76</v>
      </c>
      <c r="AK144" s="2"/>
    </row>
    <row r="145" spans="1:37" ht="15.75" customHeight="1">
      <c r="A145" s="210">
        <v>24</v>
      </c>
      <c r="B145" s="211">
        <v>4</v>
      </c>
      <c r="C145" s="2">
        <v>0.1</v>
      </c>
      <c r="D145" s="2">
        <v>0.12</v>
      </c>
      <c r="E145" s="2">
        <v>0.15</v>
      </c>
      <c r="F145" s="2">
        <v>0.19</v>
      </c>
      <c r="G145" s="2">
        <v>0.23</v>
      </c>
      <c r="H145" s="2">
        <v>0.28000000000000003</v>
      </c>
      <c r="I145" s="2">
        <v>0.35</v>
      </c>
      <c r="J145" s="2">
        <v>0.43</v>
      </c>
      <c r="K145" s="2">
        <v>0.52</v>
      </c>
      <c r="L145" s="2">
        <v>0.67</v>
      </c>
      <c r="M145" s="2">
        <v>0.82</v>
      </c>
      <c r="N145" s="2">
        <v>1</v>
      </c>
      <c r="O145" s="2">
        <v>1.22</v>
      </c>
      <c r="P145" s="2">
        <v>1.53</v>
      </c>
      <c r="Q145" s="2">
        <v>1.87</v>
      </c>
      <c r="R145" s="2">
        <v>2.2799999999999998</v>
      </c>
      <c r="S145" s="2">
        <v>2.82</v>
      </c>
      <c r="T145" s="2">
        <v>3.55</v>
      </c>
      <c r="U145" s="2">
        <v>4.32</v>
      </c>
      <c r="V145" s="2">
        <v>5.27</v>
      </c>
      <c r="W145" s="2">
        <v>6.74</v>
      </c>
      <c r="X145" s="2">
        <v>8.2100000000000009</v>
      </c>
      <c r="Y145" s="2">
        <v>10.17</v>
      </c>
      <c r="Z145" s="2">
        <v>12.18</v>
      </c>
      <c r="AA145" s="2">
        <v>15.09</v>
      </c>
      <c r="AB145" s="2">
        <v>18.68</v>
      </c>
      <c r="AC145" s="2">
        <v>22.76</v>
      </c>
      <c r="AD145" s="2">
        <v>28.65</v>
      </c>
      <c r="AE145" s="2">
        <v>35.479999999999997</v>
      </c>
      <c r="AF145" s="2">
        <v>42.52</v>
      </c>
      <c r="AG145" s="2">
        <v>52.65</v>
      </c>
      <c r="AH145" s="2">
        <v>64.14</v>
      </c>
      <c r="AI145" s="2">
        <v>82.09</v>
      </c>
      <c r="AJ145" s="208">
        <v>96.76</v>
      </c>
      <c r="AK145" s="2"/>
    </row>
    <row r="146" spans="1:37" ht="15.75" customHeight="1">
      <c r="A146" s="210">
        <v>24</v>
      </c>
      <c r="B146" s="211">
        <v>5</v>
      </c>
      <c r="C146" s="2">
        <v>0.1</v>
      </c>
      <c r="D146" s="2">
        <v>0.12</v>
      </c>
      <c r="E146" s="2">
        <v>0.15</v>
      </c>
      <c r="F146" s="2">
        <v>0.19</v>
      </c>
      <c r="G146" s="2">
        <v>0.23</v>
      </c>
      <c r="H146" s="2">
        <v>0.28000000000000003</v>
      </c>
      <c r="I146" s="2">
        <v>0.35</v>
      </c>
      <c r="J146" s="2">
        <v>0.43</v>
      </c>
      <c r="K146" s="2">
        <v>0.52</v>
      </c>
      <c r="L146" s="2">
        <v>0.67</v>
      </c>
      <c r="M146" s="2">
        <v>0.82</v>
      </c>
      <c r="N146" s="2">
        <v>1</v>
      </c>
      <c r="O146" s="2">
        <v>1.22</v>
      </c>
      <c r="P146" s="2">
        <v>1.53</v>
      </c>
      <c r="Q146" s="2">
        <v>1.87</v>
      </c>
      <c r="R146" s="2">
        <v>2.2799999999999998</v>
      </c>
      <c r="S146" s="2">
        <v>2.82</v>
      </c>
      <c r="T146" s="2">
        <v>3.55</v>
      </c>
      <c r="U146" s="2">
        <v>4.32</v>
      </c>
      <c r="V146" s="2">
        <v>5.27</v>
      </c>
      <c r="W146" s="2">
        <v>6.74</v>
      </c>
      <c r="X146" s="2">
        <v>8.2100000000000009</v>
      </c>
      <c r="Y146" s="2">
        <v>10.17</v>
      </c>
      <c r="Z146" s="2">
        <v>12.18</v>
      </c>
      <c r="AA146" s="2">
        <v>15.09</v>
      </c>
      <c r="AB146" s="2">
        <v>18.68</v>
      </c>
      <c r="AC146" s="2">
        <v>22.76</v>
      </c>
      <c r="AD146" s="2">
        <v>28.65</v>
      </c>
      <c r="AE146" s="2">
        <v>35.479999999999997</v>
      </c>
      <c r="AF146" s="2">
        <v>42.52</v>
      </c>
      <c r="AG146" s="2">
        <v>52.65</v>
      </c>
      <c r="AH146" s="2">
        <v>64.14</v>
      </c>
      <c r="AI146" s="2">
        <v>82.09</v>
      </c>
      <c r="AJ146" s="208">
        <v>96.76</v>
      </c>
      <c r="AK146" s="2"/>
    </row>
    <row r="147" spans="1:37" ht="15.75" customHeight="1">
      <c r="A147" s="210">
        <v>24</v>
      </c>
      <c r="B147" s="211">
        <v>6</v>
      </c>
      <c r="C147" s="2">
        <v>0.1</v>
      </c>
      <c r="D147" s="2">
        <v>0.12</v>
      </c>
      <c r="E147" s="2">
        <v>0.15</v>
      </c>
      <c r="F147" s="2">
        <v>0.19</v>
      </c>
      <c r="G147" s="2">
        <v>0.23</v>
      </c>
      <c r="H147" s="2">
        <v>0.28000000000000003</v>
      </c>
      <c r="I147" s="2">
        <v>0.35</v>
      </c>
      <c r="J147" s="2">
        <v>0.43</v>
      </c>
      <c r="K147" s="2">
        <v>0.52</v>
      </c>
      <c r="L147" s="2">
        <v>0.67</v>
      </c>
      <c r="M147" s="2">
        <v>0.82</v>
      </c>
      <c r="N147" s="2">
        <v>1</v>
      </c>
      <c r="O147" s="2">
        <v>1.22</v>
      </c>
      <c r="P147" s="2">
        <v>1.53</v>
      </c>
      <c r="Q147" s="2">
        <v>1.87</v>
      </c>
      <c r="R147" s="2">
        <v>2.2799999999999998</v>
      </c>
      <c r="S147" s="2">
        <v>2.82</v>
      </c>
      <c r="T147" s="2">
        <v>3.55</v>
      </c>
      <c r="U147" s="2">
        <v>4.32</v>
      </c>
      <c r="V147" s="2">
        <v>5.27</v>
      </c>
      <c r="W147" s="2">
        <v>6.74</v>
      </c>
      <c r="X147" s="2">
        <v>8.2100000000000009</v>
      </c>
      <c r="Y147" s="2">
        <v>10.17</v>
      </c>
      <c r="Z147" s="2">
        <v>12.18</v>
      </c>
      <c r="AA147" s="2">
        <v>15.09</v>
      </c>
      <c r="AB147" s="2">
        <v>18.68</v>
      </c>
      <c r="AC147" s="2">
        <v>22.76</v>
      </c>
      <c r="AD147" s="2">
        <v>28.65</v>
      </c>
      <c r="AE147" s="2">
        <v>35.479999999999997</v>
      </c>
      <c r="AF147" s="2">
        <v>42.52</v>
      </c>
      <c r="AG147" s="2">
        <v>52.65</v>
      </c>
      <c r="AH147" s="2">
        <v>64.14</v>
      </c>
      <c r="AI147" s="2">
        <v>82.09</v>
      </c>
      <c r="AJ147" s="208">
        <v>96.76</v>
      </c>
      <c r="AK147" s="2"/>
    </row>
    <row r="148" spans="1:37" ht="15.75" customHeight="1">
      <c r="A148" s="268">
        <v>24</v>
      </c>
      <c r="B148" s="269">
        <v>7</v>
      </c>
      <c r="C148" s="30">
        <v>0.1</v>
      </c>
      <c r="D148" s="30">
        <v>0.12</v>
      </c>
      <c r="E148" s="30">
        <v>0.15</v>
      </c>
      <c r="F148" s="30">
        <v>0.19</v>
      </c>
      <c r="G148" s="30">
        <v>0.23</v>
      </c>
      <c r="H148" s="30">
        <v>0.28000000000000003</v>
      </c>
      <c r="I148" s="30">
        <v>0.35</v>
      </c>
      <c r="J148" s="30">
        <v>0.43</v>
      </c>
      <c r="K148" s="30">
        <v>0.52</v>
      </c>
      <c r="L148" s="30">
        <v>0.67</v>
      </c>
      <c r="M148" s="30">
        <v>0.82</v>
      </c>
      <c r="N148" s="30">
        <v>1</v>
      </c>
      <c r="O148" s="30">
        <v>1.22</v>
      </c>
      <c r="P148" s="30">
        <v>1.53</v>
      </c>
      <c r="Q148" s="30">
        <v>1.87</v>
      </c>
      <c r="R148" s="30">
        <v>2.2799999999999998</v>
      </c>
      <c r="S148" s="30">
        <v>2.82</v>
      </c>
      <c r="T148" s="30">
        <v>3.55</v>
      </c>
      <c r="U148" s="30">
        <v>4.32</v>
      </c>
      <c r="V148" s="30">
        <v>5.27</v>
      </c>
      <c r="W148" s="30">
        <v>6.74</v>
      </c>
      <c r="X148" s="30">
        <v>8.2100000000000009</v>
      </c>
      <c r="Y148" s="30">
        <v>10.17</v>
      </c>
      <c r="Z148" s="30">
        <v>12.18</v>
      </c>
      <c r="AA148" s="30">
        <v>15.09</v>
      </c>
      <c r="AB148" s="30">
        <v>18.68</v>
      </c>
      <c r="AC148" s="30">
        <v>22.76</v>
      </c>
      <c r="AD148" s="30">
        <v>28.65</v>
      </c>
      <c r="AE148" s="30">
        <v>35.479999999999997</v>
      </c>
      <c r="AF148" s="30">
        <v>42.52</v>
      </c>
      <c r="AG148" s="30">
        <v>52.65</v>
      </c>
      <c r="AH148" s="30">
        <v>64.14</v>
      </c>
      <c r="AI148" s="30">
        <v>82.09</v>
      </c>
      <c r="AJ148" s="209">
        <v>96.76</v>
      </c>
      <c r="AK148" s="2"/>
    </row>
    <row r="149" spans="1:37" ht="15.75" customHeight="1">
      <c r="A149" s="200">
        <v>25</v>
      </c>
      <c r="B149" s="59">
        <v>1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7" ht="15.75" customHeight="1">
      <c r="A150" s="200">
        <v>25</v>
      </c>
      <c r="B150" s="59">
        <v>2</v>
      </c>
    </row>
    <row r="151" spans="1:37" ht="15.75" customHeight="1">
      <c r="A151" s="200">
        <v>25</v>
      </c>
      <c r="B151" s="59">
        <v>3</v>
      </c>
    </row>
    <row r="152" spans="1:37" ht="15.75" customHeight="1">
      <c r="A152" s="200">
        <v>25</v>
      </c>
      <c r="B152" s="59">
        <v>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37" ht="15.75" customHeight="1">
      <c r="A153" s="201">
        <v>26</v>
      </c>
      <c r="B153" s="178" t="s">
        <v>220</v>
      </c>
      <c r="C153" s="206">
        <v>0.10199999999999999</v>
      </c>
      <c r="D153" s="206">
        <v>0.14899999999999999</v>
      </c>
      <c r="E153" s="206">
        <v>0.219</v>
      </c>
      <c r="F153" s="206">
        <v>0.318</v>
      </c>
      <c r="G153" s="206">
        <v>0.46800000000000003</v>
      </c>
      <c r="H153" s="206">
        <v>0.68799999999999994</v>
      </c>
      <c r="I153" s="206">
        <v>1</v>
      </c>
      <c r="J153" s="206">
        <v>1.4710000000000001</v>
      </c>
      <c r="K153" s="206">
        <v>2.1120000000000001</v>
      </c>
      <c r="L153" s="206">
        <v>3.181</v>
      </c>
      <c r="M153" s="206">
        <v>4.6790000000000003</v>
      </c>
      <c r="N153" s="206">
        <v>6.7990000000000004</v>
      </c>
      <c r="O153" s="206">
        <v>10</v>
      </c>
      <c r="P153" s="206">
        <v>15.066000000000001</v>
      </c>
      <c r="Q153" s="206">
        <v>22.428000000000001</v>
      </c>
      <c r="R153" s="206">
        <v>31.433</v>
      </c>
      <c r="S153" s="206">
        <v>46.79</v>
      </c>
      <c r="T153" s="206">
        <v>67.992000000000004</v>
      </c>
      <c r="U153" s="207">
        <v>100</v>
      </c>
      <c r="V153" s="2"/>
    </row>
    <row r="154" spans="1:37" ht="15.75" customHeight="1">
      <c r="A154" s="200">
        <v>26</v>
      </c>
      <c r="B154" s="179" t="s">
        <v>221</v>
      </c>
      <c r="C154" s="2">
        <v>0.10199999999999999</v>
      </c>
      <c r="D154" s="2">
        <v>0.14899999999999999</v>
      </c>
      <c r="E154" s="2">
        <v>0.219</v>
      </c>
      <c r="F154" s="2">
        <v>0.318</v>
      </c>
      <c r="G154" s="2">
        <v>0.46800000000000003</v>
      </c>
      <c r="H154" s="2">
        <v>0.68799999999999994</v>
      </c>
      <c r="I154" s="2">
        <v>1</v>
      </c>
      <c r="J154" s="2">
        <v>1.4710000000000001</v>
      </c>
      <c r="K154" s="2">
        <v>2.1120000000000001</v>
      </c>
      <c r="L154" s="2">
        <v>3.181</v>
      </c>
      <c r="M154" s="2">
        <v>4.6790000000000003</v>
      </c>
      <c r="N154" s="2">
        <v>6.7990000000000004</v>
      </c>
      <c r="O154" s="2">
        <v>10</v>
      </c>
      <c r="P154" s="2">
        <v>15.066000000000001</v>
      </c>
      <c r="Q154" s="2">
        <v>22.428000000000001</v>
      </c>
      <c r="R154" s="2">
        <v>31.433</v>
      </c>
      <c r="S154" s="2">
        <v>46.79</v>
      </c>
      <c r="T154" s="2">
        <v>67.992000000000004</v>
      </c>
      <c r="U154" s="208">
        <v>100</v>
      </c>
      <c r="V154" s="2"/>
    </row>
    <row r="155" spans="1:37" ht="15.75" customHeight="1">
      <c r="A155" s="200">
        <v>26</v>
      </c>
      <c r="B155" s="179" t="s">
        <v>222</v>
      </c>
      <c r="C155" s="2">
        <v>0.10199999999999999</v>
      </c>
      <c r="D155" s="2">
        <v>0.14899999999999999</v>
      </c>
      <c r="E155" s="2">
        <v>0.219</v>
      </c>
      <c r="F155" s="2">
        <v>0.318</v>
      </c>
      <c r="G155" s="2">
        <v>0.46800000000000003</v>
      </c>
      <c r="H155" s="2">
        <v>0.68799999999999994</v>
      </c>
      <c r="I155" s="2">
        <v>1</v>
      </c>
      <c r="J155" s="2">
        <v>1.4710000000000001</v>
      </c>
      <c r="K155" s="2">
        <v>2.1120000000000001</v>
      </c>
      <c r="L155" s="2">
        <v>3.181</v>
      </c>
      <c r="M155" s="2">
        <v>4.6790000000000003</v>
      </c>
      <c r="N155" s="2">
        <v>6.7990000000000004</v>
      </c>
      <c r="O155" s="2">
        <v>10</v>
      </c>
      <c r="P155" s="2">
        <v>15.066000000000001</v>
      </c>
      <c r="Q155" s="2">
        <v>22.428000000000001</v>
      </c>
      <c r="R155" s="2">
        <v>31.433</v>
      </c>
      <c r="S155" s="2">
        <v>46.79</v>
      </c>
      <c r="T155" s="2">
        <v>67.992000000000004</v>
      </c>
      <c r="U155" s="208">
        <v>100</v>
      </c>
      <c r="V155" s="2"/>
    </row>
    <row r="156" spans="1:37" ht="15.75" customHeight="1">
      <c r="A156" s="200">
        <v>26</v>
      </c>
      <c r="B156" s="179" t="s">
        <v>223</v>
      </c>
      <c r="C156" s="2">
        <v>0.10199999999999999</v>
      </c>
      <c r="D156" s="2">
        <v>0.14899999999999999</v>
      </c>
      <c r="E156" s="2">
        <v>0.219</v>
      </c>
      <c r="F156" s="2">
        <v>0.318</v>
      </c>
      <c r="G156" s="2">
        <v>0.46800000000000003</v>
      </c>
      <c r="H156" s="2">
        <v>0.68799999999999994</v>
      </c>
      <c r="I156" s="2">
        <v>1</v>
      </c>
      <c r="J156" s="2">
        <v>1.4710000000000001</v>
      </c>
      <c r="K156" s="2">
        <v>2.1120000000000001</v>
      </c>
      <c r="L156" s="2">
        <v>3.181</v>
      </c>
      <c r="M156" s="2">
        <v>4.6790000000000003</v>
      </c>
      <c r="N156" s="2">
        <v>6.7990000000000004</v>
      </c>
      <c r="O156" s="2">
        <v>10</v>
      </c>
      <c r="P156" s="2">
        <v>15.066000000000001</v>
      </c>
      <c r="Q156" s="2">
        <v>22.428000000000001</v>
      </c>
      <c r="R156" s="2">
        <v>31.433</v>
      </c>
      <c r="S156" s="2">
        <v>46.79</v>
      </c>
      <c r="T156" s="2">
        <v>67.992000000000004</v>
      </c>
      <c r="U156" s="208">
        <v>100</v>
      </c>
      <c r="V156" s="2"/>
    </row>
    <row r="157" spans="1:37" ht="15.75" customHeight="1">
      <c r="A157" s="200">
        <v>26</v>
      </c>
      <c r="B157" s="179" t="s">
        <v>228</v>
      </c>
      <c r="C157" s="2">
        <v>0.10199999999999999</v>
      </c>
      <c r="D157" s="2">
        <v>0.14899999999999999</v>
      </c>
      <c r="E157" s="2">
        <v>0.219</v>
      </c>
      <c r="F157" s="2">
        <v>0.318</v>
      </c>
      <c r="G157" s="2">
        <v>0.46800000000000003</v>
      </c>
      <c r="H157" s="2">
        <v>0.68799999999999994</v>
      </c>
      <c r="I157" s="2">
        <v>1</v>
      </c>
      <c r="J157" s="2">
        <v>1.4710000000000001</v>
      </c>
      <c r="K157" s="2">
        <v>2.1120000000000001</v>
      </c>
      <c r="L157" s="2">
        <v>3.181</v>
      </c>
      <c r="M157" s="2">
        <v>4.6790000000000003</v>
      </c>
      <c r="N157" s="2">
        <v>6.7990000000000004</v>
      </c>
      <c r="O157" s="2">
        <v>10</v>
      </c>
      <c r="P157" s="2">
        <v>15.066000000000001</v>
      </c>
      <c r="Q157" s="2">
        <v>22.428000000000001</v>
      </c>
      <c r="R157" s="2">
        <v>31.433</v>
      </c>
      <c r="S157" s="2">
        <v>46.79</v>
      </c>
      <c r="T157" s="2">
        <v>67.992000000000004</v>
      </c>
      <c r="U157" s="208">
        <v>100</v>
      </c>
      <c r="V157" s="2"/>
    </row>
    <row r="158" spans="1:37" ht="15.75" customHeight="1">
      <c r="A158" s="200">
        <v>26</v>
      </c>
      <c r="B158" s="179" t="s">
        <v>224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08"/>
      <c r="V158" s="2"/>
    </row>
    <row r="159" spans="1:37" ht="15.75" customHeight="1">
      <c r="A159" s="200">
        <v>26</v>
      </c>
      <c r="B159" s="179" t="s">
        <v>225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08"/>
      <c r="V159" s="2"/>
    </row>
    <row r="160" spans="1:37" ht="15.75" customHeight="1">
      <c r="A160" s="200">
        <v>26</v>
      </c>
      <c r="B160" s="179" t="s">
        <v>226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08"/>
      <c r="V160" s="2"/>
    </row>
    <row r="161" spans="1:22" ht="15.75" customHeight="1">
      <c r="A161" s="200">
        <v>26</v>
      </c>
      <c r="B161" s="179" t="s">
        <v>227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08"/>
      <c r="V161" s="2"/>
    </row>
    <row r="162" spans="1:22" ht="15.75" customHeight="1">
      <c r="A162" s="202">
        <v>26</v>
      </c>
      <c r="B162" s="203" t="s">
        <v>229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209"/>
      <c r="V162" s="2"/>
    </row>
    <row r="163" spans="1:22" ht="15.75" customHeight="1">
      <c r="A163" s="177">
        <v>27</v>
      </c>
      <c r="B163" s="178">
        <v>1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2" ht="15.75" customHeight="1">
      <c r="A164" s="174">
        <v>27</v>
      </c>
      <c r="B164" s="179">
        <v>2</v>
      </c>
    </row>
    <row r="165" spans="1:22" ht="15.75" customHeight="1">
      <c r="A165" s="174">
        <v>27</v>
      </c>
      <c r="B165" s="179">
        <v>3</v>
      </c>
    </row>
    <row r="166" spans="1:22" ht="15.75" customHeight="1">
      <c r="A166" s="174">
        <v>27</v>
      </c>
      <c r="B166" s="179">
        <v>4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2" ht="15.75" customHeight="1">
      <c r="A167" s="201">
        <v>28</v>
      </c>
      <c r="B167" s="58">
        <v>1</v>
      </c>
      <c r="C167" s="206">
        <v>0.1</v>
      </c>
      <c r="D167" s="206">
        <v>0.15</v>
      </c>
      <c r="E167" s="206">
        <v>0.22</v>
      </c>
      <c r="F167" s="206">
        <v>0.32</v>
      </c>
      <c r="G167" s="206">
        <v>0.47</v>
      </c>
      <c r="H167" s="206">
        <v>0.71</v>
      </c>
      <c r="I167" s="206">
        <v>1.01</v>
      </c>
      <c r="J167" s="206">
        <v>1.53</v>
      </c>
      <c r="K167" s="206">
        <v>2.17</v>
      </c>
      <c r="L167" s="206">
        <v>3.24</v>
      </c>
      <c r="M167" s="206">
        <v>4.71</v>
      </c>
      <c r="N167" s="206">
        <v>6.95</v>
      </c>
      <c r="O167" s="206">
        <v>10.17</v>
      </c>
      <c r="P167" s="206">
        <v>14.89</v>
      </c>
      <c r="Q167" s="206">
        <v>21.95</v>
      </c>
      <c r="R167" s="206">
        <v>31.66</v>
      </c>
      <c r="S167" s="206">
        <v>48.42</v>
      </c>
      <c r="T167" s="206">
        <v>70.36</v>
      </c>
      <c r="U167" s="207">
        <v>99.27</v>
      </c>
      <c r="V167" s="2"/>
    </row>
    <row r="168" spans="1:22" ht="15.75" customHeight="1">
      <c r="A168" s="200">
        <v>28</v>
      </c>
      <c r="B168" s="59">
        <v>2</v>
      </c>
      <c r="C168" s="2">
        <v>0.1</v>
      </c>
      <c r="D168" s="2">
        <v>0.15</v>
      </c>
      <c r="E168" s="2">
        <v>0.22</v>
      </c>
      <c r="F168" s="2">
        <v>0.32</v>
      </c>
      <c r="G168" s="2">
        <v>0.47</v>
      </c>
      <c r="H168" s="2">
        <v>0.71</v>
      </c>
      <c r="I168" s="2">
        <v>1.01</v>
      </c>
      <c r="J168" s="2">
        <v>1.53</v>
      </c>
      <c r="K168" s="2">
        <v>2.17</v>
      </c>
      <c r="L168" s="2">
        <v>3.24</v>
      </c>
      <c r="M168" s="2">
        <v>4.71</v>
      </c>
      <c r="N168" s="2">
        <v>6.95</v>
      </c>
      <c r="O168" s="28">
        <v>10.17</v>
      </c>
      <c r="P168" s="2">
        <v>14.89</v>
      </c>
      <c r="Q168" s="2">
        <v>21.95</v>
      </c>
      <c r="R168" s="2">
        <v>31.66</v>
      </c>
      <c r="S168" s="2">
        <v>48.42</v>
      </c>
      <c r="T168" s="2">
        <v>70.36</v>
      </c>
      <c r="U168" s="208">
        <v>99.27</v>
      </c>
      <c r="V168" s="2"/>
    </row>
    <row r="169" spans="1:22" ht="15.75" customHeight="1">
      <c r="A169" s="200">
        <v>28</v>
      </c>
      <c r="B169" s="59">
        <v>3</v>
      </c>
      <c r="C169" s="2">
        <v>0.1</v>
      </c>
      <c r="D169" s="2">
        <v>0.15</v>
      </c>
      <c r="E169" s="2">
        <v>0.22</v>
      </c>
      <c r="F169" s="2">
        <v>0.32</v>
      </c>
      <c r="G169" s="2">
        <v>0.47</v>
      </c>
      <c r="H169" s="2">
        <v>0.71</v>
      </c>
      <c r="I169" s="2">
        <v>1.01</v>
      </c>
      <c r="J169" s="2">
        <v>1.53</v>
      </c>
      <c r="K169" s="2">
        <v>2.17</v>
      </c>
      <c r="L169" s="2">
        <v>3.24</v>
      </c>
      <c r="M169" s="2">
        <v>4.71</v>
      </c>
      <c r="N169" s="2">
        <v>6.95</v>
      </c>
      <c r="O169" s="2">
        <v>10.17</v>
      </c>
      <c r="P169" s="2">
        <v>14.89</v>
      </c>
      <c r="Q169" s="2">
        <v>21.95</v>
      </c>
      <c r="R169" s="2">
        <v>31.66</v>
      </c>
      <c r="S169" s="2">
        <v>48.42</v>
      </c>
      <c r="T169" s="2">
        <v>70.36</v>
      </c>
      <c r="U169" s="208">
        <v>99.27</v>
      </c>
      <c r="V169" s="2"/>
    </row>
    <row r="170" spans="1:22" ht="15.75" customHeight="1">
      <c r="A170" s="200">
        <v>28</v>
      </c>
      <c r="B170" s="59">
        <v>4</v>
      </c>
      <c r="C170" s="2">
        <v>0.1</v>
      </c>
      <c r="D170" s="2">
        <v>0.15</v>
      </c>
      <c r="E170" s="2">
        <v>0.22</v>
      </c>
      <c r="F170" s="2">
        <v>0.32</v>
      </c>
      <c r="G170" s="2">
        <v>0.47</v>
      </c>
      <c r="H170" s="2">
        <v>0.71</v>
      </c>
      <c r="I170" s="2">
        <v>1.01</v>
      </c>
      <c r="J170" s="2">
        <v>1.53</v>
      </c>
      <c r="K170" s="2">
        <v>2.17</v>
      </c>
      <c r="L170" s="2">
        <v>3.24</v>
      </c>
      <c r="M170" s="2">
        <v>4.71</v>
      </c>
      <c r="N170" s="2">
        <v>6.95</v>
      </c>
      <c r="O170" s="2">
        <v>10.17</v>
      </c>
      <c r="P170" s="2">
        <v>14.89</v>
      </c>
      <c r="Q170" s="2">
        <v>21.95</v>
      </c>
      <c r="R170" s="2">
        <v>31.66</v>
      </c>
      <c r="S170" s="2">
        <v>48.42</v>
      </c>
      <c r="T170" s="2">
        <v>70.36</v>
      </c>
      <c r="U170" s="208">
        <v>99.27</v>
      </c>
      <c r="V170" s="2"/>
    </row>
    <row r="171" spans="1:22" ht="15.75" customHeight="1">
      <c r="A171" s="200">
        <v>28</v>
      </c>
      <c r="B171" s="59">
        <v>5</v>
      </c>
      <c r="C171" s="2">
        <v>0.1</v>
      </c>
      <c r="D171" s="2">
        <v>0.15</v>
      </c>
      <c r="E171" s="2">
        <v>0.22</v>
      </c>
      <c r="F171" s="2">
        <v>0.32</v>
      </c>
      <c r="G171" s="2">
        <v>0.47</v>
      </c>
      <c r="H171" s="2">
        <v>0.71</v>
      </c>
      <c r="I171" s="2">
        <v>1.01</v>
      </c>
      <c r="J171" s="2">
        <v>1.53</v>
      </c>
      <c r="K171" s="2">
        <v>2.17</v>
      </c>
      <c r="L171" s="2">
        <v>3.24</v>
      </c>
      <c r="M171" s="2">
        <v>4.71</v>
      </c>
      <c r="N171" s="2">
        <v>6.95</v>
      </c>
      <c r="O171" s="2">
        <v>10.17</v>
      </c>
      <c r="P171" s="2">
        <v>14.89</v>
      </c>
      <c r="Q171" s="2">
        <v>21.95</v>
      </c>
      <c r="R171" s="2">
        <v>31.66</v>
      </c>
      <c r="S171" s="2">
        <v>48.42</v>
      </c>
      <c r="T171" s="2">
        <v>70.36</v>
      </c>
      <c r="U171" s="208">
        <v>99.27</v>
      </c>
      <c r="V171" s="2"/>
    </row>
    <row r="172" spans="1:22" ht="15.75" customHeight="1">
      <c r="A172" s="202">
        <v>28</v>
      </c>
      <c r="B172" s="203">
        <v>6</v>
      </c>
      <c r="C172" s="30">
        <v>0.1</v>
      </c>
      <c r="D172" s="30">
        <v>0.15</v>
      </c>
      <c r="E172" s="30">
        <v>0.22</v>
      </c>
      <c r="F172" s="30">
        <v>0.32</v>
      </c>
      <c r="G172" s="30">
        <v>0.47</v>
      </c>
      <c r="H172" s="30">
        <v>0.71</v>
      </c>
      <c r="I172" s="30">
        <v>1.01</v>
      </c>
      <c r="J172" s="30">
        <v>1.53</v>
      </c>
      <c r="K172" s="30">
        <v>2.17</v>
      </c>
      <c r="L172" s="30">
        <v>3.24</v>
      </c>
      <c r="M172" s="30">
        <v>4.71</v>
      </c>
      <c r="N172" s="30">
        <v>6.95</v>
      </c>
      <c r="O172" s="30">
        <v>10.17</v>
      </c>
      <c r="P172" s="30">
        <v>14.89</v>
      </c>
      <c r="Q172" s="30">
        <v>21.95</v>
      </c>
      <c r="R172" s="30">
        <v>31.66</v>
      </c>
      <c r="S172" s="30">
        <v>48.42</v>
      </c>
      <c r="T172" s="30">
        <v>70.36</v>
      </c>
      <c r="U172" s="209">
        <v>99.27</v>
      </c>
      <c r="V172" s="2"/>
    </row>
    <row r="173" spans="1:22" ht="15.75" customHeight="1">
      <c r="A173" s="200">
        <v>29</v>
      </c>
      <c r="B173" s="59">
        <v>1</v>
      </c>
      <c r="C173" s="2">
        <v>0.03</v>
      </c>
      <c r="D173" s="2">
        <v>0.06</v>
      </c>
      <c r="E173" s="2">
        <v>0.1</v>
      </c>
      <c r="F173" s="2">
        <v>0.18</v>
      </c>
      <c r="G173" s="2">
        <v>0.3</v>
      </c>
      <c r="H173" s="2">
        <v>0.56999999999999995</v>
      </c>
      <c r="I173" s="2">
        <v>0.99</v>
      </c>
      <c r="J173" s="2">
        <v>1.71</v>
      </c>
      <c r="K173" s="2">
        <v>2.99</v>
      </c>
      <c r="L173" s="2">
        <v>5.24</v>
      </c>
      <c r="M173" s="2">
        <v>9.56</v>
      </c>
      <c r="N173" s="2">
        <v>16.32</v>
      </c>
      <c r="O173" s="2">
        <v>30.18</v>
      </c>
      <c r="P173" s="2">
        <v>49.48</v>
      </c>
      <c r="Q173" s="2">
        <v>93.96</v>
      </c>
      <c r="R173" s="2">
        <v>160.34</v>
      </c>
      <c r="S173" s="2">
        <v>259.37</v>
      </c>
      <c r="T173" s="208">
        <v>486.02</v>
      </c>
      <c r="U173" s="2"/>
    </row>
    <row r="174" spans="1:22" ht="15.75" customHeight="1">
      <c r="A174" s="200">
        <v>29</v>
      </c>
      <c r="B174" s="59">
        <v>2</v>
      </c>
      <c r="C174" s="2">
        <v>0.03</v>
      </c>
      <c r="D174" s="2">
        <v>0.06</v>
      </c>
      <c r="E174" s="2">
        <v>0.1</v>
      </c>
      <c r="F174" s="2">
        <v>0.18</v>
      </c>
      <c r="G174" s="2">
        <v>0.3</v>
      </c>
      <c r="H174" s="2">
        <v>0.56999999999999995</v>
      </c>
      <c r="I174" s="2">
        <v>0.99</v>
      </c>
      <c r="J174" s="2">
        <v>1.71</v>
      </c>
      <c r="K174" s="2">
        <v>2.99</v>
      </c>
      <c r="L174" s="2">
        <v>5.24</v>
      </c>
      <c r="M174" s="2">
        <v>9.56</v>
      </c>
      <c r="N174" s="2">
        <v>16.32</v>
      </c>
      <c r="O174" s="2">
        <v>30.18</v>
      </c>
      <c r="P174" s="2">
        <v>49.48</v>
      </c>
      <c r="Q174" s="2">
        <v>93.96</v>
      </c>
      <c r="R174" s="2">
        <v>160.34</v>
      </c>
      <c r="S174" s="2">
        <v>259.37</v>
      </c>
      <c r="T174" s="208">
        <v>486.02</v>
      </c>
      <c r="U174" s="2"/>
    </row>
    <row r="175" spans="1:22" ht="15.75" customHeight="1">
      <c r="A175" s="200">
        <v>29</v>
      </c>
      <c r="B175" s="59">
        <v>3</v>
      </c>
      <c r="C175" s="2">
        <v>0.03</v>
      </c>
      <c r="D175" s="2">
        <v>0.06</v>
      </c>
      <c r="E175" s="2">
        <v>0.1</v>
      </c>
      <c r="F175" s="2">
        <v>0.18</v>
      </c>
      <c r="G175" s="2">
        <v>0.3</v>
      </c>
      <c r="H175" s="2">
        <v>0.56999999999999995</v>
      </c>
      <c r="I175" s="2">
        <v>0.99</v>
      </c>
      <c r="J175" s="2">
        <v>1.71</v>
      </c>
      <c r="K175" s="2">
        <v>2.99</v>
      </c>
      <c r="L175" s="2">
        <v>5.24</v>
      </c>
      <c r="M175" s="2">
        <v>9.56</v>
      </c>
      <c r="N175" s="2">
        <v>16.32</v>
      </c>
      <c r="O175" s="2">
        <v>30.18</v>
      </c>
      <c r="P175" s="2">
        <v>49.48</v>
      </c>
      <c r="Q175" s="2">
        <v>93.96</v>
      </c>
      <c r="R175" s="2">
        <v>160.34</v>
      </c>
      <c r="S175" s="2">
        <v>259.37</v>
      </c>
      <c r="T175" s="208">
        <v>486.02</v>
      </c>
      <c r="U175" s="2"/>
    </row>
    <row r="176" spans="1:22" ht="15.75" customHeight="1">
      <c r="A176" s="200">
        <v>29</v>
      </c>
      <c r="B176" s="59">
        <v>4</v>
      </c>
      <c r="C176" s="2">
        <v>0.03</v>
      </c>
      <c r="D176" s="2">
        <v>0.06</v>
      </c>
      <c r="E176" s="2">
        <v>0.1</v>
      </c>
      <c r="F176" s="2">
        <v>0.18</v>
      </c>
      <c r="G176" s="2">
        <v>0.3</v>
      </c>
      <c r="H176" s="2">
        <v>0.56999999999999995</v>
      </c>
      <c r="I176" s="2">
        <v>0.99</v>
      </c>
      <c r="J176" s="2">
        <v>1.71</v>
      </c>
      <c r="K176" s="2">
        <v>2.99</v>
      </c>
      <c r="L176" s="2">
        <v>5.24</v>
      </c>
      <c r="M176" s="2">
        <v>9.56</v>
      </c>
      <c r="N176" s="2">
        <v>16.32</v>
      </c>
      <c r="O176" s="2">
        <v>30.18</v>
      </c>
      <c r="P176" s="2">
        <v>49.48</v>
      </c>
      <c r="Q176" s="2">
        <v>93.96</v>
      </c>
      <c r="R176" s="2">
        <v>160.34</v>
      </c>
      <c r="S176" s="2">
        <v>259.37</v>
      </c>
      <c r="T176" s="208">
        <v>486.02</v>
      </c>
      <c r="U176" s="2"/>
    </row>
    <row r="177" spans="1:47" ht="15.75" customHeight="1">
      <c r="A177" s="202">
        <v>29</v>
      </c>
      <c r="B177" s="203">
        <v>5</v>
      </c>
      <c r="C177" s="30">
        <v>0.03</v>
      </c>
      <c r="D177" s="30">
        <v>0.06</v>
      </c>
      <c r="E177" s="30">
        <v>0.1</v>
      </c>
      <c r="F177" s="30">
        <v>0.18</v>
      </c>
      <c r="G177" s="30">
        <v>0.3</v>
      </c>
      <c r="H177" s="30">
        <v>0.56999999999999995</v>
      </c>
      <c r="I177" s="30">
        <v>0.99</v>
      </c>
      <c r="J177" s="30">
        <v>1.71</v>
      </c>
      <c r="K177" s="30">
        <v>2.99</v>
      </c>
      <c r="L177" s="30">
        <v>5.24</v>
      </c>
      <c r="M177" s="30">
        <v>9.56</v>
      </c>
      <c r="N177" s="30">
        <v>16.32</v>
      </c>
      <c r="O177" s="30">
        <v>30.18</v>
      </c>
      <c r="P177" s="30">
        <v>49.48</v>
      </c>
      <c r="Q177" s="30">
        <v>93.96</v>
      </c>
      <c r="R177" s="30">
        <v>160.34</v>
      </c>
      <c r="S177" s="30">
        <v>259.37</v>
      </c>
      <c r="T177" s="209">
        <v>486.02</v>
      </c>
      <c r="U177" s="2"/>
    </row>
    <row r="178" spans="1:47" ht="15.75" customHeight="1">
      <c r="A178" s="200">
        <v>30</v>
      </c>
      <c r="B178" s="59">
        <v>1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47" ht="15.75" customHeight="1">
      <c r="A179" s="200">
        <v>30</v>
      </c>
      <c r="B179" s="59">
        <v>2</v>
      </c>
    </row>
    <row r="180" spans="1:47" ht="15.75" customHeight="1">
      <c r="A180" s="200">
        <v>30</v>
      </c>
      <c r="B180" s="59">
        <v>3</v>
      </c>
    </row>
    <row r="181" spans="1:47" ht="15.75" customHeight="1">
      <c r="A181" s="201">
        <v>31</v>
      </c>
      <c r="B181" s="58">
        <v>1</v>
      </c>
    </row>
    <row r="182" spans="1:47" ht="15.75" customHeight="1">
      <c r="A182" s="200">
        <v>31</v>
      </c>
      <c r="B182" s="59">
        <v>2</v>
      </c>
    </row>
    <row r="183" spans="1:47" ht="15.75" customHeight="1">
      <c r="A183" s="200">
        <v>31</v>
      </c>
      <c r="B183" s="59">
        <v>3</v>
      </c>
    </row>
    <row r="184" spans="1:47" ht="15.75" customHeight="1">
      <c r="A184" s="200">
        <v>31</v>
      </c>
      <c r="B184" s="59">
        <v>4</v>
      </c>
    </row>
    <row r="185" spans="1:47" ht="15.75" customHeight="1">
      <c r="A185" s="202">
        <v>31</v>
      </c>
      <c r="B185" s="203">
        <v>5</v>
      </c>
    </row>
    <row r="186" spans="1:47" ht="15.75" customHeight="1">
      <c r="A186" s="177">
        <v>32</v>
      </c>
      <c r="B186" s="178">
        <v>1</v>
      </c>
    </row>
    <row r="187" spans="1:47" ht="15.75" customHeight="1">
      <c r="A187" s="174">
        <v>32</v>
      </c>
      <c r="B187" s="179">
        <v>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47" ht="15.75" customHeight="1">
      <c r="A188" s="201">
        <v>33</v>
      </c>
      <c r="B188" s="178">
        <v>1</v>
      </c>
      <c r="C188" s="206">
        <f>6.283185*Angular_frequency!C188</f>
        <v>6.2831849999999995E-2</v>
      </c>
      <c r="D188" s="206">
        <f>6.283185*Angular_frequency!D188</f>
        <v>9.4247774999999992E-2</v>
      </c>
      <c r="E188" s="206">
        <f>6.283185*Angular_frequency!E188</f>
        <v>0.13823006999999998</v>
      </c>
      <c r="F188" s="206">
        <f>6.283185*Angular_frequency!F188</f>
        <v>0.20106191999999998</v>
      </c>
      <c r="G188" s="206">
        <f>6.283185*Angular_frequency!G188</f>
        <v>0.28902650999999996</v>
      </c>
      <c r="H188" s="206">
        <f>6.283185*Angular_frequency!H188</f>
        <v>0.43353976500000002</v>
      </c>
      <c r="I188" s="206">
        <f>6.283185*Angular_frequency!I188</f>
        <v>0.64088486999999994</v>
      </c>
      <c r="J188" s="206">
        <f>6.283185*Angular_frequency!J188</f>
        <v>0.93619456499999987</v>
      </c>
      <c r="K188" s="206">
        <f>6.283185*Angular_frequency!K188</f>
        <v>1.3760175149999998</v>
      </c>
      <c r="L188" s="206">
        <f>6.283185*Angular_frequency!L188</f>
        <v>1.98548646</v>
      </c>
      <c r="M188" s="206">
        <f>6.283185*Angular_frequency!M188</f>
        <v>2.9153978399999998</v>
      </c>
      <c r="N188" s="206">
        <f>6.283185*Angular_frequency!N188</f>
        <v>4.3479640199999992</v>
      </c>
      <c r="O188" s="206">
        <f>6.283185*Angular_frequency!O188</f>
        <v>6.1889372249999992</v>
      </c>
      <c r="P188" s="206">
        <f>6.283185*Angular_frequency!P188</f>
        <v>9.368228835</v>
      </c>
      <c r="Q188" s="206">
        <f>6.283185*Angular_frequency!Q188</f>
        <v>13.533980489999999</v>
      </c>
      <c r="R188" s="206">
        <f>6.283185*Angular_frequency!R188</f>
        <v>19.867430969999997</v>
      </c>
      <c r="S188" s="206">
        <f>6.283185*Angular_frequency!S188</f>
        <v>28.720438634999997</v>
      </c>
      <c r="T188" s="206">
        <f>6.283185*Angular_frequency!T188</f>
        <v>42.153888164999998</v>
      </c>
      <c r="U188" s="206">
        <f>6.283185*Angular_frequency!U188</f>
        <v>62.831849999999996</v>
      </c>
      <c r="V188" s="206">
        <f>6.283185*Angular_frequency!V188</f>
        <v>90.817155990000003</v>
      </c>
      <c r="W188" s="206">
        <f>6.283185*Angular_frequency!W188</f>
        <v>135.36493763999999</v>
      </c>
      <c r="X188" s="206">
        <f>6.283185*Angular_frequency!X188</f>
        <v>195.66466408499997</v>
      </c>
      <c r="Y188" s="206">
        <f>6.283185*Angular_frequency!Y188</f>
        <v>291.64031495999996</v>
      </c>
      <c r="Z188" s="206">
        <f>6.283185*Angular_frequency!Z188</f>
        <v>428.06711086500002</v>
      </c>
      <c r="AA188" s="207">
        <f>6.283185*Angular_frequency!AA188</f>
        <v>628.31849999999997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0"/>
      <c r="AU188" s="2"/>
    </row>
    <row r="189" spans="1:47" ht="15.75" customHeight="1">
      <c r="A189" s="200">
        <v>33</v>
      </c>
      <c r="B189" s="179">
        <v>2</v>
      </c>
      <c r="C189" s="2">
        <f>6.283185*Angular_frequency!C189</f>
        <v>6.2831849999999995E-2</v>
      </c>
      <c r="D189" s="2">
        <f>6.283185*Angular_frequency!D189</f>
        <v>9.4247774999999992E-2</v>
      </c>
      <c r="E189" s="2">
        <f>6.283185*Angular_frequency!E189</f>
        <v>0.13823006999999998</v>
      </c>
      <c r="F189" s="2">
        <f>6.283185*Angular_frequency!F189</f>
        <v>0.20106191999999998</v>
      </c>
      <c r="G189" s="2">
        <f>6.283185*Angular_frequency!G189</f>
        <v>0.28902650999999996</v>
      </c>
      <c r="H189" s="2">
        <f>6.283185*Angular_frequency!H189</f>
        <v>0.43353976500000002</v>
      </c>
      <c r="I189" s="2">
        <f>6.283185*Angular_frequency!I189</f>
        <v>0.64088486999999994</v>
      </c>
      <c r="J189" s="2">
        <f>6.283185*Angular_frequency!J189</f>
        <v>0.93619456499999987</v>
      </c>
      <c r="K189" s="2">
        <f>6.283185*Angular_frequency!K189</f>
        <v>1.3760175149999998</v>
      </c>
      <c r="L189" s="2">
        <f>6.283185*Angular_frequency!L189</f>
        <v>1.98548646</v>
      </c>
      <c r="M189" s="2">
        <f>6.283185*Angular_frequency!M189</f>
        <v>2.9153978399999998</v>
      </c>
      <c r="N189" s="2">
        <f>6.283185*Angular_frequency!N189</f>
        <v>4.3479640199999992</v>
      </c>
      <c r="O189" s="2">
        <f>6.283185*Angular_frequency!O189</f>
        <v>6.1889372249999992</v>
      </c>
      <c r="P189" s="2">
        <f>6.283185*Angular_frequency!P189</f>
        <v>9.368228835</v>
      </c>
      <c r="Q189" s="2">
        <f>6.283185*Angular_frequency!Q189</f>
        <v>13.533980489999999</v>
      </c>
      <c r="R189" s="2">
        <f>6.283185*Angular_frequency!R189</f>
        <v>19.867430969999997</v>
      </c>
      <c r="S189" s="2">
        <f>6.283185*Angular_frequency!S189</f>
        <v>28.720438634999997</v>
      </c>
      <c r="T189" s="2">
        <f>6.283185*Angular_frequency!T189</f>
        <v>42.153888164999998</v>
      </c>
      <c r="U189" s="2">
        <f>6.283185*Angular_frequency!U189</f>
        <v>62.831849999999996</v>
      </c>
      <c r="V189" s="2">
        <f>6.283185*Angular_frequency!V189</f>
        <v>90.817155990000003</v>
      </c>
      <c r="W189" s="2">
        <f>6.283185*Angular_frequency!W189</f>
        <v>135.36493763999999</v>
      </c>
      <c r="X189" s="2">
        <f>6.283185*Angular_frequency!X189</f>
        <v>195.66466408499997</v>
      </c>
      <c r="Y189" s="2">
        <f>6.283185*Angular_frequency!Y189</f>
        <v>291.64031495999996</v>
      </c>
      <c r="Z189" s="2">
        <f>6.283185*Angular_frequency!Z189</f>
        <v>428.06711086500002</v>
      </c>
      <c r="AA189" s="208">
        <f>6.283185*Angular_frequency!AA189</f>
        <v>628.31849999999997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0"/>
      <c r="AU189" s="2"/>
    </row>
    <row r="190" spans="1:47" ht="15.75" customHeight="1">
      <c r="A190" s="200">
        <v>33</v>
      </c>
      <c r="B190" s="179">
        <v>3</v>
      </c>
      <c r="C190" s="2">
        <f>6.283185*Angular_frequency!C190</f>
        <v>6.2831849999999995E-2</v>
      </c>
      <c r="D190" s="2">
        <f>6.283185*Angular_frequency!D190</f>
        <v>9.4247774999999992E-2</v>
      </c>
      <c r="E190" s="2">
        <f>6.283185*Angular_frequency!E190</f>
        <v>0.13823006999999998</v>
      </c>
      <c r="F190" s="2">
        <f>6.283185*Angular_frequency!F190</f>
        <v>0.20106191999999998</v>
      </c>
      <c r="G190" s="2">
        <f>6.283185*Angular_frequency!G190</f>
        <v>0.28902650999999996</v>
      </c>
      <c r="H190" s="2">
        <f>6.283185*Angular_frequency!H190</f>
        <v>0.43353976500000002</v>
      </c>
      <c r="I190" s="2">
        <f>6.283185*Angular_frequency!I190</f>
        <v>0.64088486999999994</v>
      </c>
      <c r="J190" s="2">
        <f>6.283185*Angular_frequency!J190</f>
        <v>0.93619456499999987</v>
      </c>
      <c r="K190" s="2">
        <f>6.283185*Angular_frequency!K190</f>
        <v>1.3760175149999998</v>
      </c>
      <c r="L190" s="2">
        <f>6.283185*Angular_frequency!L190</f>
        <v>1.98548646</v>
      </c>
      <c r="M190" s="2">
        <f>6.283185*Angular_frequency!M190</f>
        <v>2.9153978399999998</v>
      </c>
      <c r="N190" s="2">
        <f>6.283185*Angular_frequency!N190</f>
        <v>4.3479640199999992</v>
      </c>
      <c r="O190" s="2">
        <f>6.283185*Angular_frequency!O190</f>
        <v>6.1889372249999992</v>
      </c>
      <c r="P190" s="2">
        <f>6.283185*Angular_frequency!P190</f>
        <v>9.368228835</v>
      </c>
      <c r="Q190" s="2">
        <f>6.283185*Angular_frequency!Q190</f>
        <v>13.533980489999999</v>
      </c>
      <c r="R190" s="2">
        <f>6.283185*Angular_frequency!R190</f>
        <v>19.867430969999997</v>
      </c>
      <c r="S190" s="2">
        <f>6.283185*Angular_frequency!S190</f>
        <v>28.720438634999997</v>
      </c>
      <c r="T190" s="2">
        <f>6.283185*Angular_frequency!T190</f>
        <v>42.153888164999998</v>
      </c>
      <c r="U190" s="2">
        <f>6.283185*Angular_frequency!U190</f>
        <v>62.831849999999996</v>
      </c>
      <c r="V190" s="2">
        <f>6.283185*Angular_frequency!V190</f>
        <v>90.817155990000003</v>
      </c>
      <c r="W190" s="2">
        <f>6.283185*Angular_frequency!W190</f>
        <v>135.36493763999999</v>
      </c>
      <c r="X190" s="2">
        <f>6.283185*Angular_frequency!X190</f>
        <v>195.66466408499997</v>
      </c>
      <c r="Y190" s="2">
        <f>6.283185*Angular_frequency!Y190</f>
        <v>291.64031495999996</v>
      </c>
      <c r="Z190" s="2">
        <f>6.283185*Angular_frequency!Z190</f>
        <v>428.06711086500002</v>
      </c>
      <c r="AA190" s="208">
        <f>6.283185*Angular_frequency!AA190</f>
        <v>628.31849999999997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0"/>
      <c r="AU190" s="2"/>
    </row>
    <row r="191" spans="1:47" ht="15.75" customHeight="1">
      <c r="A191" s="200">
        <v>33</v>
      </c>
      <c r="B191" s="179">
        <v>4</v>
      </c>
      <c r="C191" s="2">
        <f>6.283185*Angular_frequency!C191</f>
        <v>6.2831849999999995E-2</v>
      </c>
      <c r="D191" s="2">
        <f>6.283185*Angular_frequency!D191</f>
        <v>9.4247774999999992E-2</v>
      </c>
      <c r="E191" s="2">
        <f>6.283185*Angular_frequency!E191</f>
        <v>0.13823006999999998</v>
      </c>
      <c r="F191" s="2">
        <f>6.283185*Angular_frequency!F191</f>
        <v>0.20106191999999998</v>
      </c>
      <c r="G191" s="2">
        <f>6.283185*Angular_frequency!G191</f>
        <v>0.28902650999999996</v>
      </c>
      <c r="H191" s="2">
        <f>6.283185*Angular_frequency!H191</f>
        <v>0.43353976500000002</v>
      </c>
      <c r="I191" s="2">
        <f>6.283185*Angular_frequency!I191</f>
        <v>0.64088486999999994</v>
      </c>
      <c r="J191" s="2">
        <f>6.283185*Angular_frequency!J191</f>
        <v>0.93619456499999987</v>
      </c>
      <c r="K191" s="2">
        <f>6.283185*Angular_frequency!K191</f>
        <v>1.3760175149999998</v>
      </c>
      <c r="L191" s="2">
        <f>6.283185*Angular_frequency!L191</f>
        <v>1.98548646</v>
      </c>
      <c r="M191" s="2">
        <f>6.283185*Angular_frequency!M191</f>
        <v>2.9153978399999998</v>
      </c>
      <c r="N191" s="2">
        <f>6.283185*Angular_frequency!N191</f>
        <v>4.3479640199999992</v>
      </c>
      <c r="O191" s="2">
        <f>6.283185*Angular_frequency!O191</f>
        <v>6.1889372249999992</v>
      </c>
      <c r="P191" s="2">
        <f>6.283185*Angular_frequency!P191</f>
        <v>9.368228835</v>
      </c>
      <c r="Q191" s="2">
        <f>6.283185*Angular_frequency!Q191</f>
        <v>13.533980489999999</v>
      </c>
      <c r="R191" s="2">
        <f>6.283185*Angular_frequency!R191</f>
        <v>19.867430969999997</v>
      </c>
      <c r="S191" s="2">
        <f>6.283185*Angular_frequency!S191</f>
        <v>28.720438634999997</v>
      </c>
      <c r="T191" s="2">
        <f>6.283185*Angular_frequency!T191</f>
        <v>42.153888164999998</v>
      </c>
      <c r="U191" s="2">
        <f>6.283185*Angular_frequency!U191</f>
        <v>62.831849999999996</v>
      </c>
      <c r="V191" s="2">
        <f>6.283185*Angular_frequency!V191</f>
        <v>90.817155990000003</v>
      </c>
      <c r="W191" s="30">
        <f>6.283185*Angular_frequency!W191</f>
        <v>135.36493763999999</v>
      </c>
      <c r="X191" s="30">
        <f>6.283185*Angular_frequency!X191</f>
        <v>195.66466408499997</v>
      </c>
      <c r="Y191" s="30">
        <f>6.283185*Angular_frequency!Y191</f>
        <v>291.64031495999996</v>
      </c>
      <c r="Z191" s="30">
        <f>6.283185*Angular_frequency!Z191</f>
        <v>428.06711086500002</v>
      </c>
      <c r="AA191" s="209">
        <f>6.283185*Angular_frequency!AA191</f>
        <v>628.31849999999997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0"/>
      <c r="AU191" s="2"/>
    </row>
    <row r="192" spans="1:47" ht="15.75" customHeight="1">
      <c r="A192" s="177">
        <v>34</v>
      </c>
      <c r="B192" s="178">
        <v>1</v>
      </c>
      <c r="C192" s="206">
        <f>6.283185*Angular_frequency!C192</f>
        <v>0.6283185</v>
      </c>
      <c r="D192" s="206">
        <f>6.283185*Angular_frequency!D192</f>
        <v>0.98646004499999995</v>
      </c>
      <c r="E192" s="206">
        <f>6.283185*Angular_frequency!E192</f>
        <v>1.5707962499999999</v>
      </c>
      <c r="F192" s="206">
        <f>6.283185*Angular_frequency!F192</f>
        <v>2.513274</v>
      </c>
      <c r="G192" s="206">
        <f>6.283185*Angular_frequency!G192</f>
        <v>3.8955746999999996</v>
      </c>
      <c r="H192" s="206">
        <f>6.283185*Angular_frequency!H192</f>
        <v>6.2203531499999993</v>
      </c>
      <c r="I192" s="206">
        <f>6.283185*Angular_frequency!I192</f>
        <v>9.8457508949999983</v>
      </c>
      <c r="J192" s="206">
        <f>6.283185*Angular_frequency!J192</f>
        <v>15.871325309999998</v>
      </c>
      <c r="K192" s="206">
        <f>6.283185*Angular_frequency!K192</f>
        <v>24.868846229999999</v>
      </c>
      <c r="L192" s="206">
        <f>6.283185*Angular_frequency!L192</f>
        <v>39.72229557</v>
      </c>
      <c r="M192" s="206">
        <f>6.283185*Angular_frequency!M192</f>
        <v>62.234947424999994</v>
      </c>
      <c r="N192" s="206">
        <f>6.283185*Angular_frequency!N192</f>
        <v>100.348747635</v>
      </c>
      <c r="O192" s="206">
        <f>6.283185*Angular_frequency!O192</f>
        <v>154.24590856499998</v>
      </c>
      <c r="P192" s="206">
        <f>6.283185*Angular_frequency!P192</f>
        <v>246.344834295</v>
      </c>
      <c r="Q192" s="206">
        <f>6.283185*Angular_frequency!Q192</f>
        <v>393.42162877499999</v>
      </c>
      <c r="R192" s="206">
        <f>6.283185*Angular_frequency!R192</f>
        <v>616.42443079499992</v>
      </c>
      <c r="S192" s="206">
        <f>6.283185*Angular_frequency!S192</f>
        <v>984.46827535499983</v>
      </c>
      <c r="T192" s="206">
        <f>6.283185*Angular_frequency!T192</f>
        <v>1542.4842183899998</v>
      </c>
      <c r="U192" s="206">
        <f>6.283185*Angular_frequency!U192</f>
        <v>2440.0120628999998</v>
      </c>
      <c r="V192" s="207">
        <f>6.283185*Angular_frequency!V192</f>
        <v>3972.0033623399995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0"/>
      <c r="AU192" s="2"/>
    </row>
    <row r="193" spans="1:47" ht="15.75" customHeight="1">
      <c r="A193" s="174">
        <v>34</v>
      </c>
      <c r="B193" s="179">
        <v>2</v>
      </c>
      <c r="C193" s="2">
        <f>6.283185*Angular_frequency!C193</f>
        <v>0.6283185</v>
      </c>
      <c r="D193" s="2">
        <f>6.283185*Angular_frequency!D193</f>
        <v>0.98646004499999995</v>
      </c>
      <c r="E193" s="2">
        <f>6.283185*Angular_frequency!E193</f>
        <v>1.5707962499999999</v>
      </c>
      <c r="F193" s="2">
        <f>6.283185*Angular_frequency!F193</f>
        <v>2.513274</v>
      </c>
      <c r="G193" s="2">
        <f>6.283185*Angular_frequency!G193</f>
        <v>3.8955746999999996</v>
      </c>
      <c r="H193" s="2">
        <f>6.283185*Angular_frequency!H193</f>
        <v>6.2203531499999993</v>
      </c>
      <c r="I193" s="2">
        <f>6.283185*Angular_frequency!I193</f>
        <v>9.8457508949999983</v>
      </c>
      <c r="J193" s="2">
        <f>6.283185*Angular_frequency!J193</f>
        <v>15.871325309999998</v>
      </c>
      <c r="K193" s="2">
        <f>6.283185*Angular_frequency!K193</f>
        <v>24.868846229999999</v>
      </c>
      <c r="L193" s="2">
        <f>6.283185*Angular_frequency!L193</f>
        <v>39.72229557</v>
      </c>
      <c r="M193" s="2">
        <f>6.283185*Angular_frequency!M193</f>
        <v>62.234947424999994</v>
      </c>
      <c r="N193" s="2">
        <f>6.283185*Angular_frequency!N193</f>
        <v>100.348747635</v>
      </c>
      <c r="O193" s="2">
        <f>6.283185*Angular_frequency!O193</f>
        <v>154.24590856499998</v>
      </c>
      <c r="P193" s="2">
        <f>6.283185*Angular_frequency!P193</f>
        <v>246.344834295</v>
      </c>
      <c r="Q193" s="2">
        <f>6.283185*Angular_frequency!Q193</f>
        <v>393.42162877499999</v>
      </c>
      <c r="R193" s="2">
        <f>6.283185*Angular_frequency!R193</f>
        <v>616.42443079499992</v>
      </c>
      <c r="S193" s="2">
        <f>6.283185*Angular_frequency!S193</f>
        <v>984.46827535499983</v>
      </c>
      <c r="T193" s="2">
        <f>6.283185*Angular_frequency!T193</f>
        <v>1542.4842183899998</v>
      </c>
      <c r="U193" s="2">
        <f>6.283185*Angular_frequency!U193</f>
        <v>2440.0120628999998</v>
      </c>
      <c r="V193" s="208">
        <f>6.283185*Angular_frequency!V193</f>
        <v>3972.0033623399995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0"/>
      <c r="AU193" s="2"/>
    </row>
    <row r="194" spans="1:47" ht="15.75" customHeight="1">
      <c r="A194" s="174">
        <v>34</v>
      </c>
      <c r="B194" s="179">
        <v>3</v>
      </c>
      <c r="C194" s="2">
        <f>6.283185*Angular_frequency!C194</f>
        <v>0.6283185</v>
      </c>
      <c r="D194" s="2">
        <f>6.283185*Angular_frequency!D194</f>
        <v>0.98646004499999995</v>
      </c>
      <c r="E194" s="2">
        <f>6.283185*Angular_frequency!E194</f>
        <v>1.5707962499999999</v>
      </c>
      <c r="F194" s="2">
        <f>6.283185*Angular_frequency!F194</f>
        <v>2.513274</v>
      </c>
      <c r="G194" s="2">
        <f>6.283185*Angular_frequency!G194</f>
        <v>3.8955746999999996</v>
      </c>
      <c r="H194" s="2">
        <f>6.283185*Angular_frequency!H194</f>
        <v>6.2203531499999993</v>
      </c>
      <c r="I194" s="2">
        <f>6.283185*Angular_frequency!I194</f>
        <v>9.8457508949999983</v>
      </c>
      <c r="J194" s="2">
        <f>6.283185*Angular_frequency!J194</f>
        <v>15.871325309999998</v>
      </c>
      <c r="K194" s="2">
        <f>6.283185*Angular_frequency!K194</f>
        <v>24.868846229999999</v>
      </c>
      <c r="L194" s="2">
        <f>6.283185*Angular_frequency!L194</f>
        <v>39.72229557</v>
      </c>
      <c r="M194" s="2">
        <f>6.283185*Angular_frequency!M194</f>
        <v>62.234947424999994</v>
      </c>
      <c r="N194" s="2">
        <f>6.283185*Angular_frequency!N194</f>
        <v>100.348747635</v>
      </c>
      <c r="O194" s="2">
        <f>6.283185*Angular_frequency!O194</f>
        <v>154.24590856499998</v>
      </c>
      <c r="P194" s="2">
        <f>6.283185*Angular_frequency!P194</f>
        <v>246.344834295</v>
      </c>
      <c r="Q194" s="2">
        <f>6.283185*Angular_frequency!Q194</f>
        <v>393.42162877499999</v>
      </c>
      <c r="R194" s="2">
        <f>6.283185*Angular_frequency!R194</f>
        <v>616.42443079499992</v>
      </c>
      <c r="S194" s="2">
        <f>6.283185*Angular_frequency!S194</f>
        <v>984.46827535499983</v>
      </c>
      <c r="T194" s="2">
        <f>6.283185*Angular_frequency!T194</f>
        <v>1542.4842183899998</v>
      </c>
      <c r="U194" s="2">
        <f>6.283185*Angular_frequency!U194</f>
        <v>2440.0120628999998</v>
      </c>
      <c r="V194" s="208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0"/>
      <c r="AU194" s="2"/>
    </row>
    <row r="195" spans="1:47" ht="15.75" customHeight="1">
      <c r="A195" s="175">
        <v>34</v>
      </c>
      <c r="B195" s="180">
        <v>4</v>
      </c>
      <c r="C195" s="30">
        <f>6.283185*Angular_frequency!C195</f>
        <v>0.6283185</v>
      </c>
      <c r="D195" s="30">
        <f>6.283185*Angular_frequency!D195</f>
        <v>0.98646004499999995</v>
      </c>
      <c r="E195" s="30">
        <f>6.283185*Angular_frequency!E195</f>
        <v>1.5707962499999999</v>
      </c>
      <c r="F195" s="30">
        <f>6.283185*Angular_frequency!F195</f>
        <v>2.513274</v>
      </c>
      <c r="G195" s="30">
        <f>6.283185*Angular_frequency!G195</f>
        <v>3.8955746999999996</v>
      </c>
      <c r="H195" s="30">
        <f>6.283185*Angular_frequency!H195</f>
        <v>6.2203531499999993</v>
      </c>
      <c r="I195" s="30">
        <f>6.283185*Angular_frequency!I195</f>
        <v>9.8457508949999983</v>
      </c>
      <c r="J195" s="30">
        <f>6.283185*Angular_frequency!J195</f>
        <v>15.871325309999998</v>
      </c>
      <c r="K195" s="30">
        <f>6.283185*Angular_frequency!K195</f>
        <v>24.868846229999999</v>
      </c>
      <c r="L195" s="30">
        <f>6.283185*Angular_frequency!L195</f>
        <v>39.72229557</v>
      </c>
      <c r="M195" s="30">
        <f>6.283185*Angular_frequency!M195</f>
        <v>62.234947424999994</v>
      </c>
      <c r="N195" s="30">
        <f>6.283185*Angular_frequency!N195</f>
        <v>100.348747635</v>
      </c>
      <c r="O195" s="30">
        <f>6.283185*Angular_frequency!O195</f>
        <v>154.24590856499998</v>
      </c>
      <c r="P195" s="30">
        <f>6.283185*Angular_frequency!P195</f>
        <v>246.344834295</v>
      </c>
      <c r="Q195" s="30">
        <f>6.283185*Angular_frequency!Q195</f>
        <v>393.42162877499999</v>
      </c>
      <c r="R195" s="30">
        <f>6.283185*Angular_frequency!R195</f>
        <v>616.42443079499992</v>
      </c>
      <c r="S195" s="30">
        <f>6.283185*Angular_frequency!S195</f>
        <v>984.46827535499983</v>
      </c>
      <c r="T195" s="30">
        <f>6.283185*Angular_frequency!T195</f>
        <v>1542.4842183899998</v>
      </c>
      <c r="U195" s="30">
        <f>6.283185*Angular_frequency!U195</f>
        <v>2440.0120628999998</v>
      </c>
      <c r="V195" s="209">
        <f>6.283185*Angular_frequency!V195</f>
        <v>3972.0033623399995</v>
      </c>
      <c r="W195" s="407"/>
      <c r="X195" s="407"/>
      <c r="Y195" s="407"/>
      <c r="Z195" s="407"/>
      <c r="AA195" s="407"/>
      <c r="AB195" s="407"/>
      <c r="AC195" s="407"/>
      <c r="AD195" s="407"/>
      <c r="AE195" s="407"/>
      <c r="AF195" s="407"/>
      <c r="AG195" s="407"/>
      <c r="AH195" s="407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0"/>
      <c r="AU195" s="2"/>
    </row>
    <row r="196" spans="1:47" ht="15.75" customHeight="1">
      <c r="A196" s="200">
        <v>35</v>
      </c>
      <c r="B196" s="59">
        <v>1</v>
      </c>
      <c r="C196" s="2">
        <v>1.0999999999999999E-2</v>
      </c>
      <c r="D196" s="2">
        <v>1.4E-2</v>
      </c>
      <c r="E196" s="2">
        <v>1.7999999999999999E-2</v>
      </c>
      <c r="F196" s="2">
        <v>2.4E-2</v>
      </c>
      <c r="G196" s="2">
        <v>3.3000000000000002E-2</v>
      </c>
      <c r="H196" s="2">
        <v>4.2000000000000003E-2</v>
      </c>
      <c r="I196" s="2">
        <v>0.06</v>
      </c>
      <c r="J196" s="2">
        <v>7.5999999999999998E-2</v>
      </c>
      <c r="K196" s="2">
        <v>9.9000000000000005E-2</v>
      </c>
      <c r="L196" s="2">
        <v>0.129</v>
      </c>
      <c r="M196" s="2">
        <v>0.17699999999999999</v>
      </c>
      <c r="N196" s="2">
        <v>0.23799999999999999</v>
      </c>
      <c r="O196" s="2">
        <v>0.32600000000000001</v>
      </c>
      <c r="P196" s="2">
        <v>0.40600000000000003</v>
      </c>
      <c r="Q196" s="2">
        <v>0.56999999999999995</v>
      </c>
      <c r="R196" s="2">
        <v>0.74</v>
      </c>
      <c r="S196" s="409">
        <v>1.0169999999999999</v>
      </c>
      <c r="T196" s="407">
        <v>1.35</v>
      </c>
      <c r="U196" s="409">
        <v>1.794</v>
      </c>
      <c r="V196" s="409">
        <v>2.3319999999999999</v>
      </c>
      <c r="W196" s="408">
        <v>3.2719999999999998</v>
      </c>
      <c r="X196" s="408">
        <v>4.1609999999999996</v>
      </c>
      <c r="Y196" s="408">
        <v>5.5279999999999996</v>
      </c>
      <c r="Z196" s="408">
        <v>7.2649999999999997</v>
      </c>
      <c r="AA196" s="408">
        <v>9.9730000000000008</v>
      </c>
      <c r="AB196" s="408">
        <v>13.395</v>
      </c>
      <c r="AC196" s="408">
        <v>17.41</v>
      </c>
      <c r="AD196" s="408">
        <v>24.163</v>
      </c>
      <c r="AE196" s="408">
        <v>30.728999999999999</v>
      </c>
      <c r="AF196" s="408">
        <v>40.380000000000003</v>
      </c>
      <c r="AG196" s="408">
        <v>56.658000000000001</v>
      </c>
      <c r="AH196" s="408">
        <v>76.099000000000004</v>
      </c>
      <c r="AI196" s="334">
        <v>100</v>
      </c>
      <c r="AJ196" s="2"/>
    </row>
    <row r="197" spans="1:47" ht="15.75" customHeight="1">
      <c r="A197" s="200">
        <v>35</v>
      </c>
      <c r="B197" s="59">
        <v>2</v>
      </c>
      <c r="C197" s="2">
        <v>1.0999999999999999E-2</v>
      </c>
      <c r="D197" s="2">
        <v>1.4E-2</v>
      </c>
      <c r="E197" s="2">
        <v>1.7999999999999999E-2</v>
      </c>
      <c r="F197" s="2">
        <v>2.4E-2</v>
      </c>
      <c r="G197" s="2">
        <v>3.3000000000000002E-2</v>
      </c>
      <c r="H197" s="2">
        <v>4.2000000000000003E-2</v>
      </c>
      <c r="I197" s="2">
        <v>0.06</v>
      </c>
      <c r="J197" s="2">
        <v>7.5999999999999998E-2</v>
      </c>
      <c r="K197" s="2">
        <v>9.9000000000000005E-2</v>
      </c>
      <c r="L197" s="2">
        <v>0.129</v>
      </c>
      <c r="M197" s="2">
        <v>0.17699999999999999</v>
      </c>
      <c r="N197" s="2">
        <v>0.23799999999999999</v>
      </c>
      <c r="O197" s="2">
        <v>0.32600000000000001</v>
      </c>
      <c r="P197" s="2">
        <v>0.40600000000000003</v>
      </c>
      <c r="Q197" s="2">
        <v>0.56999999999999995</v>
      </c>
      <c r="R197" s="2">
        <v>0.74</v>
      </c>
      <c r="S197" s="409">
        <v>1.0169999999999999</v>
      </c>
      <c r="T197" s="407">
        <v>1.35</v>
      </c>
      <c r="U197" s="409">
        <v>1.794</v>
      </c>
      <c r="V197" s="409">
        <v>2.3319999999999999</v>
      </c>
      <c r="W197" s="409">
        <v>3.2719999999999998</v>
      </c>
      <c r="X197" s="409">
        <v>4.1609999999999996</v>
      </c>
      <c r="Y197" s="409">
        <v>5.5279999999999996</v>
      </c>
      <c r="Z197" s="409">
        <v>7.2649999999999997</v>
      </c>
      <c r="AA197" s="409">
        <v>9.9730000000000008</v>
      </c>
      <c r="AB197" s="409">
        <v>13.395</v>
      </c>
      <c r="AC197" s="409">
        <v>17.41</v>
      </c>
      <c r="AD197" s="409">
        <v>24.163</v>
      </c>
      <c r="AE197" s="409">
        <v>30.728999999999999</v>
      </c>
      <c r="AF197" s="409">
        <v>40.380000000000003</v>
      </c>
      <c r="AG197" s="409">
        <v>56.658000000000001</v>
      </c>
      <c r="AH197" s="409">
        <v>76.099000000000004</v>
      </c>
      <c r="AI197" s="335">
        <v>100</v>
      </c>
      <c r="AJ197" s="2"/>
    </row>
    <row r="198" spans="1:47" ht="15.75" customHeight="1">
      <c r="A198" s="200">
        <v>35</v>
      </c>
      <c r="B198" s="59">
        <v>3</v>
      </c>
      <c r="C198" s="2">
        <v>1.0999999999999999E-2</v>
      </c>
      <c r="D198" s="2">
        <v>1.4E-2</v>
      </c>
      <c r="E198" s="2">
        <v>1.7999999999999999E-2</v>
      </c>
      <c r="F198" s="2">
        <v>2.4E-2</v>
      </c>
      <c r="G198" s="2">
        <v>3.3000000000000002E-2</v>
      </c>
      <c r="H198" s="2">
        <v>4.2000000000000003E-2</v>
      </c>
      <c r="I198" s="2">
        <v>0.06</v>
      </c>
      <c r="J198" s="2">
        <v>7.5999999999999998E-2</v>
      </c>
      <c r="K198" s="2">
        <v>9.9000000000000005E-2</v>
      </c>
      <c r="L198" s="2">
        <v>0.129</v>
      </c>
      <c r="M198" s="2">
        <v>0.17699999999999999</v>
      </c>
      <c r="N198" s="2">
        <v>0.23799999999999999</v>
      </c>
      <c r="O198" s="2">
        <v>0.32600000000000001</v>
      </c>
      <c r="P198" s="2">
        <v>0.40600000000000003</v>
      </c>
      <c r="Q198" s="2">
        <v>0.56999999999999995</v>
      </c>
      <c r="R198" s="2">
        <v>0.74</v>
      </c>
      <c r="S198" s="409">
        <v>1.0169999999999999</v>
      </c>
      <c r="T198" s="407">
        <v>1.35</v>
      </c>
      <c r="U198" s="409">
        <v>1.794</v>
      </c>
      <c r="V198" s="409">
        <v>2.3319999999999999</v>
      </c>
      <c r="W198" s="409">
        <v>3.2719999999999998</v>
      </c>
      <c r="X198" s="409">
        <v>4.1609999999999996</v>
      </c>
      <c r="Y198" s="409">
        <v>5.5279999999999996</v>
      </c>
      <c r="Z198" s="409">
        <v>7.2649999999999997</v>
      </c>
      <c r="AA198" s="409">
        <v>9.9730000000000008</v>
      </c>
      <c r="AB198" s="409">
        <v>13.395</v>
      </c>
      <c r="AC198" s="409">
        <v>17.41</v>
      </c>
      <c r="AD198" s="409">
        <v>24.163</v>
      </c>
      <c r="AE198" s="409">
        <v>30.728999999999999</v>
      </c>
      <c r="AF198" s="409">
        <v>40.380000000000003</v>
      </c>
      <c r="AG198" s="409">
        <v>56.658000000000001</v>
      </c>
      <c r="AH198" s="409">
        <v>76.099000000000004</v>
      </c>
      <c r="AI198" s="335">
        <v>100</v>
      </c>
      <c r="AJ198" s="2"/>
    </row>
    <row r="199" spans="1:47" ht="15.75" customHeight="1">
      <c r="A199" s="202">
        <v>35</v>
      </c>
      <c r="B199" s="203">
        <v>4</v>
      </c>
      <c r="C199" s="30">
        <v>1.0999999999999999E-2</v>
      </c>
      <c r="D199" s="30">
        <v>1.4E-2</v>
      </c>
      <c r="E199" s="30">
        <v>1.7999999999999999E-2</v>
      </c>
      <c r="F199" s="30">
        <v>2.4E-2</v>
      </c>
      <c r="G199" s="30">
        <v>3.3000000000000002E-2</v>
      </c>
      <c r="H199" s="30">
        <v>4.2000000000000003E-2</v>
      </c>
      <c r="I199" s="30">
        <v>0.06</v>
      </c>
      <c r="J199" s="30">
        <v>7.5999999999999998E-2</v>
      </c>
      <c r="K199" s="30">
        <v>9.9000000000000005E-2</v>
      </c>
      <c r="L199" s="30">
        <v>0.129</v>
      </c>
      <c r="M199" s="30">
        <v>0.17699999999999999</v>
      </c>
      <c r="N199" s="30">
        <v>0.23799999999999999</v>
      </c>
      <c r="O199" s="30">
        <v>0.32600000000000001</v>
      </c>
      <c r="P199" s="30">
        <v>0.40600000000000003</v>
      </c>
      <c r="Q199" s="30">
        <v>0.56999999999999995</v>
      </c>
      <c r="R199" s="30">
        <v>0.74</v>
      </c>
      <c r="S199" s="97">
        <v>1.0169999999999999</v>
      </c>
      <c r="T199" s="30">
        <v>1.35</v>
      </c>
      <c r="U199" s="97">
        <v>1.794</v>
      </c>
      <c r="V199" s="97">
        <v>2.3319999999999999</v>
      </c>
      <c r="W199" s="97">
        <v>3.2719999999999998</v>
      </c>
      <c r="X199" s="97">
        <v>4.1609999999999996</v>
      </c>
      <c r="Y199" s="97">
        <v>5.5279999999999996</v>
      </c>
      <c r="Z199" s="97">
        <v>7.2649999999999997</v>
      </c>
      <c r="AA199" s="97">
        <v>9.9730000000000008</v>
      </c>
      <c r="AB199" s="97">
        <v>13.395</v>
      </c>
      <c r="AC199" s="97">
        <v>17.41</v>
      </c>
      <c r="AD199" s="97">
        <v>24.163</v>
      </c>
      <c r="AE199" s="97">
        <v>30.728999999999999</v>
      </c>
      <c r="AF199" s="97">
        <v>40.380000000000003</v>
      </c>
      <c r="AG199" s="97">
        <v>56.658000000000001</v>
      </c>
      <c r="AH199" s="97">
        <v>76.099000000000004</v>
      </c>
      <c r="AI199" s="336">
        <v>100</v>
      </c>
      <c r="AJ199" s="2"/>
    </row>
    <row r="200" spans="1:47" ht="15.75" customHeight="1">
      <c r="A200" s="205">
        <v>36</v>
      </c>
      <c r="B200" s="59">
        <v>1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407"/>
      <c r="T200" s="407"/>
      <c r="U200" s="407"/>
      <c r="V200" s="407"/>
      <c r="W200" s="407"/>
      <c r="X200" s="407"/>
      <c r="Y200" s="407"/>
      <c r="Z200" s="407"/>
      <c r="AA200" s="407"/>
      <c r="AB200" s="407"/>
      <c r="AC200" s="407"/>
      <c r="AD200" s="407"/>
      <c r="AE200" s="407"/>
      <c r="AF200" s="407"/>
      <c r="AG200" s="407"/>
      <c r="AH200" s="407"/>
      <c r="AI200" s="407"/>
    </row>
    <row r="201" spans="1:47" ht="15.75" customHeight="1">
      <c r="A201" s="205">
        <v>36</v>
      </c>
      <c r="B201" s="59">
        <v>2</v>
      </c>
    </row>
    <row r="202" spans="1:47" ht="15.75" customHeight="1">
      <c r="A202" s="205">
        <v>36</v>
      </c>
      <c r="B202" s="59">
        <v>3</v>
      </c>
    </row>
    <row r="203" spans="1:47" ht="15.75" customHeight="1">
      <c r="A203" s="213">
        <v>36</v>
      </c>
      <c r="B203" s="59">
        <v>4</v>
      </c>
    </row>
    <row r="204" spans="1:47" ht="15.75" customHeight="1">
      <c r="A204" s="205">
        <v>37</v>
      </c>
      <c r="B204" s="178">
        <v>1</v>
      </c>
    </row>
    <row r="205" spans="1:47" ht="15.75" customHeight="1">
      <c r="A205" s="205">
        <v>37</v>
      </c>
      <c r="B205" s="179">
        <v>2</v>
      </c>
    </row>
    <row r="206" spans="1:47" ht="15.75" customHeight="1">
      <c r="A206" s="205">
        <v>37</v>
      </c>
      <c r="B206" s="179">
        <v>3</v>
      </c>
    </row>
    <row r="207" spans="1:47" ht="15.75" customHeight="1">
      <c r="A207" s="205">
        <v>37</v>
      </c>
      <c r="B207" s="179">
        <v>4</v>
      </c>
    </row>
    <row r="208" spans="1:47" ht="15.75" customHeight="1">
      <c r="A208" s="205">
        <v>37</v>
      </c>
      <c r="B208" s="179">
        <v>5</v>
      </c>
    </row>
    <row r="209" spans="1:47" ht="15.75" customHeight="1">
      <c r="A209" s="205">
        <v>37</v>
      </c>
      <c r="B209" s="179">
        <v>6</v>
      </c>
    </row>
    <row r="210" spans="1:47" ht="15.75" customHeight="1">
      <c r="A210" s="205">
        <v>37</v>
      </c>
      <c r="B210" s="179">
        <v>7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47" ht="15.75" customHeight="1">
      <c r="A211" s="201">
        <v>38</v>
      </c>
      <c r="B211" s="58">
        <v>1</v>
      </c>
      <c r="C211" s="206">
        <f>6.283185*Angular_frequency!C211</f>
        <v>0.62203531499999998</v>
      </c>
      <c r="D211" s="206">
        <f>6.283185*Angular_frequency!D211</f>
        <v>0.78539812499999995</v>
      </c>
      <c r="E211" s="206">
        <f>6.283185*Angular_frequency!E211</f>
        <v>0.98017685999999993</v>
      </c>
      <c r="F211" s="206">
        <f>6.283185*Angular_frequency!F211</f>
        <v>1.2377874449999999</v>
      </c>
      <c r="G211" s="206">
        <f>6.283185*Angular_frequency!G211</f>
        <v>1.6084953599999998</v>
      </c>
      <c r="H211" s="206">
        <f>6.283185*Angular_frequency!H211</f>
        <v>1.9792032749999999</v>
      </c>
      <c r="I211" s="206">
        <f>6.283185*Angular_frequency!I211</f>
        <v>2.506990815</v>
      </c>
      <c r="J211" s="206">
        <f>6.283185*Angular_frequency!J211</f>
        <v>3.1415924999999998</v>
      </c>
      <c r="K211" s="206">
        <f>6.283185*Angular_frequency!K211</f>
        <v>3.9081410699999997</v>
      </c>
      <c r="L211" s="206">
        <f>6.283185*Angular_frequency!L211</f>
        <v>4.9888488899999999</v>
      </c>
      <c r="M211" s="206">
        <f>6.283185*Angular_frequency!M211</f>
        <v>6.3146009249999988</v>
      </c>
      <c r="N211" s="206">
        <f>6.283185*Angular_frequency!N211</f>
        <v>7.9859281349999991</v>
      </c>
      <c r="O211" s="206">
        <f>6.283185*Angular_frequency!O211</f>
        <v>10.203892440000001</v>
      </c>
      <c r="P211" s="206">
        <f>6.283185*Angular_frequency!P211</f>
        <v>12.553803629999999</v>
      </c>
      <c r="Q211" s="206">
        <f>6.283185*Angular_frequency!Q211</f>
        <v>15.739378424999998</v>
      </c>
      <c r="R211" s="206">
        <f>6.283185*Angular_frequency!R211</f>
        <v>20.294687549999999</v>
      </c>
      <c r="S211" s="206">
        <f>6.283185*Angular_frequency!S211</f>
        <v>25.201855034999998</v>
      </c>
      <c r="T211" s="206">
        <f>6.283185*Angular_frequency!T211</f>
        <v>31.591854179999995</v>
      </c>
      <c r="U211" s="206">
        <f>6.283185*Angular_frequency!U211</f>
        <v>40.356897255</v>
      </c>
      <c r="V211" s="206">
        <f>6.283185*Angular_frequency!V211</f>
        <v>51.559816109999993</v>
      </c>
      <c r="W211" s="207">
        <f>6.283185*Angular_frequency!W211</f>
        <v>64.025655149999992</v>
      </c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0"/>
      <c r="AU211" s="2"/>
    </row>
    <row r="212" spans="1:47" ht="15.75" customHeight="1">
      <c r="A212" s="200">
        <v>38</v>
      </c>
      <c r="B212" s="59">
        <v>2</v>
      </c>
      <c r="C212" s="2">
        <f>6.283185*Angular_frequency!C212</f>
        <v>0.62203531499999998</v>
      </c>
      <c r="D212" s="2">
        <f>6.283185*Angular_frequency!D212</f>
        <v>0.78539812499999995</v>
      </c>
      <c r="E212" s="2">
        <f>6.283185*Angular_frequency!E212</f>
        <v>0.98017685999999993</v>
      </c>
      <c r="F212" s="2">
        <f>6.283185*Angular_frequency!F212</f>
        <v>1.2377874449999999</v>
      </c>
      <c r="G212" s="2">
        <f>6.283185*Angular_frequency!G212</f>
        <v>1.6084953599999998</v>
      </c>
      <c r="H212" s="2">
        <f>6.283185*Angular_frequency!H212</f>
        <v>1.9792032749999999</v>
      </c>
      <c r="I212" s="2">
        <f>6.283185*Angular_frequency!I212</f>
        <v>2.506990815</v>
      </c>
      <c r="J212" s="2">
        <f>6.283185*Angular_frequency!J212</f>
        <v>3.1415924999999998</v>
      </c>
      <c r="K212" s="2">
        <f>6.283185*Angular_frequency!K212</f>
        <v>3.9081410699999997</v>
      </c>
      <c r="L212" s="2">
        <f>6.283185*Angular_frequency!L212</f>
        <v>4.9888488899999999</v>
      </c>
      <c r="M212" s="2">
        <f>6.283185*Angular_frequency!M212</f>
        <v>6.3146009249999988</v>
      </c>
      <c r="N212" s="2">
        <f>6.283185*Angular_frequency!N212</f>
        <v>7.9859281349999991</v>
      </c>
      <c r="O212" s="2">
        <f>6.283185*Angular_frequency!O212</f>
        <v>10.203892440000001</v>
      </c>
      <c r="P212" s="2">
        <f>6.283185*Angular_frequency!P212</f>
        <v>12.553803629999999</v>
      </c>
      <c r="Q212" s="2">
        <f>6.283185*Angular_frequency!Q212</f>
        <v>15.739378424999998</v>
      </c>
      <c r="R212" s="2">
        <f>6.283185*Angular_frequency!R212</f>
        <v>20.294687549999999</v>
      </c>
      <c r="S212" s="2">
        <f>6.283185*Angular_frequency!S212</f>
        <v>25.201855034999998</v>
      </c>
      <c r="T212" s="2">
        <f>6.283185*Angular_frequency!T212</f>
        <v>31.591854179999995</v>
      </c>
      <c r="U212" s="2">
        <f>6.283185*Angular_frequency!U212</f>
        <v>40.356897255</v>
      </c>
      <c r="V212" s="2">
        <f>6.283185*Angular_frequency!V212</f>
        <v>51.559816109999993</v>
      </c>
      <c r="W212" s="208">
        <f>6.283185*Angular_frequency!W212</f>
        <v>64.025655149999992</v>
      </c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0"/>
      <c r="AU212" s="2"/>
    </row>
    <row r="213" spans="1:47" ht="15.75" customHeight="1">
      <c r="A213" s="200">
        <v>38</v>
      </c>
      <c r="B213" s="59">
        <v>3</v>
      </c>
      <c r="C213" s="2">
        <f>6.283185*Angular_frequency!C213</f>
        <v>0.62203531499999998</v>
      </c>
      <c r="D213" s="2">
        <f>6.283185*Angular_frequency!D213</f>
        <v>0.78539812499999995</v>
      </c>
      <c r="E213" s="2">
        <f>6.283185*Angular_frequency!E213</f>
        <v>0.98017685999999993</v>
      </c>
      <c r="F213" s="2">
        <f>6.283185*Angular_frequency!F213</f>
        <v>1.2377874449999999</v>
      </c>
      <c r="G213" s="2">
        <f>6.283185*Angular_frequency!G213</f>
        <v>1.6084953599999998</v>
      </c>
      <c r="H213" s="2">
        <f>6.283185*Angular_frequency!H213</f>
        <v>1.9792032749999999</v>
      </c>
      <c r="I213" s="2">
        <f>6.283185*Angular_frequency!I213</f>
        <v>2.506990815</v>
      </c>
      <c r="J213" s="2">
        <f>6.283185*Angular_frequency!J213</f>
        <v>3.1415924999999998</v>
      </c>
      <c r="K213" s="2">
        <f>6.283185*Angular_frequency!K213</f>
        <v>3.9081410699999997</v>
      </c>
      <c r="L213" s="2">
        <f>6.283185*Angular_frequency!L213</f>
        <v>4.9888488899999999</v>
      </c>
      <c r="M213" s="2">
        <f>6.283185*Angular_frequency!M213</f>
        <v>6.3146009249999988</v>
      </c>
      <c r="N213" s="2">
        <f>6.283185*Angular_frequency!N213</f>
        <v>7.9859281349999991</v>
      </c>
      <c r="O213" s="2">
        <f>6.283185*Angular_frequency!O213</f>
        <v>10.203892440000001</v>
      </c>
      <c r="P213" s="2">
        <f>6.283185*Angular_frequency!P213</f>
        <v>12.553803629999999</v>
      </c>
      <c r="Q213" s="2">
        <f>6.283185*Angular_frequency!Q213</f>
        <v>15.739378424999998</v>
      </c>
      <c r="R213" s="2">
        <f>6.283185*Angular_frequency!R213</f>
        <v>20.294687549999999</v>
      </c>
      <c r="S213" s="2">
        <f>6.283185*Angular_frequency!S213</f>
        <v>25.201855034999998</v>
      </c>
      <c r="T213" s="2">
        <f>6.283185*Angular_frequency!T213</f>
        <v>31.591854179999995</v>
      </c>
      <c r="U213" s="2">
        <f>6.283185*Angular_frequency!U213</f>
        <v>40.356897255</v>
      </c>
      <c r="V213" s="2">
        <f>6.283185*Angular_frequency!V213</f>
        <v>51.559816109999993</v>
      </c>
      <c r="W213" s="208">
        <f>6.283185*Angular_frequency!W213</f>
        <v>64.025655149999992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0"/>
      <c r="AU213" s="2"/>
    </row>
    <row r="214" spans="1:47" ht="15.75" customHeight="1">
      <c r="A214" s="200">
        <v>38</v>
      </c>
      <c r="B214" s="59">
        <v>4</v>
      </c>
      <c r="C214" s="2">
        <f>6.283185*Angular_frequency!C214</f>
        <v>0.62203531499999998</v>
      </c>
      <c r="D214" s="2">
        <f>6.283185*Angular_frequency!D214</f>
        <v>0.78539812499999995</v>
      </c>
      <c r="E214" s="2">
        <f>6.283185*Angular_frequency!E214</f>
        <v>0.98017685999999993</v>
      </c>
      <c r="F214" s="2">
        <f>6.283185*Angular_frequency!F214</f>
        <v>1.2377874449999999</v>
      </c>
      <c r="G214" s="2">
        <f>6.283185*Angular_frequency!G214</f>
        <v>1.6084953599999998</v>
      </c>
      <c r="H214" s="2">
        <f>6.283185*Angular_frequency!H214</f>
        <v>1.9792032749999999</v>
      </c>
      <c r="I214" s="2">
        <f>6.283185*Angular_frequency!I214</f>
        <v>2.506990815</v>
      </c>
      <c r="J214" s="2">
        <f>6.283185*Angular_frequency!J214</f>
        <v>3.1415924999999998</v>
      </c>
      <c r="K214" s="2">
        <f>6.283185*Angular_frequency!K214</f>
        <v>3.9081410699999997</v>
      </c>
      <c r="L214" s="2">
        <f>6.283185*Angular_frequency!L214</f>
        <v>4.9888488899999999</v>
      </c>
      <c r="M214" s="2">
        <f>6.283185*Angular_frequency!M214</f>
        <v>6.3146009249999988</v>
      </c>
      <c r="N214" s="2">
        <f>6.283185*Angular_frequency!N214</f>
        <v>7.9859281349999991</v>
      </c>
      <c r="O214" s="2">
        <f>6.283185*Angular_frequency!O214</f>
        <v>10.203892440000001</v>
      </c>
      <c r="P214" s="2">
        <f>6.283185*Angular_frequency!P214</f>
        <v>12.553803629999999</v>
      </c>
      <c r="Q214" s="2">
        <f>6.283185*Angular_frequency!Q214</f>
        <v>15.739378424999998</v>
      </c>
      <c r="R214" s="2">
        <f>6.283185*Angular_frequency!R214</f>
        <v>20.294687549999999</v>
      </c>
      <c r="S214" s="2">
        <f>6.283185*Angular_frequency!S214</f>
        <v>25.201855034999998</v>
      </c>
      <c r="T214" s="2">
        <f>6.283185*Angular_frequency!T214</f>
        <v>31.591854179999995</v>
      </c>
      <c r="U214" s="2">
        <f>6.283185*Angular_frequency!U214</f>
        <v>40.356897255</v>
      </c>
      <c r="V214" s="2">
        <f>6.283185*Angular_frequency!V214</f>
        <v>51.559816109999993</v>
      </c>
      <c r="W214" s="208">
        <f>6.283185*Angular_frequency!W214</f>
        <v>64.025655149999992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0"/>
      <c r="AU214" s="2"/>
    </row>
    <row r="215" spans="1:47" ht="15.75" customHeight="1">
      <c r="A215" s="200">
        <v>38</v>
      </c>
      <c r="B215" s="59">
        <v>5</v>
      </c>
      <c r="C215" s="2">
        <f>6.283185*Angular_frequency!C215</f>
        <v>0.62203531499999998</v>
      </c>
      <c r="D215" s="2">
        <f>6.283185*Angular_frequency!D215</f>
        <v>0.78539812499999995</v>
      </c>
      <c r="E215" s="2">
        <f>6.283185*Angular_frequency!E215</f>
        <v>0.98017685999999993</v>
      </c>
      <c r="F215" s="2">
        <f>6.283185*Angular_frequency!F215</f>
        <v>1.2377874449999999</v>
      </c>
      <c r="G215" s="2">
        <f>6.283185*Angular_frequency!G215</f>
        <v>1.6084953599999998</v>
      </c>
      <c r="H215" s="2">
        <f>6.283185*Angular_frequency!H215</f>
        <v>1.9792032749999999</v>
      </c>
      <c r="I215" s="2">
        <f>6.283185*Angular_frequency!I215</f>
        <v>2.506990815</v>
      </c>
      <c r="J215" s="2">
        <f>6.283185*Angular_frequency!J215</f>
        <v>3.1415924999999998</v>
      </c>
      <c r="K215" s="2">
        <f>6.283185*Angular_frequency!K215</f>
        <v>3.9081410699999997</v>
      </c>
      <c r="L215" s="2">
        <f>6.283185*Angular_frequency!L215</f>
        <v>4.9888488899999999</v>
      </c>
      <c r="M215" s="2">
        <f>6.283185*Angular_frequency!M215</f>
        <v>6.3146009249999988</v>
      </c>
      <c r="N215" s="2">
        <f>6.283185*Angular_frequency!N215</f>
        <v>7.9859281349999991</v>
      </c>
      <c r="O215" s="2">
        <f>6.283185*Angular_frequency!O215</f>
        <v>10.203892440000001</v>
      </c>
      <c r="P215" s="2">
        <f>6.283185*Angular_frequency!P215</f>
        <v>12.553803629999999</v>
      </c>
      <c r="Q215" s="2">
        <f>6.283185*Angular_frequency!Q215</f>
        <v>15.739378424999998</v>
      </c>
      <c r="R215" s="2">
        <f>6.283185*Angular_frequency!R215</f>
        <v>20.294687549999999</v>
      </c>
      <c r="S215" s="2">
        <f>6.283185*Angular_frequency!S215</f>
        <v>25.201855034999998</v>
      </c>
      <c r="T215" s="2">
        <f>6.283185*Angular_frequency!T215</f>
        <v>31.591854179999995</v>
      </c>
      <c r="U215" s="2">
        <f>6.283185*Angular_frequency!U215</f>
        <v>40.356897255</v>
      </c>
      <c r="V215" s="2">
        <f>6.283185*Angular_frequency!V215</f>
        <v>51.559816109999993</v>
      </c>
      <c r="W215" s="208">
        <f>6.283185*Angular_frequency!W215</f>
        <v>64.025655149999992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0"/>
      <c r="AU215" s="2"/>
    </row>
    <row r="216" spans="1:47" ht="15.75" customHeight="1">
      <c r="A216" s="202">
        <v>38</v>
      </c>
      <c r="B216" s="203">
        <v>6</v>
      </c>
      <c r="C216" s="30">
        <f>6.283185*Angular_frequency!C216</f>
        <v>0.62203531499999998</v>
      </c>
      <c r="D216" s="30">
        <f>6.283185*Angular_frequency!D216</f>
        <v>0.78539812499999995</v>
      </c>
      <c r="E216" s="30">
        <f>6.283185*Angular_frequency!E216</f>
        <v>0.98017685999999993</v>
      </c>
      <c r="F216" s="30">
        <f>6.283185*Angular_frequency!F216</f>
        <v>1.2377874449999999</v>
      </c>
      <c r="G216" s="30">
        <f>6.283185*Angular_frequency!G216</f>
        <v>1.6084953599999998</v>
      </c>
      <c r="H216" s="30">
        <f>6.283185*Angular_frequency!H216</f>
        <v>1.9792032749999999</v>
      </c>
      <c r="I216" s="30">
        <f>6.283185*Angular_frequency!I216</f>
        <v>2.506990815</v>
      </c>
      <c r="J216" s="30">
        <f>6.283185*Angular_frequency!J216</f>
        <v>3.1415924999999998</v>
      </c>
      <c r="K216" s="30">
        <f>6.283185*Angular_frequency!K216</f>
        <v>3.9081410699999997</v>
      </c>
      <c r="L216" s="30">
        <f>6.283185*Angular_frequency!L216</f>
        <v>4.9888488899999999</v>
      </c>
      <c r="M216" s="30">
        <f>6.283185*Angular_frequency!M216</f>
        <v>6.3146009249999988</v>
      </c>
      <c r="N216" s="30">
        <f>6.283185*Angular_frequency!N216</f>
        <v>7.9859281349999991</v>
      </c>
      <c r="O216" s="30">
        <f>6.283185*Angular_frequency!O216</f>
        <v>10.203892440000001</v>
      </c>
      <c r="P216" s="30">
        <f>6.283185*Angular_frequency!P216</f>
        <v>12.553803629999999</v>
      </c>
      <c r="Q216" s="30">
        <f>6.283185*Angular_frequency!Q216</f>
        <v>15.739378424999998</v>
      </c>
      <c r="R216" s="30">
        <f>6.283185*Angular_frequency!R216</f>
        <v>20.294687549999999</v>
      </c>
      <c r="S216" s="30">
        <f>6.283185*Angular_frequency!S216</f>
        <v>25.201855034999998</v>
      </c>
      <c r="T216" s="30">
        <f>6.283185*Angular_frequency!T216</f>
        <v>31.591854179999995</v>
      </c>
      <c r="U216" s="30">
        <f>6.283185*Angular_frequency!U216</f>
        <v>40.356897255</v>
      </c>
      <c r="V216" s="30">
        <f>6.283185*Angular_frequency!V216</f>
        <v>51.559816109999993</v>
      </c>
      <c r="W216" s="209">
        <f>6.283185*Angular_frequency!W216</f>
        <v>64.025655149999992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0"/>
      <c r="AU216" s="2"/>
    </row>
    <row r="217" spans="1:47" ht="15.75" customHeight="1">
      <c r="A217" s="201">
        <v>39</v>
      </c>
      <c r="B217" s="58">
        <v>1</v>
      </c>
      <c r="C217" s="119">
        <v>0.104</v>
      </c>
      <c r="D217" s="196">
        <v>0.161</v>
      </c>
      <c r="E217" s="196">
        <v>0.29099999999999998</v>
      </c>
      <c r="F217" s="196">
        <v>0.57699999999999996</v>
      </c>
      <c r="G217" s="196">
        <v>1.458</v>
      </c>
      <c r="H217" s="196">
        <v>3.5739999999999998</v>
      </c>
      <c r="I217" s="196">
        <v>7.8310000000000004</v>
      </c>
      <c r="J217" s="196">
        <v>17.513000000000002</v>
      </c>
      <c r="K217" s="196">
        <v>35.734999999999999</v>
      </c>
      <c r="L217" s="196">
        <v>84.957999999999998</v>
      </c>
      <c r="M217" s="22">
        <v>206.13900000000001</v>
      </c>
      <c r="N217" s="259">
        <v>339.60500000000002</v>
      </c>
      <c r="O217" s="2"/>
      <c r="P217" s="2"/>
      <c r="Q217" s="2"/>
      <c r="R217" s="2"/>
      <c r="S217" s="2"/>
      <c r="T217" s="2"/>
      <c r="U217" s="2"/>
      <c r="V217" s="2"/>
      <c r="W217" s="2"/>
    </row>
    <row r="218" spans="1:47" ht="15.75" customHeight="1">
      <c r="A218" s="200">
        <v>39</v>
      </c>
      <c r="B218" s="59">
        <v>2</v>
      </c>
      <c r="C218" s="120">
        <v>0.104</v>
      </c>
      <c r="D218" s="22">
        <v>0.161</v>
      </c>
      <c r="E218" s="22">
        <v>0.29099999999999998</v>
      </c>
      <c r="F218" s="22">
        <v>0.57699999999999996</v>
      </c>
      <c r="G218" s="22">
        <v>1.458</v>
      </c>
      <c r="H218" s="22">
        <v>3.5739999999999998</v>
      </c>
      <c r="I218" s="22">
        <v>7.8310000000000004</v>
      </c>
      <c r="J218" s="22">
        <v>17.513000000000002</v>
      </c>
      <c r="K218" s="22">
        <v>35.734999999999999</v>
      </c>
      <c r="L218" s="22">
        <v>84.957999999999998</v>
      </c>
      <c r="M218" s="22">
        <v>206.13900000000001</v>
      </c>
      <c r="N218" s="259">
        <v>339.60500000000002</v>
      </c>
      <c r="O218" s="2"/>
    </row>
    <row r="219" spans="1:47" ht="15.75" customHeight="1">
      <c r="A219" s="200">
        <v>39</v>
      </c>
      <c r="B219" s="59">
        <v>3</v>
      </c>
      <c r="C219" s="120">
        <v>0.104</v>
      </c>
      <c r="D219" s="22">
        <v>0.161</v>
      </c>
      <c r="E219" s="22">
        <v>0.29099999999999998</v>
      </c>
      <c r="F219" s="22">
        <v>0.57699999999999996</v>
      </c>
      <c r="G219" s="22">
        <v>1.458</v>
      </c>
      <c r="H219" s="22">
        <v>3.5739999999999998</v>
      </c>
      <c r="I219" s="22">
        <v>7.8310000000000004</v>
      </c>
      <c r="J219" s="22">
        <v>17.513000000000002</v>
      </c>
      <c r="K219" s="22">
        <v>35.734999999999999</v>
      </c>
      <c r="L219" s="22">
        <v>84.957999999999998</v>
      </c>
      <c r="M219" s="22">
        <v>206.13900000000001</v>
      </c>
      <c r="N219" s="259">
        <v>339.60500000000002</v>
      </c>
      <c r="O219" s="2"/>
    </row>
    <row r="220" spans="1:47" ht="15.75" customHeight="1">
      <c r="A220" s="200">
        <v>39</v>
      </c>
      <c r="B220" s="59">
        <v>4</v>
      </c>
      <c r="C220" s="120">
        <v>0.104</v>
      </c>
      <c r="D220" s="22">
        <v>0.161</v>
      </c>
      <c r="E220" s="22">
        <v>0.29099999999999998</v>
      </c>
      <c r="F220" s="22">
        <v>0.57699999999999996</v>
      </c>
      <c r="G220" s="22">
        <v>1.458</v>
      </c>
      <c r="H220" s="22">
        <v>3.5739999999999998</v>
      </c>
      <c r="I220" s="22">
        <v>7.8310000000000004</v>
      </c>
      <c r="J220" s="22">
        <v>17.513000000000002</v>
      </c>
      <c r="K220" s="22">
        <v>35.734999999999999</v>
      </c>
      <c r="L220" s="22">
        <v>84.957999999999998</v>
      </c>
      <c r="M220" s="22">
        <v>206.13900000000001</v>
      </c>
      <c r="N220" s="259">
        <v>339.60500000000002</v>
      </c>
      <c r="O220" s="2"/>
    </row>
    <row r="221" spans="1:47" ht="15.75" customHeight="1">
      <c r="A221" s="200">
        <v>39</v>
      </c>
      <c r="B221" s="59">
        <v>5</v>
      </c>
      <c r="C221" s="120">
        <v>9.5000000000000001E-2</v>
      </c>
      <c r="D221" s="22">
        <v>0.152</v>
      </c>
      <c r="E221" s="22">
        <v>0.41199999999999998</v>
      </c>
      <c r="F221" s="22">
        <v>1.839</v>
      </c>
      <c r="G221" s="22">
        <v>7.8079999999999998</v>
      </c>
      <c r="H221" s="22">
        <v>39.484000000000002</v>
      </c>
      <c r="I221" s="22">
        <v>134.12299999999999</v>
      </c>
      <c r="J221" s="22">
        <v>353.99599999999998</v>
      </c>
      <c r="K221" s="22"/>
      <c r="L221" s="22"/>
      <c r="M221" s="22"/>
      <c r="N221" s="259"/>
      <c r="O221" s="2"/>
    </row>
    <row r="222" spans="1:47" ht="15.75" customHeight="1">
      <c r="A222" s="200">
        <v>39</v>
      </c>
      <c r="B222" s="59">
        <v>6</v>
      </c>
      <c r="C222" s="120">
        <v>9.5000000000000001E-2</v>
      </c>
      <c r="D222" s="22">
        <v>0.152</v>
      </c>
      <c r="E222" s="22">
        <v>0.41199999999999998</v>
      </c>
      <c r="F222" s="22">
        <v>1.839</v>
      </c>
      <c r="G222" s="22">
        <v>7.8079999999999998</v>
      </c>
      <c r="H222" s="22">
        <v>39.484000000000002</v>
      </c>
      <c r="I222" s="22">
        <v>134.12299999999999</v>
      </c>
      <c r="J222" s="22">
        <v>353.99599999999998</v>
      </c>
      <c r="K222" s="22"/>
      <c r="L222" s="22"/>
      <c r="M222" s="22"/>
      <c r="N222" s="259"/>
      <c r="O222" s="2"/>
    </row>
    <row r="223" spans="1:47" ht="15.75" customHeight="1">
      <c r="A223" s="200">
        <v>39</v>
      </c>
      <c r="B223" s="59">
        <v>7</v>
      </c>
      <c r="C223" s="120">
        <v>9.5000000000000001E-2</v>
      </c>
      <c r="D223" s="22">
        <v>0.152</v>
      </c>
      <c r="E223" s="22">
        <v>0.41199999999999998</v>
      </c>
      <c r="F223" s="22">
        <v>1.839</v>
      </c>
      <c r="G223" s="22">
        <v>7.8079999999999998</v>
      </c>
      <c r="H223" s="22">
        <v>39.484000000000002</v>
      </c>
      <c r="I223" s="22">
        <v>134.12299999999999</v>
      </c>
      <c r="J223" s="22">
        <v>353.99599999999998</v>
      </c>
      <c r="K223" s="22"/>
      <c r="L223" s="22"/>
      <c r="M223" s="22"/>
      <c r="N223" s="259"/>
      <c r="O223" s="2"/>
    </row>
    <row r="224" spans="1:47" ht="15.75" customHeight="1">
      <c r="A224" s="202">
        <v>39</v>
      </c>
      <c r="B224" s="203">
        <v>8</v>
      </c>
      <c r="C224" s="121">
        <v>9.5000000000000001E-2</v>
      </c>
      <c r="D224" s="27">
        <v>0.152</v>
      </c>
      <c r="E224" s="27">
        <v>0.41199999999999998</v>
      </c>
      <c r="F224" s="27">
        <v>1.839</v>
      </c>
      <c r="G224" s="27">
        <v>7.8079999999999998</v>
      </c>
      <c r="H224" s="27">
        <v>39.484000000000002</v>
      </c>
      <c r="I224" s="27">
        <v>134.12299999999999</v>
      </c>
      <c r="J224" s="27">
        <v>353.99599999999998</v>
      </c>
      <c r="K224" s="27"/>
      <c r="L224" s="27"/>
      <c r="M224" s="27"/>
      <c r="N224" s="262"/>
      <c r="O224" s="2"/>
    </row>
    <row r="225" spans="1:47" ht="15.75" customHeight="1">
      <c r="A225" s="177">
        <v>41</v>
      </c>
      <c r="B225" s="178">
        <v>1</v>
      </c>
      <c r="C225" s="206">
        <v>0.1</v>
      </c>
      <c r="D225" s="206">
        <v>0.13800000000000001</v>
      </c>
      <c r="E225" s="206">
        <v>0.187</v>
      </c>
      <c r="F225" s="206">
        <v>0.249</v>
      </c>
      <c r="G225" s="206">
        <v>0.34399999999999997</v>
      </c>
      <c r="H225" s="206">
        <v>0.46800000000000003</v>
      </c>
      <c r="I225" s="206">
        <v>0.628</v>
      </c>
      <c r="J225" s="206">
        <v>0.86099999999999999</v>
      </c>
      <c r="K225" s="206">
        <v>1.181</v>
      </c>
      <c r="L225" s="206">
        <v>1.607</v>
      </c>
      <c r="M225" s="206">
        <v>2.1880000000000002</v>
      </c>
      <c r="N225" s="206">
        <v>2.9580000000000002</v>
      </c>
      <c r="O225" s="206">
        <v>3.944</v>
      </c>
      <c r="P225" s="206">
        <v>5.407</v>
      </c>
      <c r="Q225" s="206">
        <v>7.26</v>
      </c>
      <c r="R225" s="206">
        <v>10.023</v>
      </c>
      <c r="S225" s="206">
        <v>13.457000000000001</v>
      </c>
      <c r="T225" s="206">
        <v>18.45</v>
      </c>
      <c r="U225" s="206">
        <v>24.943000000000001</v>
      </c>
      <c r="V225" s="206">
        <v>34.198999999999998</v>
      </c>
      <c r="W225" s="206">
        <v>45.911999999999999</v>
      </c>
      <c r="X225" s="206">
        <v>62.948</v>
      </c>
      <c r="Y225" s="206">
        <v>85.103999999999999</v>
      </c>
      <c r="Z225" s="207">
        <v>100</v>
      </c>
      <c r="AA225" s="2"/>
    </row>
    <row r="226" spans="1:47" ht="15.75" customHeight="1">
      <c r="A226" s="174">
        <v>41</v>
      </c>
      <c r="B226" s="179">
        <v>2</v>
      </c>
      <c r="C226" s="2">
        <v>0.1</v>
      </c>
      <c r="D226" s="2">
        <v>0.13800000000000001</v>
      </c>
      <c r="E226" s="2">
        <v>0.187</v>
      </c>
      <c r="F226" s="2">
        <v>0.249</v>
      </c>
      <c r="G226" s="2">
        <v>0.34399999999999997</v>
      </c>
      <c r="H226" s="2">
        <v>0.46800000000000003</v>
      </c>
      <c r="I226" s="2">
        <v>0.628</v>
      </c>
      <c r="J226" s="2">
        <v>0.86099999999999999</v>
      </c>
      <c r="K226" s="2">
        <v>1.181</v>
      </c>
      <c r="L226" s="2">
        <v>1.607</v>
      </c>
      <c r="M226" s="2">
        <v>2.1880000000000002</v>
      </c>
      <c r="N226" s="2">
        <v>2.9580000000000002</v>
      </c>
      <c r="O226" s="2">
        <v>3.944</v>
      </c>
      <c r="P226" s="2">
        <v>5.407</v>
      </c>
      <c r="Q226" s="2">
        <v>7.26</v>
      </c>
      <c r="R226" s="2">
        <v>10.023</v>
      </c>
      <c r="S226" s="2">
        <v>13.457000000000001</v>
      </c>
      <c r="T226" s="2">
        <v>18.45</v>
      </c>
      <c r="U226" s="2">
        <v>24.943000000000001</v>
      </c>
      <c r="V226" s="2">
        <v>34.198999999999998</v>
      </c>
      <c r="W226" s="2">
        <v>45.911999999999999</v>
      </c>
      <c r="X226" s="2">
        <v>62.948</v>
      </c>
      <c r="Y226" s="2">
        <v>85.103999999999999</v>
      </c>
      <c r="Z226" s="208">
        <v>100</v>
      </c>
      <c r="AA226" s="2"/>
    </row>
    <row r="227" spans="1:47" ht="15.75" customHeight="1">
      <c r="A227" s="174">
        <v>41</v>
      </c>
      <c r="B227" s="179">
        <v>3</v>
      </c>
      <c r="C227" s="2">
        <v>0.1</v>
      </c>
      <c r="D227" s="2">
        <v>0.13800000000000001</v>
      </c>
      <c r="E227" s="2">
        <v>0.187</v>
      </c>
      <c r="F227" s="2">
        <v>0.249</v>
      </c>
      <c r="G227" s="2">
        <v>0.34399999999999997</v>
      </c>
      <c r="H227" s="2">
        <v>0.46800000000000003</v>
      </c>
      <c r="I227" s="2">
        <v>0.628</v>
      </c>
      <c r="J227" s="2">
        <v>0.86099999999999999</v>
      </c>
      <c r="K227" s="2">
        <v>1.181</v>
      </c>
      <c r="L227" s="2">
        <v>1.607</v>
      </c>
      <c r="M227" s="2">
        <v>2.1880000000000002</v>
      </c>
      <c r="N227" s="2">
        <v>2.9580000000000002</v>
      </c>
      <c r="O227" s="2">
        <v>3.944</v>
      </c>
      <c r="P227" s="2">
        <v>5.407</v>
      </c>
      <c r="Q227" s="2">
        <v>7.26</v>
      </c>
      <c r="R227" s="2">
        <v>10.023</v>
      </c>
      <c r="S227" s="2">
        <v>13.457000000000001</v>
      </c>
      <c r="T227" s="2">
        <v>18.45</v>
      </c>
      <c r="U227" s="2">
        <v>24.943000000000001</v>
      </c>
      <c r="V227" s="2">
        <v>34.198999999999998</v>
      </c>
      <c r="W227" s="2">
        <v>45.911999999999999</v>
      </c>
      <c r="X227" s="2">
        <v>62.948</v>
      </c>
      <c r="Y227" s="2">
        <v>85.103999999999999</v>
      </c>
      <c r="Z227" s="208">
        <v>100</v>
      </c>
      <c r="AA227" s="2"/>
    </row>
    <row r="228" spans="1:47" ht="15.75" customHeight="1">
      <c r="A228" s="174">
        <v>41</v>
      </c>
      <c r="B228" s="179">
        <v>4</v>
      </c>
      <c r="C228" s="2">
        <v>0.1</v>
      </c>
      <c r="D228" s="2">
        <v>0.13800000000000001</v>
      </c>
      <c r="E228" s="2">
        <v>0.187</v>
      </c>
      <c r="F228" s="2">
        <v>0.249</v>
      </c>
      <c r="G228" s="2">
        <v>0.34399999999999997</v>
      </c>
      <c r="H228" s="2">
        <v>0.46800000000000003</v>
      </c>
      <c r="I228" s="2">
        <v>0.628</v>
      </c>
      <c r="J228" s="2">
        <v>0.86099999999999999</v>
      </c>
      <c r="K228" s="2">
        <v>1.181</v>
      </c>
      <c r="L228" s="2">
        <v>1.607</v>
      </c>
      <c r="M228" s="2">
        <v>2.1880000000000002</v>
      </c>
      <c r="N228" s="2">
        <v>2.9580000000000002</v>
      </c>
      <c r="O228" s="2">
        <v>3.944</v>
      </c>
      <c r="P228" s="2">
        <v>5.407</v>
      </c>
      <c r="Q228" s="2">
        <v>7.26</v>
      </c>
      <c r="R228" s="2">
        <v>10.023</v>
      </c>
      <c r="S228" s="2">
        <v>13.457000000000001</v>
      </c>
      <c r="T228" s="2">
        <v>18.45</v>
      </c>
      <c r="U228" s="2">
        <v>24.943000000000001</v>
      </c>
      <c r="V228" s="2">
        <v>34.198999999999998</v>
      </c>
      <c r="W228" s="2">
        <v>45.911999999999999</v>
      </c>
      <c r="X228" s="2">
        <v>62.948</v>
      </c>
      <c r="Y228" s="2">
        <v>85.103999999999999</v>
      </c>
      <c r="Z228" s="208">
        <v>100</v>
      </c>
      <c r="AA228" s="2"/>
    </row>
    <row r="229" spans="1:47" ht="15.75" customHeight="1">
      <c r="A229" s="174">
        <v>41</v>
      </c>
      <c r="B229" s="179">
        <v>5</v>
      </c>
      <c r="C229" s="2">
        <v>0.1</v>
      </c>
      <c r="D229" s="2">
        <v>0.13800000000000001</v>
      </c>
      <c r="E229" s="2">
        <v>0.187</v>
      </c>
      <c r="F229" s="2">
        <v>0.249</v>
      </c>
      <c r="G229" s="2">
        <v>0.34399999999999997</v>
      </c>
      <c r="H229" s="2">
        <v>0.46800000000000003</v>
      </c>
      <c r="I229" s="2">
        <v>0.628</v>
      </c>
      <c r="J229" s="2">
        <v>0.86099999999999999</v>
      </c>
      <c r="K229" s="2">
        <v>1.181</v>
      </c>
      <c r="L229" s="2">
        <v>1.607</v>
      </c>
      <c r="M229" s="2">
        <v>2.1880000000000002</v>
      </c>
      <c r="N229" s="2">
        <v>2.9580000000000002</v>
      </c>
      <c r="O229" s="2">
        <v>3.944</v>
      </c>
      <c r="P229" s="2">
        <v>5.407</v>
      </c>
      <c r="Q229" s="2">
        <v>7.26</v>
      </c>
      <c r="R229" s="2">
        <v>10.023</v>
      </c>
      <c r="S229" s="2">
        <v>13.457000000000001</v>
      </c>
      <c r="T229" s="2">
        <v>18.45</v>
      </c>
      <c r="U229" s="2">
        <v>24.943000000000001</v>
      </c>
      <c r="V229" s="2">
        <v>34.198999999999998</v>
      </c>
      <c r="W229" s="2">
        <v>45.911999999999999</v>
      </c>
      <c r="X229" s="2">
        <v>62.948</v>
      </c>
      <c r="Y229" s="2">
        <v>85.103999999999999</v>
      </c>
      <c r="Z229" s="208">
        <v>100</v>
      </c>
      <c r="AA229" s="2"/>
    </row>
    <row r="230" spans="1:47" ht="15.75" customHeight="1">
      <c r="A230" s="174">
        <v>41</v>
      </c>
      <c r="B230" s="179">
        <v>6</v>
      </c>
      <c r="C230" s="2">
        <v>0.1</v>
      </c>
      <c r="D230" s="2">
        <v>0.13800000000000001</v>
      </c>
      <c r="E230" s="2">
        <v>0.187</v>
      </c>
      <c r="F230" s="2">
        <v>0.249</v>
      </c>
      <c r="G230" s="2">
        <v>0.34399999999999997</v>
      </c>
      <c r="H230" s="2">
        <v>0.46800000000000003</v>
      </c>
      <c r="I230" s="2">
        <v>0.628</v>
      </c>
      <c r="J230" s="2">
        <v>0.86099999999999999</v>
      </c>
      <c r="K230" s="2">
        <v>1.181</v>
      </c>
      <c r="L230" s="2">
        <v>1.607</v>
      </c>
      <c r="M230" s="2">
        <v>2.1880000000000002</v>
      </c>
      <c r="N230" s="2">
        <v>2.9580000000000002</v>
      </c>
      <c r="O230" s="2">
        <v>3.944</v>
      </c>
      <c r="P230" s="2">
        <v>5.407</v>
      </c>
      <c r="Q230" s="2">
        <v>7.26</v>
      </c>
      <c r="R230" s="2">
        <v>10.023</v>
      </c>
      <c r="S230" s="2">
        <v>13.457000000000001</v>
      </c>
      <c r="T230" s="2">
        <v>18.45</v>
      </c>
      <c r="U230" s="2">
        <v>24.943000000000001</v>
      </c>
      <c r="V230" s="2">
        <v>34.198999999999998</v>
      </c>
      <c r="W230" s="2">
        <v>45.911999999999999</v>
      </c>
      <c r="X230" s="30">
        <v>62.948</v>
      </c>
      <c r="Y230" s="30">
        <v>85.103999999999999</v>
      </c>
      <c r="Z230" s="209">
        <v>100</v>
      </c>
      <c r="AA230" s="2"/>
    </row>
    <row r="231" spans="1:47" ht="15.75" customHeight="1">
      <c r="A231" s="177">
        <v>42</v>
      </c>
      <c r="B231" s="178" t="s">
        <v>220</v>
      </c>
      <c r="C231" s="206">
        <f>6.283185*Angular_frequency!C231</f>
        <v>6.2831849999999995E-2</v>
      </c>
      <c r="D231" s="206">
        <f>6.283185*Angular_frequency!D231</f>
        <v>0.10053095999999999</v>
      </c>
      <c r="E231" s="206">
        <f>6.283185*Angular_frequency!E231</f>
        <v>0.157079625</v>
      </c>
      <c r="F231" s="206">
        <f>6.283185*Angular_frequency!F231</f>
        <v>0.25132739999999998</v>
      </c>
      <c r="G231" s="206">
        <f>6.283185*Angular_frequency!G231</f>
        <v>0.39584065499999999</v>
      </c>
      <c r="H231" s="206">
        <f>6.283185*Angular_frequency!H231</f>
        <v>0.6283185</v>
      </c>
      <c r="I231" s="206">
        <f>6.283185*Angular_frequency!I231</f>
        <v>0.98646004499999995</v>
      </c>
      <c r="J231" s="206">
        <f>6.283185*Angular_frequency!J231</f>
        <v>1.589645805</v>
      </c>
      <c r="K231" s="206">
        <f>6.283185*Angular_frequency!K231</f>
        <v>2.4630085199999998</v>
      </c>
      <c r="L231" s="206">
        <f>6.283185*Angular_frequency!L231</f>
        <v>3.9332738099999998</v>
      </c>
      <c r="M231" s="206">
        <f>6.283185*Angular_frequency!M231</f>
        <v>6.2266363349999994</v>
      </c>
      <c r="N231" s="206">
        <f>6.283185*Angular_frequency!N231</f>
        <v>9.9399986699999996</v>
      </c>
      <c r="O231" s="206">
        <f>6.283185*Angular_frequency!O231</f>
        <v>15.576015614999999</v>
      </c>
      <c r="P231" s="206">
        <f>6.283185*Angular_frequency!P231</f>
        <v>24.642651569999998</v>
      </c>
      <c r="Q231" s="206">
        <f>6.283185*Angular_frequency!Q231</f>
        <v>39.351587654999996</v>
      </c>
      <c r="R231" s="206">
        <f>6.283185*Angular_frequency!R231</f>
        <v>62.247513794999996</v>
      </c>
      <c r="S231" s="206">
        <f>6.283185*Angular_frequency!S231</f>
        <v>99.393703514999999</v>
      </c>
      <c r="T231" s="206">
        <f>6.283185*Angular_frequency!T231</f>
        <v>157.23670462499999</v>
      </c>
      <c r="U231" s="206">
        <f>6.283185*Angular_frequency!U231</f>
        <v>244.12686998999999</v>
      </c>
      <c r="V231" s="206">
        <f>6.283185*Angular_frequency!V231</f>
        <v>393.484460625</v>
      </c>
      <c r="W231" s="207">
        <f>6.283185*Angular_frequency!W231</f>
        <v>628.31849999999997</v>
      </c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0"/>
      <c r="AU231" s="2"/>
    </row>
    <row r="232" spans="1:47" ht="15.75" customHeight="1">
      <c r="A232" s="174">
        <v>42</v>
      </c>
      <c r="B232" s="179" t="s">
        <v>221</v>
      </c>
      <c r="C232" s="2">
        <f>6.283185*Angular_frequency!C232</f>
        <v>6.2831849999999995E-2</v>
      </c>
      <c r="D232" s="2">
        <f>6.283185*Angular_frequency!D232</f>
        <v>0.10053095999999999</v>
      </c>
      <c r="E232" s="2">
        <f>6.283185*Angular_frequency!E232</f>
        <v>0.157079625</v>
      </c>
      <c r="F232" s="2">
        <f>6.283185*Angular_frequency!F232</f>
        <v>0.25132739999999998</v>
      </c>
      <c r="G232" s="2">
        <f>6.283185*Angular_frequency!G232</f>
        <v>0.39584065499999999</v>
      </c>
      <c r="H232" s="2">
        <f>6.283185*Angular_frequency!H232</f>
        <v>0.6283185</v>
      </c>
      <c r="I232" s="2">
        <f>6.283185*Angular_frequency!I232</f>
        <v>0.98646004499999995</v>
      </c>
      <c r="J232" s="2">
        <f>6.283185*Angular_frequency!J232</f>
        <v>1.589645805</v>
      </c>
      <c r="K232" s="2">
        <f>6.283185*Angular_frequency!K232</f>
        <v>2.4630085199999998</v>
      </c>
      <c r="L232" s="2">
        <f>6.283185*Angular_frequency!L232</f>
        <v>3.9332738099999998</v>
      </c>
      <c r="M232" s="2">
        <f>6.283185*Angular_frequency!M232</f>
        <v>6.2266363349999994</v>
      </c>
      <c r="N232" s="2">
        <f>6.283185*Angular_frequency!N232</f>
        <v>9.9399986699999996</v>
      </c>
      <c r="O232" s="2">
        <f>6.283185*Angular_frequency!O232</f>
        <v>15.576015614999999</v>
      </c>
      <c r="P232" s="2">
        <f>6.283185*Angular_frequency!P232</f>
        <v>24.642651569999998</v>
      </c>
      <c r="Q232" s="2">
        <f>6.283185*Angular_frequency!Q232</f>
        <v>39.351587654999996</v>
      </c>
      <c r="R232" s="2">
        <f>6.283185*Angular_frequency!R232</f>
        <v>62.247513794999996</v>
      </c>
      <c r="S232" s="2">
        <f>6.283185*Angular_frequency!S232</f>
        <v>99.393703514999999</v>
      </c>
      <c r="T232" s="2">
        <f>6.283185*Angular_frequency!T232</f>
        <v>157.23670462499999</v>
      </c>
      <c r="U232" s="2">
        <f>6.283185*Angular_frequency!U232</f>
        <v>244.12686998999999</v>
      </c>
      <c r="V232" s="2">
        <f>6.283185*Angular_frequency!V232</f>
        <v>393.484460625</v>
      </c>
      <c r="W232" s="208">
        <f>6.283185*Angular_frequency!W232</f>
        <v>628.31849999999997</v>
      </c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0"/>
      <c r="AU232" s="2"/>
    </row>
    <row r="233" spans="1:47" ht="15.75" customHeight="1">
      <c r="A233" s="174">
        <v>42</v>
      </c>
      <c r="B233" s="179" t="s">
        <v>222</v>
      </c>
      <c r="C233" s="2">
        <f>6.283185*Angular_frequency!C233</f>
        <v>6.2831849999999995E-2</v>
      </c>
      <c r="D233" s="2">
        <f>6.283185*Angular_frequency!D233</f>
        <v>0.10053095999999999</v>
      </c>
      <c r="E233" s="2">
        <f>6.283185*Angular_frequency!E233</f>
        <v>0.157079625</v>
      </c>
      <c r="F233" s="2">
        <f>6.283185*Angular_frequency!F233</f>
        <v>0.25132739999999998</v>
      </c>
      <c r="G233" s="2">
        <f>6.283185*Angular_frequency!G233</f>
        <v>0.39584065499999999</v>
      </c>
      <c r="H233" s="2">
        <f>6.283185*Angular_frequency!H233</f>
        <v>0.6283185</v>
      </c>
      <c r="I233" s="2">
        <f>6.283185*Angular_frequency!I233</f>
        <v>0.98646004499999995</v>
      </c>
      <c r="J233" s="2">
        <f>6.283185*Angular_frequency!J233</f>
        <v>1.589645805</v>
      </c>
      <c r="K233" s="2">
        <f>6.283185*Angular_frequency!K233</f>
        <v>2.4630085199999998</v>
      </c>
      <c r="L233" s="2">
        <f>6.283185*Angular_frequency!L233</f>
        <v>3.9332738099999998</v>
      </c>
      <c r="M233" s="2">
        <f>6.283185*Angular_frequency!M233</f>
        <v>6.2266363349999994</v>
      </c>
      <c r="N233" s="2">
        <f>6.283185*Angular_frequency!N233</f>
        <v>9.9399986699999996</v>
      </c>
      <c r="O233" s="2">
        <f>6.283185*Angular_frequency!O233</f>
        <v>15.576015614999999</v>
      </c>
      <c r="P233" s="2">
        <f>6.283185*Angular_frequency!P233</f>
        <v>24.642651569999998</v>
      </c>
      <c r="Q233" s="2">
        <f>6.283185*Angular_frequency!Q233</f>
        <v>39.351587654999996</v>
      </c>
      <c r="R233" s="2">
        <f>6.283185*Angular_frequency!R233</f>
        <v>62.247513794999996</v>
      </c>
      <c r="S233" s="2">
        <f>6.283185*Angular_frequency!S233</f>
        <v>99.393703514999999</v>
      </c>
      <c r="T233" s="2">
        <f>6.283185*Angular_frequency!T233</f>
        <v>157.23670462499999</v>
      </c>
      <c r="U233" s="2">
        <f>6.283185*Angular_frequency!U233</f>
        <v>244.12686998999999</v>
      </c>
      <c r="V233" s="2">
        <f>6.283185*Angular_frequency!V233</f>
        <v>393.484460625</v>
      </c>
      <c r="W233" s="208">
        <f>6.283185*Angular_frequency!W233</f>
        <v>628.31849999999997</v>
      </c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0"/>
      <c r="AU233" s="2"/>
    </row>
    <row r="234" spans="1:47" ht="15.75" customHeight="1">
      <c r="A234" s="174">
        <v>42</v>
      </c>
      <c r="B234" s="179" t="s">
        <v>224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08"/>
      <c r="X234" s="2"/>
    </row>
    <row r="235" spans="1:47" ht="15.75" customHeight="1">
      <c r="A235" s="174">
        <v>42</v>
      </c>
      <c r="B235" s="179" t="s">
        <v>225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08"/>
      <c r="X235" s="2"/>
    </row>
    <row r="236" spans="1:47" ht="15.75" customHeight="1">
      <c r="A236" s="175">
        <v>42</v>
      </c>
      <c r="B236" s="180" t="s">
        <v>226</v>
      </c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209"/>
      <c r="X236" s="2"/>
    </row>
    <row r="237" spans="1:47" ht="15.75" customHeight="1">
      <c r="A237" s="200">
        <v>43</v>
      </c>
      <c r="B237" s="59">
        <v>1</v>
      </c>
      <c r="C237" s="2">
        <v>0.10100000000000001</v>
      </c>
      <c r="D237" s="2">
        <v>0.158</v>
      </c>
      <c r="E237" s="2">
        <v>0.255</v>
      </c>
      <c r="F237" s="2">
        <v>0.39900000000000002</v>
      </c>
      <c r="G237" s="2">
        <v>0.63900000000000001</v>
      </c>
      <c r="H237" s="2">
        <v>1.002</v>
      </c>
      <c r="I237" s="2">
        <v>1.583</v>
      </c>
      <c r="J237" s="2">
        <v>2.4990000000000001</v>
      </c>
      <c r="K237" s="2">
        <v>3.9740000000000002</v>
      </c>
      <c r="L237" s="2">
        <v>6.319</v>
      </c>
      <c r="M237" s="2">
        <v>9.9760000000000009</v>
      </c>
      <c r="N237" s="2">
        <v>15.864000000000001</v>
      </c>
      <c r="O237" s="2">
        <v>24.692</v>
      </c>
      <c r="P237" s="2">
        <v>39.545999999999999</v>
      </c>
      <c r="Q237" s="2">
        <v>63.335999999999999</v>
      </c>
      <c r="R237" s="208">
        <v>100</v>
      </c>
      <c r="S237" s="2"/>
      <c r="T237" s="2"/>
      <c r="U237" s="2"/>
      <c r="V237" s="2"/>
      <c r="W237" s="2"/>
    </row>
    <row r="238" spans="1:47" ht="15.75" customHeight="1">
      <c r="A238" s="200">
        <v>43</v>
      </c>
      <c r="B238" s="59">
        <v>2</v>
      </c>
      <c r="C238" s="2">
        <v>0.10100000000000001</v>
      </c>
      <c r="D238" s="2">
        <v>0.158</v>
      </c>
      <c r="E238" s="2">
        <v>0.255</v>
      </c>
      <c r="F238" s="2">
        <v>0.39900000000000002</v>
      </c>
      <c r="G238" s="2">
        <v>0.63900000000000001</v>
      </c>
      <c r="H238" s="2">
        <v>1.002</v>
      </c>
      <c r="I238" s="2">
        <v>1.583</v>
      </c>
      <c r="J238" s="2">
        <v>2.4990000000000001</v>
      </c>
      <c r="K238" s="2">
        <v>3.9740000000000002</v>
      </c>
      <c r="L238" s="2">
        <v>6.319</v>
      </c>
      <c r="M238" s="2">
        <v>9.9760000000000009</v>
      </c>
      <c r="N238" s="2">
        <v>15.864000000000001</v>
      </c>
      <c r="O238" s="2">
        <v>24.692</v>
      </c>
      <c r="P238" s="2">
        <v>39.545999999999999</v>
      </c>
      <c r="Q238" s="2">
        <v>63.335999999999999</v>
      </c>
      <c r="R238" s="208">
        <v>100</v>
      </c>
      <c r="S238" s="2"/>
    </row>
    <row r="239" spans="1:47" ht="15.75" customHeight="1">
      <c r="A239" s="200">
        <v>43</v>
      </c>
      <c r="B239" s="59">
        <v>3</v>
      </c>
      <c r="C239" s="2">
        <v>0.10100000000000001</v>
      </c>
      <c r="D239" s="2">
        <v>0.158</v>
      </c>
      <c r="E239" s="2">
        <v>0.255</v>
      </c>
      <c r="F239" s="2">
        <v>0.39900000000000002</v>
      </c>
      <c r="G239" s="2">
        <v>0.63900000000000001</v>
      </c>
      <c r="H239" s="2">
        <v>1.002</v>
      </c>
      <c r="I239" s="2">
        <v>1.583</v>
      </c>
      <c r="J239" s="2">
        <v>2.4990000000000001</v>
      </c>
      <c r="K239" s="2">
        <v>3.9740000000000002</v>
      </c>
      <c r="L239" s="2">
        <v>6.319</v>
      </c>
      <c r="M239" s="2">
        <v>9.9760000000000009</v>
      </c>
      <c r="N239" s="30">
        <v>15.864000000000001</v>
      </c>
      <c r="O239" s="30">
        <v>24.692</v>
      </c>
      <c r="P239" s="30">
        <v>39.545999999999999</v>
      </c>
      <c r="Q239" s="30">
        <v>63.335999999999999</v>
      </c>
      <c r="R239" s="209">
        <v>100</v>
      </c>
      <c r="S239" s="2"/>
    </row>
    <row r="240" spans="1:47" ht="15.75" customHeight="1">
      <c r="A240" s="201">
        <v>44</v>
      </c>
      <c r="B240" s="58" t="s">
        <v>220</v>
      </c>
      <c r="C240" s="206">
        <v>1</v>
      </c>
      <c r="D240" s="206">
        <v>1.5880000000000001</v>
      </c>
      <c r="E240" s="206">
        <v>2.5230000000000001</v>
      </c>
      <c r="F240" s="206">
        <v>4.03</v>
      </c>
      <c r="G240" s="206">
        <v>6.2960000000000003</v>
      </c>
      <c r="H240" s="206">
        <v>9.89</v>
      </c>
      <c r="I240" s="206">
        <v>16.059999999999999</v>
      </c>
      <c r="J240" s="206">
        <v>25.369</v>
      </c>
      <c r="K240" s="206">
        <v>40.075000000000003</v>
      </c>
      <c r="L240" s="206">
        <v>62.957000000000001</v>
      </c>
      <c r="M240" s="207">
        <v>100</v>
      </c>
      <c r="N240" s="2"/>
      <c r="O240" s="2"/>
      <c r="P240" s="2"/>
      <c r="Q240" s="2"/>
      <c r="R240" s="2"/>
    </row>
    <row r="241" spans="1:14" ht="15.75" customHeight="1">
      <c r="A241" s="200">
        <v>44</v>
      </c>
      <c r="B241" s="59" t="s">
        <v>221</v>
      </c>
      <c r="C241" s="2">
        <v>1</v>
      </c>
      <c r="D241" s="2">
        <v>1.5880000000000001</v>
      </c>
      <c r="E241" s="2">
        <v>2.5230000000000001</v>
      </c>
      <c r="F241" s="2">
        <v>4.03</v>
      </c>
      <c r="G241" s="2">
        <v>6.2960000000000003</v>
      </c>
      <c r="H241" s="2">
        <v>9.89</v>
      </c>
      <c r="I241" s="2">
        <v>16.059999999999999</v>
      </c>
      <c r="J241" s="2">
        <v>25.369</v>
      </c>
      <c r="K241" s="2">
        <v>40.075000000000003</v>
      </c>
      <c r="L241" s="2">
        <v>62.957000000000001</v>
      </c>
      <c r="M241" s="208">
        <v>100</v>
      </c>
      <c r="N241" s="2"/>
    </row>
    <row r="242" spans="1:14" ht="15.75" customHeight="1">
      <c r="A242" s="200">
        <v>44</v>
      </c>
      <c r="B242" s="59" t="s">
        <v>222</v>
      </c>
      <c r="C242" s="2">
        <v>1</v>
      </c>
      <c r="D242" s="2">
        <v>1.5880000000000001</v>
      </c>
      <c r="E242" s="2">
        <v>2.5230000000000001</v>
      </c>
      <c r="F242" s="2">
        <v>4.03</v>
      </c>
      <c r="G242" s="2">
        <v>6.2960000000000003</v>
      </c>
      <c r="H242" s="2">
        <v>9.89</v>
      </c>
      <c r="I242" s="2">
        <v>16.059999999999999</v>
      </c>
      <c r="J242" s="2">
        <v>25.369</v>
      </c>
      <c r="K242" s="2">
        <v>40.075000000000003</v>
      </c>
      <c r="L242" s="2">
        <v>62.957000000000001</v>
      </c>
      <c r="M242" s="208">
        <v>100</v>
      </c>
      <c r="N242" s="2"/>
    </row>
    <row r="243" spans="1:14" ht="15.75" customHeight="1">
      <c r="A243" s="200">
        <v>44</v>
      </c>
      <c r="B243" s="59" t="s">
        <v>223</v>
      </c>
      <c r="C243" s="2">
        <v>1</v>
      </c>
      <c r="D243" s="2">
        <v>1.5880000000000001</v>
      </c>
      <c r="E243" s="2">
        <v>2.5230000000000001</v>
      </c>
      <c r="F243" s="2">
        <v>4.03</v>
      </c>
      <c r="G243" s="2">
        <v>6.2960000000000003</v>
      </c>
      <c r="H243" s="2">
        <v>9.89</v>
      </c>
      <c r="I243" s="2">
        <v>16.059999999999999</v>
      </c>
      <c r="J243" s="2">
        <v>25.369</v>
      </c>
      <c r="K243" s="2">
        <v>40.075000000000003</v>
      </c>
      <c r="L243" s="2">
        <v>62.957000000000001</v>
      </c>
      <c r="M243" s="208">
        <v>100</v>
      </c>
      <c r="N243" s="2"/>
    </row>
    <row r="244" spans="1:14" ht="15.75" customHeight="1">
      <c r="A244" s="200">
        <v>44</v>
      </c>
      <c r="B244" s="59" t="s">
        <v>228</v>
      </c>
      <c r="C244" s="2">
        <v>1</v>
      </c>
      <c r="D244" s="2">
        <v>1.5880000000000001</v>
      </c>
      <c r="E244" s="2">
        <v>2.5230000000000001</v>
      </c>
      <c r="F244" s="2">
        <v>4.03</v>
      </c>
      <c r="G244" s="2">
        <v>6.2960000000000003</v>
      </c>
      <c r="H244" s="2">
        <v>9.89</v>
      </c>
      <c r="I244" s="2">
        <v>16.059999999999999</v>
      </c>
      <c r="J244" s="2">
        <v>25.369</v>
      </c>
      <c r="K244" s="2">
        <v>40.075000000000003</v>
      </c>
      <c r="L244" s="2">
        <v>62.957000000000001</v>
      </c>
      <c r="M244" s="208">
        <v>100</v>
      </c>
      <c r="N244" s="2"/>
    </row>
    <row r="245" spans="1:14" ht="15.75" customHeight="1">
      <c r="A245" s="200">
        <v>44</v>
      </c>
      <c r="B245" s="59" t="s">
        <v>224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08"/>
      <c r="N245" s="2"/>
    </row>
    <row r="246" spans="1:14" ht="15.75" customHeight="1">
      <c r="A246" s="200">
        <v>44</v>
      </c>
      <c r="B246" s="59" t="s">
        <v>225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08"/>
      <c r="N246" s="2"/>
    </row>
    <row r="247" spans="1:14" ht="15.75" customHeight="1">
      <c r="A247" s="200">
        <v>44</v>
      </c>
      <c r="B247" s="59" t="s">
        <v>226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08"/>
      <c r="N247" s="2"/>
    </row>
    <row r="248" spans="1:14" ht="15.75" customHeight="1">
      <c r="A248" s="200">
        <v>44</v>
      </c>
      <c r="B248" s="59" t="s">
        <v>227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08"/>
      <c r="N248" s="2"/>
    </row>
    <row r="249" spans="1:14" ht="15.75" customHeight="1">
      <c r="A249" s="202">
        <v>44</v>
      </c>
      <c r="B249" s="203" t="s">
        <v>229</v>
      </c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209"/>
      <c r="N249" s="2"/>
    </row>
    <row r="250" spans="1:14" ht="15.75" customHeight="1">
      <c r="A250" s="174">
        <v>45</v>
      </c>
      <c r="B250" s="179" t="s">
        <v>220</v>
      </c>
      <c r="C250" s="2">
        <v>6.4000000000000001E-2</v>
      </c>
      <c r="D250" s="2">
        <v>0.16300000000000001</v>
      </c>
      <c r="E250" s="2">
        <v>0.40500000000000003</v>
      </c>
      <c r="F250" s="2">
        <v>1.026</v>
      </c>
      <c r="G250" s="2">
        <v>2.573</v>
      </c>
      <c r="H250" s="2">
        <v>6.5270000000000001</v>
      </c>
      <c r="I250" s="2">
        <v>16.754999999999999</v>
      </c>
      <c r="J250" s="2">
        <v>43.01</v>
      </c>
      <c r="K250" s="2">
        <v>111.714</v>
      </c>
      <c r="L250" s="208">
        <v>315.11200000000002</v>
      </c>
      <c r="M250" s="2"/>
    </row>
    <row r="251" spans="1:14" ht="15.75" customHeight="1">
      <c r="A251" s="174">
        <v>45</v>
      </c>
      <c r="B251" s="179" t="s">
        <v>221</v>
      </c>
      <c r="C251" s="2">
        <v>6.4000000000000001E-2</v>
      </c>
      <c r="D251" s="2">
        <v>0.16300000000000001</v>
      </c>
      <c r="E251" s="2">
        <v>0.40500000000000003</v>
      </c>
      <c r="F251" s="2">
        <v>1.026</v>
      </c>
      <c r="G251" s="2">
        <v>2.573</v>
      </c>
      <c r="H251" s="2">
        <v>6.5270000000000001</v>
      </c>
      <c r="I251" s="2">
        <v>16.754999999999999</v>
      </c>
      <c r="J251" s="2">
        <v>43.01</v>
      </c>
      <c r="K251" s="2">
        <v>111.714</v>
      </c>
      <c r="L251" s="208">
        <v>315.11200000000002</v>
      </c>
      <c r="M251" s="2"/>
    </row>
    <row r="252" spans="1:14" ht="15.75" customHeight="1">
      <c r="A252" s="174">
        <v>45</v>
      </c>
      <c r="B252" s="179" t="s">
        <v>222</v>
      </c>
      <c r="C252" s="2">
        <v>6.4000000000000001E-2</v>
      </c>
      <c r="D252" s="2">
        <v>0.16300000000000001</v>
      </c>
      <c r="E252" s="2">
        <v>0.40500000000000003</v>
      </c>
      <c r="F252" s="2">
        <v>1.026</v>
      </c>
      <c r="G252" s="2">
        <v>2.573</v>
      </c>
      <c r="H252" s="2">
        <v>6.5270000000000001</v>
      </c>
      <c r="I252" s="2">
        <v>16.754999999999999</v>
      </c>
      <c r="J252" s="2">
        <v>43.01</v>
      </c>
      <c r="K252" s="2">
        <v>111.714</v>
      </c>
      <c r="L252" s="208">
        <v>315.11200000000002</v>
      </c>
      <c r="M252" s="2"/>
    </row>
    <row r="253" spans="1:14" ht="15.75" customHeight="1">
      <c r="A253" s="174">
        <v>45</v>
      </c>
      <c r="B253" s="179" t="s">
        <v>223</v>
      </c>
      <c r="C253" s="2">
        <v>6.4000000000000001E-2</v>
      </c>
      <c r="D253" s="2">
        <v>0.16300000000000001</v>
      </c>
      <c r="E253" s="2">
        <v>0.40500000000000003</v>
      </c>
      <c r="F253" s="2">
        <v>1.026</v>
      </c>
      <c r="G253" s="2">
        <v>2.573</v>
      </c>
      <c r="H253" s="2">
        <v>6.5270000000000001</v>
      </c>
      <c r="I253" s="2">
        <v>16.754999999999999</v>
      </c>
      <c r="J253" s="2">
        <v>43.01</v>
      </c>
      <c r="K253" s="2">
        <v>111.714</v>
      </c>
      <c r="L253" s="208">
        <v>315.11200000000002</v>
      </c>
      <c r="M253" s="2"/>
    </row>
    <row r="254" spans="1:14" ht="15.75" customHeight="1">
      <c r="A254" s="174">
        <v>45</v>
      </c>
      <c r="B254" s="179" t="s">
        <v>224</v>
      </c>
      <c r="C254" s="2"/>
      <c r="D254" s="2"/>
      <c r="E254" s="2"/>
      <c r="F254" s="2"/>
      <c r="G254" s="2"/>
      <c r="H254" s="2"/>
      <c r="I254" s="2"/>
      <c r="J254" s="2"/>
      <c r="K254" s="2"/>
      <c r="L254" s="208"/>
      <c r="M254" s="2"/>
    </row>
    <row r="255" spans="1:14" ht="15.75" customHeight="1">
      <c r="A255" s="174">
        <v>45</v>
      </c>
      <c r="B255" s="179" t="s">
        <v>225</v>
      </c>
      <c r="C255" s="2"/>
      <c r="D255" s="2"/>
      <c r="E255" s="2"/>
      <c r="F255" s="2"/>
      <c r="G255" s="2"/>
      <c r="H255" s="2"/>
      <c r="I255" s="2"/>
      <c r="J255" s="2"/>
      <c r="K255" s="2"/>
      <c r="L255" s="208"/>
      <c r="M255" s="2"/>
    </row>
    <row r="256" spans="1:14" ht="15.75" customHeight="1">
      <c r="A256" s="174">
        <v>45</v>
      </c>
      <c r="B256" s="179" t="s">
        <v>226</v>
      </c>
      <c r="C256" s="2"/>
      <c r="D256" s="2"/>
      <c r="E256" s="2"/>
      <c r="F256" s="2"/>
      <c r="G256" s="2"/>
      <c r="H256" s="2"/>
      <c r="I256" s="2"/>
      <c r="J256" s="2"/>
      <c r="K256" s="2"/>
      <c r="L256" s="208"/>
      <c r="M256" s="2"/>
    </row>
    <row r="257" spans="1:47" ht="15.75" customHeight="1">
      <c r="A257" s="174">
        <v>45</v>
      </c>
      <c r="B257" s="179" t="s">
        <v>227</v>
      </c>
      <c r="C257" s="2"/>
      <c r="D257" s="2"/>
      <c r="E257" s="2"/>
      <c r="F257" s="2"/>
      <c r="G257" s="2"/>
      <c r="H257" s="2"/>
      <c r="I257" s="2"/>
      <c r="J257" s="2"/>
      <c r="K257" s="2"/>
      <c r="L257" s="208"/>
      <c r="M257" s="2"/>
      <c r="N257" s="2"/>
      <c r="O257" s="2"/>
      <c r="P257" s="2"/>
      <c r="Q257" s="2"/>
      <c r="R257" s="2"/>
      <c r="S257" s="2"/>
      <c r="T257" s="2"/>
      <c r="U257" s="2"/>
    </row>
    <row r="258" spans="1:47" ht="15.75" customHeight="1">
      <c r="A258" s="177">
        <v>46</v>
      </c>
      <c r="B258" s="178">
        <v>1</v>
      </c>
      <c r="C258" s="206">
        <v>0.1</v>
      </c>
      <c r="D258" s="206">
        <v>0.14499999999999999</v>
      </c>
      <c r="E258" s="206">
        <v>0.216</v>
      </c>
      <c r="F258" s="206">
        <v>0.31900000000000001</v>
      </c>
      <c r="G258" s="206">
        <v>0.46700000000000003</v>
      </c>
      <c r="H258" s="206">
        <v>0.68300000000000005</v>
      </c>
      <c r="I258" s="206">
        <v>1.016</v>
      </c>
      <c r="J258" s="206">
        <v>1.464</v>
      </c>
      <c r="K258" s="206">
        <v>2.1960000000000002</v>
      </c>
      <c r="L258" s="206">
        <v>3.1619999999999999</v>
      </c>
      <c r="M258" s="206">
        <v>4.7050000000000001</v>
      </c>
      <c r="N258" s="206">
        <v>6.8869999999999996</v>
      </c>
      <c r="O258" s="206">
        <v>10.246</v>
      </c>
      <c r="P258" s="206">
        <v>14.757999999999999</v>
      </c>
      <c r="Q258" s="206">
        <v>21.779</v>
      </c>
      <c r="R258" s="206">
        <v>31.88</v>
      </c>
      <c r="S258" s="206">
        <v>46.290999999999997</v>
      </c>
      <c r="T258" s="206">
        <v>68.313999999999993</v>
      </c>
      <c r="U258" s="207">
        <v>100</v>
      </c>
      <c r="V258" s="2"/>
    </row>
    <row r="259" spans="1:47" ht="15.75" customHeight="1">
      <c r="A259" s="174">
        <v>46</v>
      </c>
      <c r="B259" s="179">
        <v>2</v>
      </c>
      <c r="C259" s="2">
        <v>0.1</v>
      </c>
      <c r="D259" s="2">
        <v>0.14499999999999999</v>
      </c>
      <c r="E259" s="2">
        <v>0.216</v>
      </c>
      <c r="F259" s="2">
        <v>0.31900000000000001</v>
      </c>
      <c r="G259" s="2">
        <v>0.46700000000000003</v>
      </c>
      <c r="H259" s="2">
        <v>0.68300000000000005</v>
      </c>
      <c r="I259" s="2">
        <v>1.016</v>
      </c>
      <c r="J259" s="2">
        <v>1.464</v>
      </c>
      <c r="K259" s="2">
        <v>2.1960000000000002</v>
      </c>
      <c r="L259" s="2">
        <v>3.1619999999999999</v>
      </c>
      <c r="M259" s="2">
        <v>4.7050000000000001</v>
      </c>
      <c r="N259" s="2">
        <v>6.8869999999999996</v>
      </c>
      <c r="O259" s="2">
        <v>10.246</v>
      </c>
      <c r="P259" s="2">
        <v>14.757999999999999</v>
      </c>
      <c r="Q259" s="2">
        <v>21.779</v>
      </c>
      <c r="R259" s="2">
        <v>31.88</v>
      </c>
      <c r="S259" s="2">
        <v>46.290999999999997</v>
      </c>
      <c r="T259" s="2">
        <v>68.313999999999993</v>
      </c>
      <c r="U259" s="208">
        <v>100</v>
      </c>
      <c r="V259" s="2"/>
    </row>
    <row r="260" spans="1:47" ht="15.75" customHeight="1">
      <c r="A260" s="174">
        <v>46</v>
      </c>
      <c r="B260" s="179">
        <v>3</v>
      </c>
      <c r="C260" s="2">
        <v>0.1</v>
      </c>
      <c r="D260" s="2">
        <v>0.14499999999999999</v>
      </c>
      <c r="E260" s="2">
        <v>0.216</v>
      </c>
      <c r="F260" s="2">
        <v>0.31900000000000001</v>
      </c>
      <c r="G260" s="2">
        <v>0.46700000000000003</v>
      </c>
      <c r="H260" s="2">
        <v>0.68300000000000005</v>
      </c>
      <c r="I260" s="2">
        <v>1.016</v>
      </c>
      <c r="J260" s="2">
        <v>1.464</v>
      </c>
      <c r="K260" s="2">
        <v>2.1960000000000002</v>
      </c>
      <c r="L260" s="2">
        <v>3.1619999999999999</v>
      </c>
      <c r="M260" s="2">
        <v>4.7050000000000001</v>
      </c>
      <c r="N260" s="2">
        <v>6.8869999999999996</v>
      </c>
      <c r="O260" s="2">
        <v>10.246</v>
      </c>
      <c r="P260" s="2">
        <v>14.757999999999999</v>
      </c>
      <c r="Q260" s="2">
        <v>21.779</v>
      </c>
      <c r="R260" s="2">
        <v>31.88</v>
      </c>
      <c r="S260" s="2">
        <v>46.290999999999997</v>
      </c>
      <c r="T260" s="2">
        <v>68.313999999999993</v>
      </c>
      <c r="U260" s="208">
        <v>100</v>
      </c>
      <c r="V260" s="2"/>
    </row>
    <row r="261" spans="1:47" ht="15.75" customHeight="1">
      <c r="A261" s="174">
        <v>46</v>
      </c>
      <c r="B261" s="179">
        <v>4</v>
      </c>
      <c r="C261" s="2">
        <v>0.1</v>
      </c>
      <c r="D261" s="2">
        <v>0.14499999999999999</v>
      </c>
      <c r="E261" s="2">
        <v>0.216</v>
      </c>
      <c r="F261" s="2">
        <v>0.31900000000000001</v>
      </c>
      <c r="G261" s="2">
        <v>0.46700000000000003</v>
      </c>
      <c r="H261" s="2">
        <v>0.68300000000000005</v>
      </c>
      <c r="I261" s="2">
        <v>1.016</v>
      </c>
      <c r="J261" s="2">
        <v>1.464</v>
      </c>
      <c r="K261" s="2">
        <v>2.1960000000000002</v>
      </c>
      <c r="L261" s="2">
        <v>3.1619999999999999</v>
      </c>
      <c r="M261" s="2">
        <v>4.7050000000000001</v>
      </c>
      <c r="N261" s="2">
        <v>6.8869999999999996</v>
      </c>
      <c r="O261" s="2">
        <v>10.246</v>
      </c>
      <c r="P261" s="2">
        <v>14.757999999999999</v>
      </c>
      <c r="Q261" s="2">
        <v>21.779</v>
      </c>
      <c r="R261" s="2">
        <v>31.88</v>
      </c>
      <c r="S261" s="2">
        <v>46.290999999999997</v>
      </c>
      <c r="T261" s="2">
        <v>68.313999999999993</v>
      </c>
      <c r="U261" s="208">
        <v>100</v>
      </c>
      <c r="V261" s="2"/>
    </row>
    <row r="262" spans="1:47" ht="15.75" customHeight="1">
      <c r="A262" s="174">
        <v>46</v>
      </c>
      <c r="B262" s="179">
        <v>5</v>
      </c>
      <c r="C262" s="2">
        <v>0.1</v>
      </c>
      <c r="D262" s="2">
        <v>0.14499999999999999</v>
      </c>
      <c r="E262" s="2">
        <v>0.216</v>
      </c>
      <c r="F262" s="2">
        <v>0.31900000000000001</v>
      </c>
      <c r="G262" s="2">
        <v>0.46700000000000003</v>
      </c>
      <c r="H262" s="2">
        <v>0.68300000000000005</v>
      </c>
      <c r="I262" s="2">
        <v>1.016</v>
      </c>
      <c r="J262" s="2">
        <v>1.464</v>
      </c>
      <c r="K262" s="2">
        <v>2.1960000000000002</v>
      </c>
      <c r="L262" s="2">
        <v>3.1619999999999999</v>
      </c>
      <c r="M262" s="2">
        <v>4.7050000000000001</v>
      </c>
      <c r="N262" s="2">
        <v>6.8869999999999996</v>
      </c>
      <c r="O262" s="2">
        <v>10.246</v>
      </c>
      <c r="P262" s="2">
        <v>14.757999999999999</v>
      </c>
      <c r="Q262" s="2">
        <v>21.779</v>
      </c>
      <c r="R262" s="2">
        <v>31.88</v>
      </c>
      <c r="S262" s="2">
        <v>46.290999999999997</v>
      </c>
      <c r="T262" s="2">
        <v>68.313999999999993</v>
      </c>
      <c r="U262" s="208">
        <v>100</v>
      </c>
      <c r="V262" s="2"/>
    </row>
    <row r="263" spans="1:47" ht="15.75" customHeight="1">
      <c r="A263" s="174">
        <v>46</v>
      </c>
      <c r="B263" s="179">
        <v>6</v>
      </c>
      <c r="C263" s="2">
        <v>0.1</v>
      </c>
      <c r="D263" s="2">
        <v>0.14499999999999999</v>
      </c>
      <c r="E263" s="2">
        <v>0.216</v>
      </c>
      <c r="F263" s="2">
        <v>0.31900000000000001</v>
      </c>
      <c r="G263" s="2">
        <v>0.46700000000000003</v>
      </c>
      <c r="H263" s="2">
        <v>0.68300000000000005</v>
      </c>
      <c r="I263" s="2">
        <v>1.016</v>
      </c>
      <c r="J263" s="2">
        <v>1.464</v>
      </c>
      <c r="K263" s="2">
        <v>2.1960000000000002</v>
      </c>
      <c r="L263" s="2">
        <v>3.1619999999999999</v>
      </c>
      <c r="M263" s="2">
        <v>4.7050000000000001</v>
      </c>
      <c r="N263" s="2">
        <v>6.8869999999999996</v>
      </c>
      <c r="O263" s="2">
        <v>10.246</v>
      </c>
      <c r="P263" s="2">
        <v>14.757999999999999</v>
      </c>
      <c r="Q263" s="2">
        <v>21.779</v>
      </c>
      <c r="R263" s="2">
        <v>31.88</v>
      </c>
      <c r="S263" s="2">
        <v>46.290999999999997</v>
      </c>
      <c r="T263" s="2">
        <v>68.313999999999993</v>
      </c>
      <c r="U263" s="208">
        <v>100</v>
      </c>
      <c r="V263" s="2"/>
      <c r="W263" s="2"/>
      <c r="X263" s="2"/>
      <c r="Y263" s="2"/>
      <c r="Z263" s="2"/>
      <c r="AA263" s="2"/>
    </row>
    <row r="264" spans="1:47" ht="15.75" customHeight="1">
      <c r="A264" s="177">
        <v>47</v>
      </c>
      <c r="B264" s="178" t="s">
        <v>220</v>
      </c>
      <c r="C264" s="206">
        <f>6.283185*Angular_frequency!C264</f>
        <v>0.6283185</v>
      </c>
      <c r="D264" s="206">
        <f>6.283185*Angular_frequency!D264</f>
        <v>0.84822997499999997</v>
      </c>
      <c r="E264" s="206">
        <f>6.283185*Angular_frequency!E264</f>
        <v>1.137256485</v>
      </c>
      <c r="F264" s="206">
        <f>6.283185*Angular_frequency!F264</f>
        <v>1.5268139549999999</v>
      </c>
      <c r="G264" s="206">
        <f>6.283185*Angular_frequency!G264</f>
        <v>1.99805283</v>
      </c>
      <c r="H264" s="206">
        <f>6.283185*Angular_frequency!H264</f>
        <v>2.6200881449999995</v>
      </c>
      <c r="I264" s="206">
        <f>6.283185*Angular_frequency!I264</f>
        <v>3.5688490799999992</v>
      </c>
      <c r="J264" s="206">
        <f>6.283185*Angular_frequency!J264</f>
        <v>4.78778697</v>
      </c>
      <c r="K264" s="206">
        <f>6.283185*Angular_frequency!K264</f>
        <v>6.5282292149999988</v>
      </c>
      <c r="L264" s="206">
        <f>6.283185*Angular_frequency!L264</f>
        <v>8.6142466349999989</v>
      </c>
      <c r="M264" s="206">
        <f>6.283185*Angular_frequency!M264</f>
        <v>11.177786114999998</v>
      </c>
      <c r="N264" s="206">
        <f>6.283185*Angular_frequency!N264</f>
        <v>15.11734311</v>
      </c>
      <c r="O264" s="206">
        <f>6.283185*Angular_frequency!O264</f>
        <v>19.628669939999998</v>
      </c>
      <c r="P264" s="206">
        <f>6.283185*Angular_frequency!P264</f>
        <v>26.54017344</v>
      </c>
      <c r="Q264" s="206">
        <f>6.283185*Angular_frequency!Q264</f>
        <v>35.311499699999999</v>
      </c>
      <c r="R264" s="206">
        <f>6.283185*Angular_frequency!R264</f>
        <v>47.745922815</v>
      </c>
      <c r="S264" s="206">
        <f>6.283185*Angular_frequency!S264</f>
        <v>64.566009059999999</v>
      </c>
      <c r="T264" s="206">
        <f>6.283185*Angular_frequency!T264</f>
        <v>84.502555064999996</v>
      </c>
      <c r="U264" s="206">
        <f>6.283185*Angular_frequency!U264</f>
        <v>112.41874601999999</v>
      </c>
      <c r="V264" s="206">
        <f>6.283185*Angular_frequency!V264</f>
        <v>150.77759044499999</v>
      </c>
      <c r="W264" s="206">
        <f>6.283185*Angular_frequency!W264</f>
        <v>200.590681125</v>
      </c>
      <c r="X264" s="206">
        <f>6.283185*Angular_frequency!X264</f>
        <v>271.24509645000001</v>
      </c>
      <c r="Y264" s="206"/>
      <c r="Z264" s="206"/>
      <c r="AA264" s="207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12"/>
      <c r="AU264" s="2"/>
    </row>
    <row r="265" spans="1:47" ht="15.75" customHeight="1">
      <c r="A265" s="174">
        <v>47</v>
      </c>
      <c r="B265" s="179">
        <v>2</v>
      </c>
      <c r="C265" s="2">
        <f>6.283185*Angular_frequency!C265</f>
        <v>0.6283185</v>
      </c>
      <c r="D265" s="2">
        <f>6.283185*Angular_frequency!D265</f>
        <v>0.84822997499999997</v>
      </c>
      <c r="E265" s="2">
        <f>6.283185*Angular_frequency!E265</f>
        <v>1.137256485</v>
      </c>
      <c r="F265" s="2">
        <f>6.283185*Angular_frequency!F265</f>
        <v>1.5268139549999999</v>
      </c>
      <c r="G265" s="2">
        <f>6.283185*Angular_frequency!G265</f>
        <v>1.99805283</v>
      </c>
      <c r="H265" s="2">
        <f>6.283185*Angular_frequency!H265</f>
        <v>2.6200881449999995</v>
      </c>
      <c r="I265" s="2">
        <f>6.283185*Angular_frequency!I265</f>
        <v>3.5688490799999992</v>
      </c>
      <c r="J265" s="2">
        <f>6.283185*Angular_frequency!J265</f>
        <v>4.78778697</v>
      </c>
      <c r="K265" s="2">
        <f>6.283185*Angular_frequency!K265</f>
        <v>6.5282292149999988</v>
      </c>
      <c r="L265" s="2">
        <f>6.283185*Angular_frequency!L265</f>
        <v>8.6142466349999989</v>
      </c>
      <c r="M265" s="2">
        <f>6.283185*Angular_frequency!M265</f>
        <v>11.177786114999998</v>
      </c>
      <c r="N265" s="2">
        <f>6.283185*Angular_frequency!N265</f>
        <v>15.11734311</v>
      </c>
      <c r="O265" s="2">
        <f>6.283185*Angular_frequency!O265</f>
        <v>19.628669939999998</v>
      </c>
      <c r="P265" s="2">
        <f>6.283185*Angular_frequency!P265</f>
        <v>26.54017344</v>
      </c>
      <c r="Q265" s="2">
        <f>6.283185*Angular_frequency!Q265</f>
        <v>35.311499699999999</v>
      </c>
      <c r="R265" s="2">
        <f>6.283185*Angular_frequency!R265</f>
        <v>47.745922815</v>
      </c>
      <c r="S265" s="2">
        <f>6.283185*Angular_frequency!S265</f>
        <v>64.566009059999999</v>
      </c>
      <c r="T265" s="2">
        <f>6.283185*Angular_frequency!T265</f>
        <v>84.502555064999996</v>
      </c>
      <c r="U265" s="2">
        <f>6.283185*Angular_frequency!U265</f>
        <v>112.41874601999999</v>
      </c>
      <c r="V265" s="2">
        <f>6.283185*Angular_frequency!V265</f>
        <v>150.77759044499999</v>
      </c>
      <c r="W265" s="2">
        <f>6.283185*Angular_frequency!W265</f>
        <v>200.590681125</v>
      </c>
      <c r="X265" s="2">
        <f>6.283185*Angular_frequency!X265</f>
        <v>271.24509645000001</v>
      </c>
      <c r="Y265" s="2">
        <f>6.283185*Angular_frequency!Y265</f>
        <v>363.80897786999998</v>
      </c>
      <c r="Z265" s="2">
        <f>6.283185*Angular_frequency!Z265</f>
        <v>480.06046673999992</v>
      </c>
      <c r="AA265" s="208">
        <f>6.283185*Angular_frequency!AA265</f>
        <v>628.31849999999997</v>
      </c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12"/>
      <c r="AU265" s="2"/>
    </row>
    <row r="266" spans="1:47" ht="15.75" customHeight="1">
      <c r="A266" s="174">
        <v>47</v>
      </c>
      <c r="B266" s="179">
        <v>3</v>
      </c>
      <c r="C266" s="2">
        <f>6.283185*Angular_frequency!C266</f>
        <v>0.6283185</v>
      </c>
      <c r="D266" s="2">
        <f>6.283185*Angular_frequency!D266</f>
        <v>0.84822997499999997</v>
      </c>
      <c r="E266" s="2">
        <f>6.283185*Angular_frequency!E266</f>
        <v>1.137256485</v>
      </c>
      <c r="F266" s="2">
        <f>6.283185*Angular_frequency!F266</f>
        <v>1.5268139549999999</v>
      </c>
      <c r="G266" s="2">
        <f>6.283185*Angular_frequency!G266</f>
        <v>1.99805283</v>
      </c>
      <c r="H266" s="2">
        <f>6.283185*Angular_frequency!H266</f>
        <v>2.6200881449999995</v>
      </c>
      <c r="I266" s="2">
        <f>6.283185*Angular_frequency!I266</f>
        <v>3.5688490799999992</v>
      </c>
      <c r="J266" s="2">
        <f>6.283185*Angular_frequency!J266</f>
        <v>4.78778697</v>
      </c>
      <c r="K266" s="2">
        <f>6.283185*Angular_frequency!K266</f>
        <v>6.5282292149999988</v>
      </c>
      <c r="L266" s="2">
        <f>6.283185*Angular_frequency!L266</f>
        <v>8.6142466349999989</v>
      </c>
      <c r="M266" s="2">
        <f>6.283185*Angular_frequency!M266</f>
        <v>11.177786114999998</v>
      </c>
      <c r="N266" s="2">
        <f>6.283185*Angular_frequency!N266</f>
        <v>15.11734311</v>
      </c>
      <c r="O266" s="2">
        <f>6.283185*Angular_frequency!O266</f>
        <v>19.628669939999998</v>
      </c>
      <c r="P266" s="2">
        <f>6.283185*Angular_frequency!P266</f>
        <v>26.54017344</v>
      </c>
      <c r="Q266" s="2">
        <f>6.283185*Angular_frequency!Q266</f>
        <v>35.311499699999999</v>
      </c>
      <c r="R266" s="2">
        <f>6.283185*Angular_frequency!R266</f>
        <v>47.745922815</v>
      </c>
      <c r="S266" s="2">
        <f>6.283185*Angular_frequency!S266</f>
        <v>64.566009059999999</v>
      </c>
      <c r="T266" s="2">
        <f>6.283185*Angular_frequency!T266</f>
        <v>84.502555064999996</v>
      </c>
      <c r="U266" s="2">
        <f>6.283185*Angular_frequency!U266</f>
        <v>112.41874601999999</v>
      </c>
      <c r="V266" s="2">
        <f>6.283185*Angular_frequency!V266</f>
        <v>150.77759044499999</v>
      </c>
      <c r="W266" s="2">
        <f>6.283185*Angular_frequency!W266</f>
        <v>200.590681125</v>
      </c>
      <c r="X266" s="2">
        <f>6.283185*Angular_frequency!X266</f>
        <v>271.24509645000001</v>
      </c>
      <c r="Y266" s="2">
        <f>6.283185*Angular_frequency!Y266</f>
        <v>363.80897786999998</v>
      </c>
      <c r="Z266" s="2">
        <f>6.283185*Angular_frequency!Z266</f>
        <v>480.06046673999992</v>
      </c>
      <c r="AA266" s="208">
        <f>6.283185*Angular_frequency!AA266</f>
        <v>628.31849999999997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12"/>
      <c r="AU266" s="2"/>
    </row>
    <row r="267" spans="1:47" ht="15.75" customHeight="1">
      <c r="A267" s="174">
        <v>47</v>
      </c>
      <c r="B267" s="179" t="s">
        <v>223</v>
      </c>
      <c r="C267" s="2">
        <f>6.283185*Angular_frequency!C267</f>
        <v>0.6283185</v>
      </c>
      <c r="D267" s="2">
        <f>6.283185*Angular_frequency!D267</f>
        <v>0.84822997499999997</v>
      </c>
      <c r="E267" s="2">
        <f>6.283185*Angular_frequency!E267</f>
        <v>1.137256485</v>
      </c>
      <c r="F267" s="2">
        <f>6.283185*Angular_frequency!F267</f>
        <v>1.5268139549999999</v>
      </c>
      <c r="G267" s="2">
        <f>6.283185*Angular_frequency!G267</f>
        <v>1.99805283</v>
      </c>
      <c r="H267" s="2">
        <f>6.283185*Angular_frequency!H267</f>
        <v>2.6200881449999995</v>
      </c>
      <c r="I267" s="2">
        <f>6.283185*Angular_frequency!I267</f>
        <v>3.5688490799999992</v>
      </c>
      <c r="J267" s="2">
        <f>6.283185*Angular_frequency!J267</f>
        <v>4.78778697</v>
      </c>
      <c r="K267" s="2">
        <f>6.283185*Angular_frequency!K267</f>
        <v>6.5282292149999988</v>
      </c>
      <c r="L267" s="2">
        <f>6.283185*Angular_frequency!L267</f>
        <v>8.6142466349999989</v>
      </c>
      <c r="M267" s="2">
        <f>6.283185*Angular_frequency!M267</f>
        <v>11.177786114999998</v>
      </c>
      <c r="N267" s="2">
        <f>6.283185*Angular_frequency!N267</f>
        <v>15.11734311</v>
      </c>
      <c r="O267" s="2">
        <f>6.283185*Angular_frequency!O267</f>
        <v>19.628669939999998</v>
      </c>
      <c r="P267" s="2">
        <f>6.283185*Angular_frequency!P267</f>
        <v>26.54017344</v>
      </c>
      <c r="Q267" s="2">
        <f>6.283185*Angular_frequency!Q267</f>
        <v>35.311499699999999</v>
      </c>
      <c r="R267" s="2">
        <f>6.283185*Angular_frequency!R267</f>
        <v>47.745922815</v>
      </c>
      <c r="S267" s="2">
        <f>6.283185*Angular_frequency!S267</f>
        <v>64.566009059999999</v>
      </c>
      <c r="T267" s="2">
        <f>6.283185*Angular_frequency!T267</f>
        <v>84.502555064999996</v>
      </c>
      <c r="U267" s="2">
        <f>6.283185*Angular_frequency!U267</f>
        <v>112.41874601999999</v>
      </c>
      <c r="V267" s="2">
        <f>6.283185*Angular_frequency!V267</f>
        <v>150.77759044499999</v>
      </c>
      <c r="W267" s="2">
        <f>6.283185*Angular_frequency!W267</f>
        <v>200.590681125</v>
      </c>
      <c r="X267" s="2">
        <f>6.283185*Angular_frequency!X267</f>
        <v>271.24509645000001</v>
      </c>
      <c r="Y267" s="2"/>
      <c r="Z267" s="2"/>
      <c r="AA267" s="208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12"/>
      <c r="AU267" s="2"/>
    </row>
    <row r="268" spans="1:47" ht="15.75" customHeight="1">
      <c r="A268" s="174">
        <v>47</v>
      </c>
      <c r="B268" s="179">
        <v>5</v>
      </c>
      <c r="C268" s="2">
        <f>6.283185*Angular_frequency!C268</f>
        <v>0.6283185</v>
      </c>
      <c r="D268" s="2">
        <f>6.283185*Angular_frequency!D268</f>
        <v>0.84822997499999997</v>
      </c>
      <c r="E268" s="2">
        <f>6.283185*Angular_frequency!E268</f>
        <v>1.137256485</v>
      </c>
      <c r="F268" s="2">
        <f>6.283185*Angular_frequency!F268</f>
        <v>1.5268139549999999</v>
      </c>
      <c r="G268" s="2">
        <f>6.283185*Angular_frequency!G268</f>
        <v>1.99805283</v>
      </c>
      <c r="H268" s="2">
        <f>6.283185*Angular_frequency!H268</f>
        <v>2.6200881449999995</v>
      </c>
      <c r="I268" s="2">
        <f>6.283185*Angular_frequency!I268</f>
        <v>3.5688490799999992</v>
      </c>
      <c r="J268" s="2">
        <f>6.283185*Angular_frequency!J268</f>
        <v>4.78778697</v>
      </c>
      <c r="K268" s="2">
        <f>6.283185*Angular_frequency!K268</f>
        <v>6.5282292149999988</v>
      </c>
      <c r="L268" s="2">
        <f>6.283185*Angular_frequency!L268</f>
        <v>8.6142466349999989</v>
      </c>
      <c r="M268" s="2">
        <f>6.283185*Angular_frequency!M268</f>
        <v>11.177786114999998</v>
      </c>
      <c r="N268" s="2">
        <f>6.283185*Angular_frequency!N268</f>
        <v>15.11734311</v>
      </c>
      <c r="O268" s="2">
        <f>6.283185*Angular_frequency!O268</f>
        <v>19.628669939999998</v>
      </c>
      <c r="P268" s="2">
        <f>6.283185*Angular_frequency!P268</f>
        <v>26.54017344</v>
      </c>
      <c r="Q268" s="2">
        <f>6.283185*Angular_frequency!Q268</f>
        <v>35.311499699999999</v>
      </c>
      <c r="R268" s="2">
        <f>6.283185*Angular_frequency!R268</f>
        <v>47.745922815</v>
      </c>
      <c r="S268" s="2">
        <f>6.283185*Angular_frequency!S268</f>
        <v>64.566009059999999</v>
      </c>
      <c r="T268" s="2">
        <f>6.283185*Angular_frequency!T268</f>
        <v>84.502555064999996</v>
      </c>
      <c r="U268" s="2">
        <f>6.283185*Angular_frequency!U268</f>
        <v>112.41874601999999</v>
      </c>
      <c r="V268" s="2">
        <f>6.283185*Angular_frequency!V268</f>
        <v>150.77759044499999</v>
      </c>
      <c r="W268" s="2">
        <f>6.283185*Angular_frequency!W268</f>
        <v>200.590681125</v>
      </c>
      <c r="X268" s="2">
        <f>6.283185*Angular_frequency!X268</f>
        <v>271.24509645000001</v>
      </c>
      <c r="Y268" s="2">
        <f>6.283185*Angular_frequency!Y268</f>
        <v>363.80897786999998</v>
      </c>
      <c r="Z268" s="2">
        <f>6.283185*Angular_frequency!Z268</f>
        <v>480.06046673999992</v>
      </c>
      <c r="AA268" s="208">
        <f>6.283185*Angular_frequency!AA268</f>
        <v>628.31849999999997</v>
      </c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12"/>
      <c r="AU268" s="2"/>
    </row>
    <row r="269" spans="1:47" ht="15.75" customHeight="1">
      <c r="A269" s="174">
        <v>47</v>
      </c>
      <c r="B269" s="179" t="s">
        <v>224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08"/>
      <c r="AB269" s="2"/>
    </row>
    <row r="270" spans="1:47" ht="15.75" customHeight="1">
      <c r="A270" s="174">
        <v>47</v>
      </c>
      <c r="B270" s="179" t="s">
        <v>227</v>
      </c>
      <c r="C270" s="2"/>
      <c r="D270" s="2"/>
      <c r="E270" s="2"/>
      <c r="F270" s="2"/>
      <c r="G270" s="2"/>
      <c r="H270" s="2"/>
      <c r="I270" s="2"/>
      <c r="J270" s="2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209"/>
      <c r="AB270" s="2"/>
    </row>
    <row r="271" spans="1:47" ht="15.75" customHeight="1">
      <c r="A271" s="177">
        <v>48</v>
      </c>
      <c r="B271" s="178">
        <v>1</v>
      </c>
      <c r="C271" s="206">
        <v>0.1</v>
      </c>
      <c r="D271" s="206">
        <v>0.251</v>
      </c>
      <c r="E271" s="206">
        <v>0.35899999999999999</v>
      </c>
      <c r="F271" s="206">
        <v>0.95399999999999996</v>
      </c>
      <c r="G271" s="206">
        <v>3.569</v>
      </c>
      <c r="H271" s="206">
        <v>12.494999999999999</v>
      </c>
      <c r="I271" s="206">
        <v>38.911999999999999</v>
      </c>
      <c r="J271" s="207">
        <v>100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47" ht="15.75" customHeight="1">
      <c r="A272" s="174">
        <v>48</v>
      </c>
      <c r="B272" s="179">
        <v>2</v>
      </c>
      <c r="C272" s="2">
        <v>0.1</v>
      </c>
      <c r="D272" s="2">
        <v>0.251</v>
      </c>
      <c r="E272" s="2">
        <v>0.35899999999999999</v>
      </c>
      <c r="F272" s="2">
        <v>0.95399999999999996</v>
      </c>
      <c r="G272" s="2">
        <v>3.569</v>
      </c>
      <c r="H272" s="2">
        <v>12.494999999999999</v>
      </c>
      <c r="I272" s="2">
        <v>38.911999999999999</v>
      </c>
      <c r="J272" s="208">
        <v>100</v>
      </c>
      <c r="K272" s="2"/>
    </row>
    <row r="273" spans="1:47" ht="15.75" customHeight="1">
      <c r="A273" s="174">
        <v>48</v>
      </c>
      <c r="B273" s="179">
        <v>3</v>
      </c>
      <c r="C273" s="2">
        <v>0.1</v>
      </c>
      <c r="D273" s="2">
        <v>0.251</v>
      </c>
      <c r="E273" s="2">
        <v>0.35899999999999999</v>
      </c>
      <c r="F273" s="2">
        <v>0.95399999999999996</v>
      </c>
      <c r="G273" s="2">
        <v>3.569</v>
      </c>
      <c r="H273" s="2">
        <v>12.494999999999999</v>
      </c>
      <c r="I273" s="2">
        <v>38.911999999999999</v>
      </c>
      <c r="J273" s="208">
        <v>100</v>
      </c>
      <c r="K273" s="2"/>
    </row>
    <row r="274" spans="1:47" ht="15.75" customHeight="1">
      <c r="A274" s="174">
        <v>48</v>
      </c>
      <c r="B274" s="179">
        <v>4</v>
      </c>
      <c r="C274" s="2">
        <v>0.1</v>
      </c>
      <c r="D274" s="2">
        <v>0.27500000000000002</v>
      </c>
      <c r="E274" s="2">
        <v>0.85499999999999998</v>
      </c>
      <c r="F274" s="2">
        <v>2.57</v>
      </c>
      <c r="G274" s="2">
        <v>9.8940000000000001</v>
      </c>
      <c r="H274" s="2">
        <v>24.369</v>
      </c>
      <c r="I274" s="2">
        <v>51.991999999999997</v>
      </c>
      <c r="J274" s="208">
        <v>100</v>
      </c>
      <c r="K274" s="2"/>
    </row>
    <row r="275" spans="1:47" ht="15.75" customHeight="1">
      <c r="A275" s="174">
        <v>48</v>
      </c>
      <c r="B275" s="179">
        <v>5</v>
      </c>
      <c r="C275" s="2">
        <v>0.1</v>
      </c>
      <c r="D275" s="2">
        <v>0.27500000000000002</v>
      </c>
      <c r="E275" s="2">
        <v>0.85499999999999998</v>
      </c>
      <c r="F275" s="2">
        <v>2.57</v>
      </c>
      <c r="G275" s="2">
        <v>9.8940000000000001</v>
      </c>
      <c r="H275" s="2">
        <v>24.369</v>
      </c>
      <c r="I275" s="2">
        <v>51.991999999999997</v>
      </c>
      <c r="J275" s="208">
        <v>100</v>
      </c>
      <c r="K275" s="2"/>
    </row>
    <row r="276" spans="1:47" ht="15.75" customHeight="1">
      <c r="A276" s="174">
        <v>48</v>
      </c>
      <c r="B276" s="179">
        <v>6</v>
      </c>
      <c r="C276" s="2">
        <v>0.1</v>
      </c>
      <c r="D276" s="2">
        <v>0.27500000000000002</v>
      </c>
      <c r="E276" s="2">
        <v>0.85499999999999998</v>
      </c>
      <c r="F276" s="2">
        <v>2.57</v>
      </c>
      <c r="G276" s="2">
        <v>9.8940000000000001</v>
      </c>
      <c r="H276" s="2">
        <v>24.369</v>
      </c>
      <c r="I276" s="2">
        <v>51.991999999999997</v>
      </c>
      <c r="J276" s="208">
        <v>100</v>
      </c>
      <c r="K276" s="2"/>
    </row>
    <row r="277" spans="1:47" ht="15.75" customHeight="1">
      <c r="A277" s="174">
        <v>48</v>
      </c>
      <c r="B277" s="179">
        <v>7</v>
      </c>
      <c r="C277" s="2">
        <v>0.1</v>
      </c>
      <c r="D277" s="2">
        <v>0.27500000000000002</v>
      </c>
      <c r="E277" s="2">
        <v>0.85499999999999998</v>
      </c>
      <c r="F277" s="2">
        <v>2.57</v>
      </c>
      <c r="G277" s="2">
        <v>9.8940000000000001</v>
      </c>
      <c r="H277" s="2">
        <v>24.369</v>
      </c>
      <c r="I277" s="2">
        <v>51.991999999999997</v>
      </c>
      <c r="J277" s="208">
        <v>100</v>
      </c>
      <c r="K277" s="2"/>
    </row>
    <row r="278" spans="1:47" ht="15.75" customHeight="1">
      <c r="A278" s="174">
        <v>48</v>
      </c>
      <c r="B278" s="179">
        <v>8</v>
      </c>
      <c r="C278" s="2">
        <v>0.1</v>
      </c>
      <c r="D278" s="2">
        <v>0.31</v>
      </c>
      <c r="E278" s="2">
        <v>0.80600000000000005</v>
      </c>
      <c r="F278" s="2">
        <v>2.625</v>
      </c>
      <c r="G278" s="2">
        <v>9.6560000000000006</v>
      </c>
      <c r="H278" s="2">
        <v>29.244</v>
      </c>
      <c r="I278" s="2">
        <v>65.664000000000001</v>
      </c>
      <c r="J278" s="208">
        <v>100</v>
      </c>
      <c r="K278" s="2"/>
    </row>
    <row r="279" spans="1:47" ht="15.75" customHeight="1">
      <c r="A279" s="174">
        <v>48</v>
      </c>
      <c r="B279" s="179">
        <v>9</v>
      </c>
      <c r="C279" s="2">
        <v>0.1</v>
      </c>
      <c r="D279" s="2">
        <v>0.31</v>
      </c>
      <c r="E279" s="2">
        <v>0.80600000000000005</v>
      </c>
      <c r="F279" s="2">
        <v>2.625</v>
      </c>
      <c r="G279" s="2">
        <v>9.6560000000000006</v>
      </c>
      <c r="H279" s="2">
        <v>29.244</v>
      </c>
      <c r="I279" s="2">
        <v>65.664000000000001</v>
      </c>
      <c r="J279" s="208">
        <v>100</v>
      </c>
      <c r="K279" s="2"/>
    </row>
    <row r="280" spans="1:47" ht="15.75" customHeight="1">
      <c r="A280" s="174">
        <v>48</v>
      </c>
      <c r="B280" s="179">
        <v>10</v>
      </c>
      <c r="C280" s="2">
        <v>0.1</v>
      </c>
      <c r="D280" s="2">
        <v>0.31</v>
      </c>
      <c r="E280" s="2">
        <v>0.80600000000000005</v>
      </c>
      <c r="F280" s="2">
        <v>2.625</v>
      </c>
      <c r="G280" s="2">
        <v>9.6560000000000006</v>
      </c>
      <c r="H280" s="2">
        <v>29.244</v>
      </c>
      <c r="I280" s="2">
        <v>65.664000000000001</v>
      </c>
      <c r="J280" s="208">
        <v>100</v>
      </c>
      <c r="K280" s="2"/>
    </row>
    <row r="281" spans="1:47" ht="15.75" customHeight="1">
      <c r="A281" s="174">
        <v>48</v>
      </c>
      <c r="B281" s="179">
        <v>11</v>
      </c>
      <c r="C281" s="2">
        <v>0.1</v>
      </c>
      <c r="D281" s="2">
        <v>0.31</v>
      </c>
      <c r="E281" s="2">
        <v>0.80600000000000005</v>
      </c>
      <c r="F281" s="2">
        <v>2.625</v>
      </c>
      <c r="G281" s="2">
        <v>9.6560000000000006</v>
      </c>
      <c r="H281" s="2">
        <v>29.244</v>
      </c>
      <c r="I281" s="2">
        <v>65.664000000000001</v>
      </c>
      <c r="J281" s="208">
        <v>100</v>
      </c>
      <c r="K281" s="2"/>
    </row>
    <row r="282" spans="1:47" ht="15.75" customHeight="1">
      <c r="A282" s="174">
        <v>48</v>
      </c>
      <c r="B282" s="179">
        <v>12</v>
      </c>
      <c r="C282" s="2">
        <v>0.1</v>
      </c>
      <c r="D282" s="2">
        <v>0.31</v>
      </c>
      <c r="E282" s="2">
        <v>0.80600000000000005</v>
      </c>
      <c r="F282" s="2">
        <v>2.625</v>
      </c>
      <c r="G282" s="2">
        <v>9.6560000000000006</v>
      </c>
      <c r="H282" s="2">
        <v>29.244</v>
      </c>
      <c r="I282" s="2">
        <v>65.664000000000001</v>
      </c>
      <c r="J282" s="208">
        <v>100</v>
      </c>
      <c r="K282" s="2"/>
      <c r="L282" s="2"/>
      <c r="M282" s="2"/>
      <c r="N282" s="2"/>
      <c r="O282" s="2"/>
      <c r="P282" s="2"/>
      <c r="Q282" s="2"/>
      <c r="R282" s="2"/>
    </row>
    <row r="283" spans="1:47" ht="15.75" customHeight="1">
      <c r="A283" s="266">
        <v>49</v>
      </c>
      <c r="B283" s="58">
        <v>1</v>
      </c>
      <c r="C283" s="206">
        <f>6.283185*Angular_frequency!C283</f>
        <v>6.2831849999999995E-2</v>
      </c>
      <c r="D283" s="206">
        <f>6.283185*Angular_frequency!D283</f>
        <v>0.11309732999999998</v>
      </c>
      <c r="E283" s="206">
        <f>6.283185*Angular_frequency!E283</f>
        <v>0.19477873499999998</v>
      </c>
      <c r="F283" s="206">
        <f>6.283185*Angular_frequency!F283</f>
        <v>0.34557517499999996</v>
      </c>
      <c r="G283" s="206">
        <f>6.283185*Angular_frequency!G283</f>
        <v>0.60946894499999993</v>
      </c>
      <c r="H283" s="206">
        <f>6.283185*Angular_frequency!H283</f>
        <v>1.0869910049999998</v>
      </c>
      <c r="I283" s="206">
        <f>6.283185*Angular_frequency!I283</f>
        <v>1.9540705349999998</v>
      </c>
      <c r="J283" s="206">
        <f>6.283185*Angular_frequency!J283</f>
        <v>3.4620349350000001</v>
      </c>
      <c r="K283" s="206">
        <f>6.283185*Angular_frequency!K283</f>
        <v>6.1952204099999992</v>
      </c>
      <c r="L283" s="206">
        <f>6.283185*Angular_frequency!L283</f>
        <v>10.976724194999999</v>
      </c>
      <c r="M283" s="206">
        <f>6.283185*Angular_frequency!M283</f>
        <v>19.27681158</v>
      </c>
      <c r="N283" s="206">
        <f>6.283185*Angular_frequency!N283</f>
        <v>34.846544010000002</v>
      </c>
      <c r="O283" s="206">
        <f>6.283185*Angular_frequency!O283</f>
        <v>61.179372344999997</v>
      </c>
      <c r="P283" s="206">
        <f>6.283185*Angular_frequency!P283</f>
        <v>109.51591454999999</v>
      </c>
      <c r="Q283" s="206">
        <f>6.283185*Angular_frequency!Q283</f>
        <v>194.16298286999998</v>
      </c>
      <c r="R283" s="207">
        <f>6.283185*Angular_frequency!R283</f>
        <v>344.23057340999998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0"/>
      <c r="AU283" s="2"/>
    </row>
    <row r="284" spans="1:47" ht="15.75" customHeight="1">
      <c r="A284" s="210">
        <v>49</v>
      </c>
      <c r="B284" s="59">
        <v>2</v>
      </c>
      <c r="C284" s="2">
        <f>6.283185*Angular_frequency!C284</f>
        <v>6.2831849999999995E-2</v>
      </c>
      <c r="D284" s="2">
        <f>6.283185*Angular_frequency!D284</f>
        <v>0.11309732999999998</v>
      </c>
      <c r="E284" s="2">
        <f>6.283185*Angular_frequency!E284</f>
        <v>0.19477873499999998</v>
      </c>
      <c r="F284" s="2">
        <f>6.283185*Angular_frequency!F284</f>
        <v>0.34557517499999996</v>
      </c>
      <c r="G284" s="2">
        <f>6.283185*Angular_frequency!G284</f>
        <v>0.60946894499999993</v>
      </c>
      <c r="H284" s="2">
        <f>6.283185*Angular_frequency!H284</f>
        <v>1.0869910049999998</v>
      </c>
      <c r="I284" s="2">
        <f>6.283185*Angular_frequency!I284</f>
        <v>1.9540705349999998</v>
      </c>
      <c r="J284" s="2">
        <f>6.283185*Angular_frequency!J284</f>
        <v>3.4620349350000001</v>
      </c>
      <c r="K284" s="2">
        <f>6.283185*Angular_frequency!K284</f>
        <v>6.1952204099999992</v>
      </c>
      <c r="L284" s="2">
        <f>6.283185*Angular_frequency!L284</f>
        <v>10.976724194999999</v>
      </c>
      <c r="M284" s="2">
        <f>6.283185*Angular_frequency!M284</f>
        <v>19.27681158</v>
      </c>
      <c r="N284" s="2">
        <f>6.283185*Angular_frequency!N284</f>
        <v>34.846544010000002</v>
      </c>
      <c r="O284" s="2">
        <f>6.283185*Angular_frequency!O284</f>
        <v>61.179372344999997</v>
      </c>
      <c r="P284" s="2">
        <f>6.283185*Angular_frequency!P284</f>
        <v>109.51591454999999</v>
      </c>
      <c r="Q284" s="2">
        <f>6.283185*Angular_frequency!Q284</f>
        <v>194.16298286999998</v>
      </c>
      <c r="R284" s="208">
        <f>6.283185*Angular_frequency!R284</f>
        <v>344.23057340999998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0"/>
      <c r="AU284" s="2"/>
    </row>
    <row r="285" spans="1:47" ht="15.75" customHeight="1">
      <c r="A285" s="210">
        <v>49</v>
      </c>
      <c r="B285" s="59">
        <v>3</v>
      </c>
      <c r="C285" s="2">
        <f>6.283185*Angular_frequency!C285</f>
        <v>6.2831849999999995E-2</v>
      </c>
      <c r="D285" s="2">
        <f>6.283185*Angular_frequency!D285</f>
        <v>0.11309732999999998</v>
      </c>
      <c r="E285" s="2">
        <f>6.283185*Angular_frequency!E285</f>
        <v>0.19477873499999998</v>
      </c>
      <c r="F285" s="2">
        <f>6.283185*Angular_frequency!F285</f>
        <v>0.34557517499999996</v>
      </c>
      <c r="G285" s="2">
        <f>6.283185*Angular_frequency!G285</f>
        <v>0.60946894499999993</v>
      </c>
      <c r="H285" s="2">
        <f>6.283185*Angular_frequency!H285</f>
        <v>1.0869910049999998</v>
      </c>
      <c r="I285" s="2">
        <f>6.283185*Angular_frequency!I285</f>
        <v>1.9540705349999998</v>
      </c>
      <c r="J285" s="2">
        <f>6.283185*Angular_frequency!J285</f>
        <v>3.4620349350000001</v>
      </c>
      <c r="K285" s="2">
        <f>6.283185*Angular_frequency!K285</f>
        <v>6.1952204099999992</v>
      </c>
      <c r="L285" s="2">
        <f>6.283185*Angular_frequency!L285</f>
        <v>10.976724194999999</v>
      </c>
      <c r="M285" s="2">
        <f>6.283185*Angular_frequency!M285</f>
        <v>19.27681158</v>
      </c>
      <c r="N285" s="2">
        <f>6.283185*Angular_frequency!N285</f>
        <v>34.846544010000002</v>
      </c>
      <c r="O285" s="2">
        <f>6.283185*Angular_frequency!O285</f>
        <v>61.179372344999997</v>
      </c>
      <c r="P285" s="2">
        <f>6.283185*Angular_frequency!P285</f>
        <v>109.51591454999999</v>
      </c>
      <c r="Q285" s="2">
        <f>6.283185*Angular_frequency!Q285</f>
        <v>194.16298286999998</v>
      </c>
      <c r="R285" s="208">
        <f>6.283185*Angular_frequency!R285</f>
        <v>344.23057340999998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0"/>
      <c r="AU285" s="2"/>
    </row>
    <row r="286" spans="1:47" ht="15.75" customHeight="1">
      <c r="A286" s="200">
        <v>50</v>
      </c>
      <c r="B286" s="59">
        <v>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47" ht="15.75" customHeight="1">
      <c r="A287" s="200">
        <v>50</v>
      </c>
      <c r="B287" s="59">
        <v>2</v>
      </c>
    </row>
    <row r="288" spans="1:47" ht="15.75" customHeight="1">
      <c r="A288" s="200">
        <v>50</v>
      </c>
      <c r="B288" s="59">
        <v>3</v>
      </c>
    </row>
    <row r="289" spans="1:2" ht="15.75" customHeight="1">
      <c r="A289" s="200">
        <v>50</v>
      </c>
      <c r="B289" s="59">
        <v>4</v>
      </c>
    </row>
    <row r="290" spans="1:2" ht="15.75" customHeight="1">
      <c r="A290" s="201">
        <v>51</v>
      </c>
      <c r="B290" s="58">
        <v>1</v>
      </c>
    </row>
    <row r="291" spans="1:2" ht="15.75" customHeight="1">
      <c r="A291" s="200">
        <v>51</v>
      </c>
      <c r="B291" s="59">
        <v>2</v>
      </c>
    </row>
    <row r="292" spans="1:2" ht="15.75" customHeight="1">
      <c r="A292" s="200">
        <v>51</v>
      </c>
      <c r="B292" s="59">
        <v>3</v>
      </c>
    </row>
    <row r="293" spans="1:2" ht="15.75" customHeight="1">
      <c r="A293" s="200">
        <v>51</v>
      </c>
      <c r="B293" s="59">
        <v>4</v>
      </c>
    </row>
    <row r="294" spans="1:2" ht="15.75" customHeight="1">
      <c r="A294" s="200">
        <v>51</v>
      </c>
      <c r="B294" s="59">
        <v>5</v>
      </c>
    </row>
    <row r="295" spans="1:2" ht="15.75" customHeight="1">
      <c r="A295" s="200">
        <v>51</v>
      </c>
      <c r="B295" s="59">
        <v>6</v>
      </c>
    </row>
    <row r="296" spans="1:2" ht="15.75" customHeight="1">
      <c r="A296" s="200">
        <v>51</v>
      </c>
      <c r="B296" s="59">
        <v>7</v>
      </c>
    </row>
    <row r="297" spans="1:2" ht="15.75" customHeight="1">
      <c r="A297" s="237">
        <v>52</v>
      </c>
      <c r="B297" s="178">
        <v>1</v>
      </c>
    </row>
    <row r="298" spans="1:2" ht="15.75" customHeight="1">
      <c r="A298" s="205">
        <v>52</v>
      </c>
      <c r="B298" s="179">
        <v>2</v>
      </c>
    </row>
    <row r="299" spans="1:2" ht="15.75" customHeight="1">
      <c r="A299" s="205">
        <v>52</v>
      </c>
      <c r="B299" s="179">
        <v>3</v>
      </c>
    </row>
    <row r="300" spans="1:2" ht="15.75" customHeight="1">
      <c r="A300" s="213">
        <v>52</v>
      </c>
      <c r="B300" s="180">
        <v>4</v>
      </c>
    </row>
    <row r="301" spans="1:2" ht="15.75" customHeight="1">
      <c r="A301" s="205">
        <v>53</v>
      </c>
      <c r="B301" s="179">
        <v>1</v>
      </c>
    </row>
    <row r="302" spans="1:2" ht="15.75" customHeight="1">
      <c r="A302" s="205">
        <v>53</v>
      </c>
      <c r="B302" s="179">
        <v>2</v>
      </c>
    </row>
    <row r="303" spans="1:2" ht="15.75" customHeight="1">
      <c r="A303" s="205">
        <v>53</v>
      </c>
      <c r="B303" s="179">
        <v>3</v>
      </c>
    </row>
    <row r="304" spans="1:2" ht="15.75" customHeight="1">
      <c r="A304" s="205">
        <v>53</v>
      </c>
      <c r="B304" s="179">
        <v>4</v>
      </c>
    </row>
    <row r="305" spans="1:19" ht="15.75" customHeight="1">
      <c r="A305" s="213">
        <v>53</v>
      </c>
      <c r="B305" s="180">
        <v>5</v>
      </c>
    </row>
    <row r="306" spans="1:19" ht="15.75" customHeight="1">
      <c r="A306" s="201">
        <v>54</v>
      </c>
      <c r="B306" s="178">
        <v>1</v>
      </c>
    </row>
    <row r="307" spans="1:19" ht="15.75" customHeight="1">
      <c r="A307" s="200">
        <v>54</v>
      </c>
      <c r="B307" s="179">
        <v>2</v>
      </c>
    </row>
    <row r="308" spans="1:19" ht="15.75" customHeight="1">
      <c r="A308" s="200">
        <v>54</v>
      </c>
      <c r="B308" s="179">
        <v>3</v>
      </c>
    </row>
    <row r="309" spans="1:19" ht="15.75" customHeight="1">
      <c r="A309" s="200">
        <v>54</v>
      </c>
      <c r="B309" s="179">
        <v>4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9" ht="15.75" customHeight="1">
      <c r="A310" s="177">
        <v>55</v>
      </c>
      <c r="B310" s="178" t="s">
        <v>220</v>
      </c>
      <c r="C310" s="199">
        <v>0.1</v>
      </c>
      <c r="D310" s="199">
        <v>0.161</v>
      </c>
      <c r="E310" s="199">
        <v>0.255</v>
      </c>
      <c r="F310" s="199">
        <v>0.40300000000000002</v>
      </c>
      <c r="G310" s="199">
        <v>0.63800000000000001</v>
      </c>
      <c r="H310" s="199">
        <v>1.034</v>
      </c>
      <c r="I310" s="199">
        <v>1.5980000000000001</v>
      </c>
      <c r="J310" s="199">
        <v>2.4990000000000001</v>
      </c>
      <c r="K310" s="199">
        <v>4.0019999999999998</v>
      </c>
      <c r="L310" s="199">
        <v>6.4080000000000004</v>
      </c>
      <c r="M310" s="199">
        <v>10.023999999999999</v>
      </c>
      <c r="N310" s="199">
        <v>16.052</v>
      </c>
      <c r="O310" s="199">
        <v>25.404</v>
      </c>
      <c r="P310" s="199">
        <v>40.206000000000003</v>
      </c>
      <c r="Q310" s="199">
        <v>62.887999999999998</v>
      </c>
      <c r="R310" s="189">
        <v>100</v>
      </c>
      <c r="S310" s="2"/>
    </row>
    <row r="311" spans="1:19" ht="15.75" customHeight="1">
      <c r="A311" s="174">
        <v>55</v>
      </c>
      <c r="B311" s="179" t="s">
        <v>221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92"/>
      <c r="S311" s="2"/>
    </row>
    <row r="312" spans="1:19" ht="15.75" customHeight="1">
      <c r="A312" s="174">
        <v>55</v>
      </c>
      <c r="B312" s="179" t="s">
        <v>222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92"/>
      <c r="S312" s="2"/>
    </row>
    <row r="313" spans="1:19" ht="15.75" customHeight="1">
      <c r="A313" s="174">
        <v>55</v>
      </c>
      <c r="B313" s="179" t="s">
        <v>224</v>
      </c>
      <c r="C313" s="12">
        <v>0.1</v>
      </c>
      <c r="D313" s="12">
        <v>0.161</v>
      </c>
      <c r="E313" s="12">
        <v>0.255</v>
      </c>
      <c r="F313" s="12">
        <v>0.40300000000000002</v>
      </c>
      <c r="G313" s="12">
        <v>0.63800000000000001</v>
      </c>
      <c r="H313" s="12">
        <v>1.034</v>
      </c>
      <c r="I313" s="12">
        <v>1.5980000000000001</v>
      </c>
      <c r="J313" s="12">
        <v>2.4990000000000001</v>
      </c>
      <c r="K313" s="12">
        <v>4.0019999999999998</v>
      </c>
      <c r="L313" s="12">
        <v>6.4080000000000004</v>
      </c>
      <c r="M313" s="12">
        <v>10.023999999999999</v>
      </c>
      <c r="N313" s="12">
        <v>16.052</v>
      </c>
      <c r="O313" s="12">
        <v>25.404</v>
      </c>
      <c r="P313" s="12">
        <v>40.206000000000003</v>
      </c>
      <c r="Q313" s="12">
        <v>62.887999999999998</v>
      </c>
      <c r="R313" s="192">
        <v>100</v>
      </c>
      <c r="S313" s="2"/>
    </row>
    <row r="314" spans="1:19" ht="15.75" customHeight="1">
      <c r="A314" s="174">
        <v>55</v>
      </c>
      <c r="B314" s="179" t="s">
        <v>225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92"/>
      <c r="S314" s="2"/>
    </row>
    <row r="315" spans="1:19" ht="15.75" customHeight="1">
      <c r="A315" s="174">
        <v>55</v>
      </c>
      <c r="B315" s="179" t="s">
        <v>226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92"/>
      <c r="S315" s="2"/>
    </row>
    <row r="316" spans="1:19" ht="15.75" customHeight="1">
      <c r="A316" s="174">
        <v>55</v>
      </c>
      <c r="B316" s="179" t="s">
        <v>230</v>
      </c>
      <c r="C316" s="12">
        <v>0.1</v>
      </c>
      <c r="D316" s="12">
        <v>0.161</v>
      </c>
      <c r="E316" s="12">
        <v>0.255</v>
      </c>
      <c r="F316" s="12">
        <v>0.40300000000000002</v>
      </c>
      <c r="G316" s="12">
        <v>0.63800000000000001</v>
      </c>
      <c r="H316" s="12">
        <v>1.034</v>
      </c>
      <c r="I316" s="12">
        <v>1.5980000000000001</v>
      </c>
      <c r="J316" s="12">
        <v>2.4990000000000001</v>
      </c>
      <c r="K316" s="12">
        <v>4.0019999999999998</v>
      </c>
      <c r="L316" s="12">
        <v>6.4080000000000004</v>
      </c>
      <c r="M316" s="12">
        <v>10.023999999999999</v>
      </c>
      <c r="N316" s="12">
        <v>16.052</v>
      </c>
      <c r="O316" s="12">
        <v>25.404</v>
      </c>
      <c r="P316" s="12">
        <v>40.206000000000003</v>
      </c>
      <c r="Q316" s="12">
        <v>62.887999999999998</v>
      </c>
      <c r="R316" s="192">
        <v>100</v>
      </c>
      <c r="S316" s="2"/>
    </row>
    <row r="317" spans="1:19" ht="15.75" customHeight="1">
      <c r="A317" s="174">
        <v>55</v>
      </c>
      <c r="B317" s="179" t="s">
        <v>231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92"/>
      <c r="S317" s="2"/>
    </row>
    <row r="318" spans="1:19" ht="15.75" customHeight="1">
      <c r="A318" s="174">
        <v>55</v>
      </c>
      <c r="B318" s="179" t="s">
        <v>232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92"/>
      <c r="S318" s="2"/>
    </row>
    <row r="319" spans="1:19" ht="15.75" customHeight="1">
      <c r="A319" s="177">
        <v>56</v>
      </c>
      <c r="B319" s="178" t="s">
        <v>220</v>
      </c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7"/>
      <c r="S319" s="2"/>
    </row>
    <row r="320" spans="1:19" ht="15.75" customHeight="1">
      <c r="A320" s="175">
        <v>56</v>
      </c>
      <c r="B320" s="180" t="s">
        <v>224</v>
      </c>
      <c r="C320" s="24">
        <v>0.10199999999999999</v>
      </c>
      <c r="D320" s="24">
        <v>0.16</v>
      </c>
      <c r="E320" s="24">
        <v>0.252</v>
      </c>
      <c r="F320" s="24">
        <v>0.39600000000000002</v>
      </c>
      <c r="G320" s="24">
        <v>0.63400000000000001</v>
      </c>
      <c r="H320" s="24">
        <v>1.016</v>
      </c>
      <c r="I320" s="24">
        <v>1.597</v>
      </c>
      <c r="J320" s="24">
        <v>2.581</v>
      </c>
      <c r="K320" s="24">
        <v>4.0579999999999998</v>
      </c>
      <c r="L320" s="24">
        <v>6.62</v>
      </c>
      <c r="M320" s="24">
        <v>10.313000000000001</v>
      </c>
      <c r="N320" s="24">
        <v>16.065000000000001</v>
      </c>
      <c r="O320" s="24">
        <v>25.728999999999999</v>
      </c>
      <c r="P320" s="24">
        <v>40.828000000000003</v>
      </c>
      <c r="Q320" s="24">
        <v>65.39</v>
      </c>
      <c r="R320" s="193">
        <v>100</v>
      </c>
      <c r="S320" s="2"/>
    </row>
    <row r="321" spans="1:47" ht="15.75" customHeight="1">
      <c r="A321" s="174">
        <v>57</v>
      </c>
      <c r="B321" s="179">
        <v>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47" ht="15.75" customHeight="1">
      <c r="A322" s="174">
        <v>57</v>
      </c>
      <c r="B322" s="179">
        <v>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47" ht="15.75" customHeight="1">
      <c r="A323" s="201">
        <v>58</v>
      </c>
      <c r="B323" s="58">
        <v>1</v>
      </c>
      <c r="C323" s="206">
        <v>1</v>
      </c>
      <c r="D323" s="206">
        <v>1.581</v>
      </c>
      <c r="E323" s="206">
        <v>2.5499999999999998</v>
      </c>
      <c r="F323" s="206">
        <v>3.9220000000000002</v>
      </c>
      <c r="G323" s="206">
        <v>6.37</v>
      </c>
      <c r="H323" s="206">
        <v>10</v>
      </c>
      <c r="I323" s="206">
        <v>15.805999999999999</v>
      </c>
      <c r="J323" s="206">
        <v>24.981999999999999</v>
      </c>
      <c r="K323" s="206">
        <v>40.302999999999997</v>
      </c>
      <c r="L323" s="206">
        <v>62.41</v>
      </c>
      <c r="M323" s="207">
        <v>100</v>
      </c>
      <c r="N323" s="2"/>
    </row>
    <row r="324" spans="1:47" ht="15.75" customHeight="1">
      <c r="A324" s="200">
        <v>58</v>
      </c>
      <c r="B324" s="59">
        <v>2</v>
      </c>
      <c r="C324" s="2">
        <v>1</v>
      </c>
      <c r="D324" s="2">
        <v>1.581</v>
      </c>
      <c r="E324" s="2">
        <v>2.5499999999999998</v>
      </c>
      <c r="F324" s="2">
        <v>3.9220000000000002</v>
      </c>
      <c r="G324" s="2">
        <v>6.37</v>
      </c>
      <c r="H324" s="2">
        <v>10</v>
      </c>
      <c r="I324" s="2">
        <v>15.805999999999999</v>
      </c>
      <c r="J324" s="2">
        <v>24.981999999999999</v>
      </c>
      <c r="K324" s="2">
        <v>40.302999999999997</v>
      </c>
      <c r="L324" s="2">
        <v>62.41</v>
      </c>
      <c r="M324" s="208">
        <v>100</v>
      </c>
      <c r="N324" s="2"/>
    </row>
    <row r="325" spans="1:47" ht="15.75" customHeight="1">
      <c r="A325" s="200">
        <v>58</v>
      </c>
      <c r="B325" s="59">
        <v>3</v>
      </c>
      <c r="C325" s="2">
        <v>1</v>
      </c>
      <c r="D325" s="2">
        <v>1.581</v>
      </c>
      <c r="E325" s="2">
        <v>2.5499999999999998</v>
      </c>
      <c r="F325" s="2">
        <v>3.9220000000000002</v>
      </c>
      <c r="G325" s="2">
        <v>6.37</v>
      </c>
      <c r="H325" s="2">
        <v>10</v>
      </c>
      <c r="I325" s="2">
        <v>15.805999999999999</v>
      </c>
      <c r="J325" s="2">
        <v>24.981999999999999</v>
      </c>
      <c r="K325" s="2">
        <v>40.302999999999997</v>
      </c>
      <c r="L325" s="2">
        <v>62.41</v>
      </c>
      <c r="M325" s="208">
        <v>100</v>
      </c>
      <c r="N325" s="2"/>
    </row>
    <row r="326" spans="1:47" ht="15.75" customHeight="1">
      <c r="A326" s="201">
        <v>59</v>
      </c>
      <c r="B326" s="58">
        <v>1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customHeight="1">
      <c r="A327" s="200">
        <v>59</v>
      </c>
      <c r="B327" s="59">
        <v>2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customHeight="1">
      <c r="A328" s="200">
        <v>59</v>
      </c>
      <c r="B328" s="59">
        <v>3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customHeight="1">
      <c r="A329" s="200">
        <v>59</v>
      </c>
      <c r="B329" s="59">
        <v>4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customHeight="1">
      <c r="A330" s="200">
        <v>59</v>
      </c>
      <c r="B330" s="59">
        <v>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customHeight="1">
      <c r="A331" s="202">
        <v>59</v>
      </c>
      <c r="B331" s="203">
        <v>6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customHeight="1">
      <c r="A332" s="205">
        <v>60</v>
      </c>
      <c r="B332" s="58">
        <v>1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customHeight="1">
      <c r="A333" s="205">
        <v>60</v>
      </c>
      <c r="B333" s="59">
        <v>2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customHeight="1">
      <c r="A334" s="205">
        <v>60</v>
      </c>
      <c r="B334" s="59">
        <v>3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customHeight="1">
      <c r="A335" s="205">
        <v>60</v>
      </c>
      <c r="B335" s="59">
        <v>4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customHeight="1">
      <c r="A336" s="205">
        <v>60</v>
      </c>
      <c r="B336" s="59">
        <v>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customHeight="1">
      <c r="A337" s="213">
        <v>61</v>
      </c>
      <c r="B337" s="246">
        <v>1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3:47" ht="15.7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3:47" ht="15.7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3:47" ht="15.7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3:47" ht="15.7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3:47" ht="15.7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3:47" ht="15.7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3:47" ht="15.7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3:47" ht="15.7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3:47" ht="15.7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3:47" ht="15.7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3:47" ht="15.7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3:47" ht="15.7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3:47" ht="15.7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3:47" ht="15.7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3:47" ht="15.7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3:47" ht="15.7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3:47" ht="15.7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3:47" ht="15.7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3:47" ht="15.7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3:47" ht="15.7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3:47" ht="15.7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3:47" ht="15.7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3:47" ht="15.7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3:47" ht="15.7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3:47" ht="15.7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3:47" ht="15.7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3:47" ht="15.7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3:47" ht="15.7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3:47" ht="15.7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3:47" ht="15.7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3:47" ht="15.7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3:47" ht="15.7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3:47" ht="15.7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3:47" ht="15.7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3:47" ht="15.7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3:47" ht="15.7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3:47" ht="15.7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3:47" ht="15.7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3:47" ht="15.7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3:47" ht="15.7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3:47" ht="15.7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3:47" ht="15.7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3:47" ht="15.7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3:47" ht="15.7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3:47" ht="15.7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3:47" ht="15.7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3:47" ht="15.7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3:47" ht="15.7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3:47" ht="15.7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3:47" ht="15.7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3:47" ht="15.7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3:47" ht="15.7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3:47" ht="15.7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3:47" ht="15.7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3:47" ht="15.7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3:47" ht="15.7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3:47" ht="15.7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3:47" ht="15.7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3:47" ht="15.7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3:47" ht="15.7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3:47" ht="15.7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3:47" ht="15.7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3:47" ht="15.7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3:47" ht="15.7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3:47" ht="15.7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3:47" ht="15.7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3:47" ht="15.7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3:47" ht="15.7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3:47" ht="15.7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3:47" ht="15.7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3:47" ht="15.7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3:47" ht="15.7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3:47" ht="15.7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3:47" ht="15.7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3:47" ht="15.7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3:47" ht="15.7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3:47" ht="15.7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3:47" ht="15.7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3:47" ht="15.7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3:47" ht="15.7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3:47" ht="15.7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3:47" ht="15.7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3:47" ht="15.7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3:47" ht="15.7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3:47" ht="15.7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3:47" ht="15.7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3:47" ht="15.7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3:47" ht="15.7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3:47" ht="15.7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3:47" ht="15.7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3:47" ht="15.7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3:47" ht="15.7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3:47" ht="15.7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3:47" ht="15.7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3:47" ht="15.7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3:47" ht="15.7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3:47" ht="15.7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3:47" ht="15.7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3:47" ht="15.7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3:47" ht="15.7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3:47" ht="15.7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3:47" ht="15.7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3:47" ht="15.7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3:47" ht="15.7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3:47" ht="15.7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3:47" ht="15.7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3:47" ht="15.7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3:47" ht="15.7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3:47" ht="15.7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3:47" ht="15.7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3:47" ht="15.7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3:47" ht="15.7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3:47" ht="15.7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3:47" ht="15.7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3:47" ht="15.7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3:47" ht="15.7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3:47" ht="15.7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3:47" ht="15.7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3:47" ht="15.7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3:47" ht="15.7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3:47" ht="15.7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3:47" ht="15.7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3:47" ht="15.7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3:47" ht="15.7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3:47" ht="15.7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3:47" ht="15.7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3:47" ht="15.7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3:47" ht="15.7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3:47" ht="15.7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3:47" ht="15.7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3:47" ht="15.7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3:47" ht="15.7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3:47" ht="15.7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3:47" ht="15.7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3:47" ht="15.7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3:47" ht="15.7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3:47" ht="15.7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3:47" ht="15.7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3:47" ht="15.7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3:47" ht="15.7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3:47" ht="15.7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3:47" ht="15.7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3:47" ht="15.7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3:47" ht="15.7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3:47" ht="15.7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3:47" ht="15.7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3:47" ht="15.7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3:47" ht="15.7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3:47" ht="15.7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3:47" ht="15.7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3:47" ht="15.7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3:47" ht="15.7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3:47" ht="15.7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3:47" ht="15.7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3:47" ht="15.7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3:47" ht="15.7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3:47" ht="15.7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3:47" ht="15.7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3:47" ht="15.7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3:47" ht="15.7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3:47" ht="15.7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3:47" ht="15.7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3:47" ht="15.7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3:47" ht="15.7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3:47" ht="15.7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3:47" ht="15.7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3:47" ht="15.7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3:47" ht="15.7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3:47" ht="15.7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3:47" ht="15.7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3:47" ht="15.7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3:47" ht="15.7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3:47" ht="15.7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3:47" ht="15.7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3:47" ht="15.7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3:47" ht="15.7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3:47" ht="15.7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3:47" ht="15.7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3:47" ht="15.7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3:47" ht="15.7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3:47" ht="15.7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3:47" ht="15.7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3:47" ht="15.7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3:47" ht="15.7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3:47" ht="15.7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3:47" ht="15.7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3:47" ht="15.7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3:47" ht="15.7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3:47" ht="15.7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3:47" ht="15.7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3:47" ht="15.7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3:47" ht="15.7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3:47" ht="15.7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3:47" ht="15.7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3:47" ht="15.7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3:47" ht="15.7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3:47" ht="15.7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3:47" ht="15.7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3:47" ht="15.7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3:47" ht="15.7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3:47" ht="15.7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3:47" ht="15.7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3:47" ht="15.7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3:47" ht="15.7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3:47" ht="15.7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3:47" ht="15.7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3:47" ht="15.7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3:47" ht="15.7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3:47" ht="15.7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3:47" ht="15.7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3:47" ht="15.7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3:47" ht="15.7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3:47" ht="15.7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3:47" ht="15.7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3:47" ht="15.7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3:47" ht="15.7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3:47" ht="15.7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3:47" ht="15.7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3:47" ht="15.7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3:47" ht="15.7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3:47" ht="15.7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3:47" ht="15.7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3:47" ht="15.7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3:47" ht="15.7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3:47" ht="15.7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3:47" ht="15.7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3:47" ht="15.7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3:47" ht="15.7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3:47" ht="15.7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3:47" ht="15.7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3:47" ht="15.7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3:47" ht="15.7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3:47" ht="15.7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3:47" ht="15.7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3:47" ht="15.7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3:47" ht="15.7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3:47" ht="15.7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3:47" ht="15.7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3:47" ht="15.7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3:47" ht="15.7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3:47" ht="15.7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3:47" ht="15.7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3:47" ht="15.7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3:47" ht="15.7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3:47" ht="15.7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3:47" ht="15.7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3:47" ht="15.7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3:47" ht="15.7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3:47" ht="15.7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3:47" ht="15.7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3:47" ht="15.7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3:47" ht="15.7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3:47" ht="15.7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3:47" ht="15.7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3:47" ht="15.7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3:47" ht="15.7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3:47" ht="15.7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3:47" ht="15.7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3:47" ht="15.7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3:47" ht="15.7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3:47" ht="15.7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3:47" ht="15.7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3:47" ht="15.7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3:47" ht="15.7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3:47" ht="15.7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3:47" ht="15.7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3:47" ht="15.7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3:47" ht="15.7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3:47" ht="15.7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3:47" ht="15.7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3:47" ht="15.7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3:47" ht="15.7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3:47" ht="15.7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3:47" ht="15.7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3:47" ht="15.7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3:47" ht="15.7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3:47" ht="15.7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3:47" ht="15.7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3:47" ht="15.7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3:47" ht="15.7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3:47" ht="15.7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3:47" ht="15.7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3:47" ht="15.7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3:47" ht="15.7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3:47" ht="15.7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3:47" ht="15.7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3:47" ht="15.7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3:47" ht="15.7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3:47" ht="15.7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3:47" ht="15.7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3:47" ht="15.7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3:47" ht="15.7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3:47" ht="15.7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3:47" ht="15.7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3:47" ht="15.7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3:47" ht="15.7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3:47" ht="15.7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3:47" ht="15.7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3:47" ht="15.7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3:47" ht="15.7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3:47" ht="15.7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3:47" ht="15.7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3:47" ht="15.7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3:47" ht="15.7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3:47" ht="15.7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3:47" ht="15.7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3:47" ht="15.7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3:47" ht="15.7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3:47" ht="15.7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3:47" ht="15.7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3:47" ht="15.7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3:47" ht="15.7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3:47" ht="15.7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3:47" ht="15.7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3:47" ht="15.7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3:47" ht="15.7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3:47" ht="15.7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3:47" ht="15.7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3:47" ht="15.7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3:47" ht="15.7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3:47" ht="15.7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3:47" ht="15.7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3:47" ht="15.7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3:47" ht="15.7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3:47" ht="15.7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3:47" ht="15.7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3:47" ht="15.7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3:47" ht="15.7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3:47" ht="15.7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3:47" ht="15.7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3:47" ht="15.7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3:47" ht="15.7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3:47" ht="15.7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3:47" ht="15.7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3:47" ht="15.7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3:47" ht="15.7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3:47" ht="15.7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3:47" ht="15.7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3:47" ht="15.7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3:47" ht="15.7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3:47" ht="15.7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3:47" ht="15.7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3:47" ht="15.7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3:47" ht="15.7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3:47" ht="15.7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3:47" ht="15.7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3:47" ht="15.7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3:47" ht="15.7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3:47" ht="15.7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3:47" ht="15.7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3:47" ht="15.7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3:47" ht="15.7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3:47" ht="15.7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3:47" ht="15.7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3:47" ht="15.7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3:47" ht="15.7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3:47" ht="15.7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3:47" ht="15.7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3:47" ht="15.7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3:47" ht="15.7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3:47" ht="15.7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3:47" ht="15.7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3:47" ht="15.7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3:47" ht="15.7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3:47" ht="15.7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3:47" ht="15.7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3:47" ht="15.7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3:47" ht="15.7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3:47" ht="15.7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3:47" ht="15.7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3:47" ht="15.7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3:47" ht="15.7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3:47" ht="15.7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3:47" ht="15.7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3:47" ht="15.7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3:47" ht="15.7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3:47" ht="15.7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3:47" ht="15.7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3:47" ht="15.7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3:47" ht="15.7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3:47" ht="15.7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3:47" ht="15.7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3:47" ht="15.7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3:47" ht="15.7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3:47" ht="15.7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3:47" ht="15.7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3:47" ht="15.7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3:47" ht="15.7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3:47" ht="15.7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3:47" ht="15.7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3:47" ht="15.7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3:47" ht="15.7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3:47" ht="15.7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3:47" ht="15.7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3:47" ht="15.7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3:47" ht="15.7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3:47" ht="15.7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3:47" ht="15.7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3:47" ht="15.7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3:47" ht="15.7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3:47" ht="15.7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3:47" ht="15.7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3:47" ht="15.7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3:47" ht="15.7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3:47" ht="15.7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3:47" ht="15.7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3:47" ht="15.7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3:47" ht="15.7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3:47" ht="15.7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3:47" ht="15.7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3:47" ht="15.7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3:47" ht="15.7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3:47" ht="15.7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3:47" ht="15.7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3:47" ht="15.7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3:47" ht="15.7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3:47" ht="15.7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3:47" ht="15.7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3:47" ht="15.7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3:47" ht="15.7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3:47" ht="15.7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3:47" ht="15.7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3:47" ht="15.7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3:47" ht="15.7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3:47" ht="15.7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3:47" ht="15.7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3:47" ht="15.7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3:47" ht="15.7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3:47" ht="15.7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3:47" ht="15.7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3:47" ht="15.7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3:47" ht="15.7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3:47" ht="15.7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3:47" ht="15.7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3:47" ht="15.7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3:47" ht="15.7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3:47" ht="15.7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3:47" ht="15.7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3:47" ht="15.7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3:47" ht="15.7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3:47" ht="15.7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3:47" ht="15.7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3:47" ht="15.7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3:47" ht="15.7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3:47" ht="15.7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3:47" ht="15.7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3:47" ht="15.7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3:47" ht="15.7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3:47" ht="15.7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3:47" ht="15.7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3:47" ht="15.7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3:47" ht="15.7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3:47" ht="15.7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3:47" ht="15.7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3:47" ht="15.7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3:47" ht="15.7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3:47" ht="15.7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3:47" ht="15.7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3:47" ht="15.7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3:47" ht="15.7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3:47" ht="15.7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3:47" ht="15.7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3:47" ht="15.7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3:47" ht="15.7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3:47" ht="15.7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3:47" ht="15.7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3:47" ht="15.7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3:47" ht="15.7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3:47" ht="15.7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3:47" ht="15.7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3:47" ht="15.7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3:47" ht="15.7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3:47" ht="15.7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3:47" ht="15.7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3:47" ht="15.7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3:47" ht="15.7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3:47" ht="15.7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3:47" ht="15.7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3:47" ht="15.7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3:47" ht="15.7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3:47" ht="15.7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3:47" ht="15.7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3:47" ht="15.7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3:47" ht="15.7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3:47" ht="15.7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3:47" ht="15.7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3:47" ht="15.7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3:47" ht="15.7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3:47" ht="15.7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3:47" ht="15.7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3:47" ht="15.7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3:47" ht="15.7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3:47" ht="15.7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3:47" ht="15.7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3:47" ht="15.7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3:47" ht="15.7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3:47" ht="15.7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3:47" ht="15.7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3:47" ht="15.7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3:47" ht="15.7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3:47" ht="15.7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3:47" ht="15.7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3:47" ht="15.7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3:47" ht="15.7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3:47" ht="15.7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3:47" ht="15.7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3:47" ht="15.7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3:47" ht="15.7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3:47" ht="15.7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3:47" ht="15.7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3:47" ht="15.7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3:47" ht="15.7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3:47" ht="15.7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3:47" ht="15.7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3:47" ht="15.7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3:47" ht="15.7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3:47" ht="15.7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3:47" ht="15.7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3:47" ht="15.7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3:47" ht="15.7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3:47" ht="15.7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3:47" ht="15.7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3:47" ht="15.7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3:47" ht="15.7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3:47" ht="15.7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3:47" ht="15.7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3:47" ht="15.7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3:47" ht="15.7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3:47" ht="15.7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3:47" ht="15.7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3:47" ht="15.7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3:47" ht="15.7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3:47" ht="15.7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3:47" ht="15.7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3:47" ht="15.7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3:47" ht="15.7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3:47" ht="15.7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3:47" ht="15.7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3:47" ht="15.7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3:47" ht="15.7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3:47" ht="15.7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3:47" ht="15.7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3:47" ht="15.7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3:47" ht="15.7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3:47" ht="15.7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3:47" ht="15.7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3:47" ht="15.7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3:47" ht="15.7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3:47" ht="15.7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3:47" ht="15.7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3:47" ht="15.7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3:47" ht="15.7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3:47" ht="15.7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3:47" ht="15.7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3:47" ht="15.7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3:47" ht="15.7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3:47" ht="15.7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3:47" ht="15.7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3:47" ht="15.7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3:47" ht="15.7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3:47" ht="15.7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3:47" ht="15.7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3:47" ht="15.7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3:47" ht="15.7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3:47" ht="15.7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3:47" ht="15.7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3:47" ht="15.7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3:47" ht="15.7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3:47" ht="15.7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3:47" ht="15.7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3:47" ht="15.7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3:47" ht="15.7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3:47" ht="15.7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3:47" ht="15.7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3:47" ht="15.7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3:47" ht="15.7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3:47" ht="15.7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3:47" ht="15.7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3:47" ht="15.7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3:47" ht="15.7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3:47" ht="15.7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3:47" ht="15.7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3:47" ht="15.7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3:47" ht="15.7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3:47" ht="15.7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3:47" ht="15.7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3:47" ht="15.7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3:47" ht="15.7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3:47" ht="15.7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3:47" ht="15.7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3:47" ht="15.7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3:47" ht="15.7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3:47" ht="15.7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3:47" ht="15.7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3:47" ht="15.7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3:47" ht="15.7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3:47" ht="15.7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3:47" ht="15.7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3:47" ht="15.7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3:47" ht="15.7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3:47" ht="15.7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3:47" ht="15.7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3:47" ht="15.7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3:47" ht="15.7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3:47" ht="15.7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3:47" ht="15.7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3:47" ht="15.7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3:47" ht="15.7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3:47" ht="15.7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3:47" ht="15.7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3:47" ht="15.7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3:47" ht="15.7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3:47" ht="15.7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3:47" ht="15.7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3:47" ht="15.7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3:47" ht="15.7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3:47" ht="15.7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3:47" ht="15.7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3:47" ht="15.7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3:47" ht="15.7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3:47" ht="15.7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3:47" ht="15.7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3:47" ht="15.7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3:47" ht="15.7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3:47" ht="15.7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3:47" ht="15.7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3:47" ht="15.7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3:47" ht="15.7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3:47" ht="15.7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3:47" ht="15.7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3:47" ht="15.7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3:47" ht="15.7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3:47" ht="15.7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3:47" ht="15.7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3:47" ht="15.7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3:47" ht="15.7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</sheetData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636"/>
  <sheetViews>
    <sheetView topLeftCell="E337" workbookViewId="0">
      <selection activeCell="A348" activeCellId="11" sqref="A10:XFD10 A226:XFD226 A230:XFD230 A229:XFD229 A228:XFD228 A227:XFD227 A292:XFD292 A333:XFD333 A334:XFD334 A346:XFD346 A347:XFD347 A348:XFD348"/>
    </sheetView>
  </sheetViews>
  <sheetFormatPr defaultColWidth="12.5703125" defaultRowHeight="15" customHeight="1"/>
  <sheetData>
    <row r="1" spans="1:26">
      <c r="A1" s="14" t="s">
        <v>218</v>
      </c>
      <c r="B1" s="15" t="s">
        <v>219</v>
      </c>
      <c r="C1" s="16"/>
      <c r="D1" s="15"/>
      <c r="E1" s="16"/>
      <c r="F1" s="15"/>
      <c r="G1" s="16"/>
      <c r="H1" s="15"/>
      <c r="I1" s="16"/>
      <c r="J1" s="15"/>
      <c r="K1" s="16"/>
      <c r="L1" s="15"/>
      <c r="M1" s="16"/>
      <c r="N1" s="15"/>
      <c r="O1" s="16"/>
      <c r="P1" s="15"/>
      <c r="Q1" s="16"/>
      <c r="R1" s="15"/>
      <c r="S1" s="16"/>
      <c r="T1" s="15"/>
      <c r="U1" s="16"/>
      <c r="V1" s="15"/>
      <c r="W1" s="16"/>
      <c r="X1" s="15"/>
      <c r="Y1" s="16"/>
      <c r="Z1" s="15"/>
    </row>
    <row r="2" spans="1:26">
      <c r="A2" s="170">
        <v>1</v>
      </c>
      <c r="B2" s="171">
        <v>1</v>
      </c>
    </row>
    <row r="3" spans="1:26">
      <c r="A3" s="172">
        <v>1</v>
      </c>
      <c r="B3" s="173">
        <v>2</v>
      </c>
    </row>
    <row r="4" spans="1:26">
      <c r="A4" s="174">
        <v>1</v>
      </c>
      <c r="B4" s="173">
        <v>3</v>
      </c>
    </row>
    <row r="5" spans="1:26">
      <c r="A5" s="174">
        <v>1</v>
      </c>
      <c r="B5" s="173">
        <v>4</v>
      </c>
    </row>
    <row r="6" spans="1:26">
      <c r="A6" s="175">
        <v>1</v>
      </c>
      <c r="B6" s="176">
        <v>5</v>
      </c>
    </row>
    <row r="7" spans="1:26">
      <c r="A7" s="177">
        <v>2</v>
      </c>
      <c r="B7" s="178">
        <v>1</v>
      </c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</row>
    <row r="8" spans="1:26">
      <c r="A8" s="174">
        <v>2</v>
      </c>
      <c r="B8" s="179">
        <v>2</v>
      </c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/>
      <c r="W8" s="413"/>
      <c r="X8" s="413"/>
    </row>
    <row r="9" spans="1:26">
      <c r="A9" s="174">
        <v>2</v>
      </c>
      <c r="B9" s="179">
        <v>3</v>
      </c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</row>
    <row r="10" spans="1:26">
      <c r="A10" s="181">
        <v>3</v>
      </c>
      <c r="B10" s="178">
        <v>1</v>
      </c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</row>
    <row r="11" spans="1:26">
      <c r="A11" s="182">
        <v>3</v>
      </c>
      <c r="B11" s="179">
        <v>2</v>
      </c>
      <c r="C11" s="413"/>
      <c r="D11" s="413"/>
      <c r="E11" s="413"/>
      <c r="F11" s="413"/>
      <c r="G11" s="413"/>
      <c r="H11" s="413"/>
      <c r="I11" s="413"/>
      <c r="J11" s="413"/>
      <c r="K11" s="413"/>
      <c r="L11" s="413"/>
      <c r="M11" s="413"/>
      <c r="N11" s="413"/>
      <c r="O11" s="413"/>
      <c r="P11" s="413"/>
      <c r="Q11" s="413"/>
      <c r="R11" s="413"/>
      <c r="S11" s="413"/>
      <c r="T11" s="413"/>
      <c r="U11" s="413"/>
      <c r="V11" s="413"/>
      <c r="W11" s="413"/>
      <c r="X11" s="413"/>
    </row>
    <row r="12" spans="1:26">
      <c r="A12" s="182">
        <v>3</v>
      </c>
      <c r="B12" s="179">
        <v>3</v>
      </c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  <c r="U12" s="414"/>
      <c r="V12" s="414"/>
      <c r="W12" s="414"/>
      <c r="X12" s="414"/>
    </row>
    <row r="13" spans="1:26">
      <c r="A13" s="182">
        <v>3</v>
      </c>
      <c r="B13" s="179">
        <v>4</v>
      </c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413"/>
      <c r="O13" s="413"/>
      <c r="P13" s="413"/>
      <c r="Q13" s="413"/>
      <c r="R13" s="413"/>
      <c r="S13" s="413"/>
      <c r="T13" s="413"/>
      <c r="U13" s="413"/>
      <c r="V13" s="413"/>
      <c r="W13" s="413"/>
      <c r="X13" s="413"/>
    </row>
    <row r="14" spans="1:26">
      <c r="A14" s="181">
        <v>4</v>
      </c>
      <c r="B14" s="178">
        <v>1</v>
      </c>
      <c r="C14" s="414"/>
      <c r="D14" s="414"/>
      <c r="E14" s="414"/>
      <c r="F14" s="414"/>
      <c r="G14" s="414"/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14"/>
      <c r="T14" s="414"/>
      <c r="U14" s="414"/>
      <c r="V14" s="414"/>
      <c r="W14" s="414"/>
      <c r="X14" s="414"/>
    </row>
    <row r="15" spans="1:26">
      <c r="A15" s="182">
        <v>4</v>
      </c>
      <c r="B15" s="179">
        <v>2</v>
      </c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413"/>
      <c r="O15" s="413"/>
      <c r="P15" s="413"/>
      <c r="Q15" s="413"/>
      <c r="R15" s="413"/>
      <c r="S15" s="413"/>
      <c r="T15" s="413"/>
      <c r="U15" s="413"/>
      <c r="V15" s="413"/>
      <c r="W15" s="413"/>
      <c r="X15" s="413"/>
    </row>
    <row r="16" spans="1:26">
      <c r="A16" s="182">
        <v>4</v>
      </c>
      <c r="B16" s="179">
        <v>3</v>
      </c>
      <c r="C16" s="414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</row>
    <row r="17" spans="1:24">
      <c r="A17" s="181">
        <v>5</v>
      </c>
      <c r="B17" s="178">
        <v>1</v>
      </c>
      <c r="C17" s="413"/>
      <c r="D17" s="413"/>
      <c r="E17" s="413"/>
      <c r="F17" s="413"/>
      <c r="G17" s="413"/>
      <c r="H17" s="413"/>
      <c r="I17" s="413"/>
      <c r="J17" s="413"/>
      <c r="K17" s="413"/>
      <c r="L17" s="413"/>
      <c r="M17" s="413"/>
      <c r="N17" s="413"/>
      <c r="O17" s="413"/>
      <c r="P17" s="413"/>
      <c r="Q17" s="413"/>
      <c r="R17" s="413"/>
      <c r="S17" s="413"/>
      <c r="T17" s="413"/>
      <c r="U17" s="413"/>
      <c r="V17" s="413"/>
      <c r="W17" s="413"/>
      <c r="X17" s="413"/>
    </row>
    <row r="18" spans="1:24">
      <c r="A18" s="182">
        <v>5</v>
      </c>
      <c r="B18" s="179">
        <v>2</v>
      </c>
      <c r="C18" s="414"/>
      <c r="D18" s="414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414"/>
      <c r="U18" s="414"/>
      <c r="V18" s="414"/>
      <c r="W18" s="414"/>
      <c r="X18" s="414"/>
    </row>
    <row r="19" spans="1:24">
      <c r="A19" s="182">
        <v>5</v>
      </c>
      <c r="B19" s="179">
        <v>3</v>
      </c>
      <c r="C19" s="413"/>
      <c r="D19" s="413"/>
      <c r="E19" s="413"/>
      <c r="F19" s="413"/>
      <c r="G19" s="413"/>
      <c r="H19" s="413"/>
      <c r="I19" s="413"/>
      <c r="J19" s="413"/>
      <c r="K19" s="413"/>
      <c r="L19" s="413"/>
      <c r="M19" s="413"/>
      <c r="N19" s="413"/>
      <c r="O19" s="413"/>
      <c r="P19" s="413"/>
      <c r="Q19" s="413"/>
      <c r="R19" s="413"/>
      <c r="S19" s="413"/>
      <c r="T19" s="413"/>
      <c r="U19" s="413"/>
      <c r="V19" s="413"/>
      <c r="W19" s="413"/>
      <c r="X19" s="413"/>
    </row>
    <row r="20" spans="1:24">
      <c r="A20" s="182">
        <v>5</v>
      </c>
      <c r="B20" s="179">
        <v>4</v>
      </c>
      <c r="C20" s="414"/>
      <c r="D20" s="414"/>
      <c r="E20" s="414"/>
      <c r="F20" s="414"/>
      <c r="G20" s="414"/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14"/>
      <c r="T20" s="414"/>
      <c r="U20" s="414"/>
      <c r="V20" s="414"/>
      <c r="W20" s="414"/>
      <c r="X20" s="414"/>
    </row>
    <row r="21" spans="1:24">
      <c r="A21" s="182">
        <v>5</v>
      </c>
      <c r="B21" s="179">
        <v>5</v>
      </c>
      <c r="C21" s="413"/>
      <c r="D21" s="413"/>
      <c r="E21" s="413"/>
      <c r="F21" s="413"/>
      <c r="G21" s="413"/>
      <c r="H21" s="413"/>
      <c r="I21" s="413"/>
      <c r="J21" s="413"/>
      <c r="K21" s="413"/>
      <c r="L21" s="413"/>
      <c r="M21" s="413"/>
      <c r="N21" s="413"/>
      <c r="O21" s="413"/>
      <c r="P21" s="413"/>
      <c r="Q21" s="413"/>
      <c r="R21" s="413"/>
      <c r="S21" s="413"/>
      <c r="T21" s="413"/>
      <c r="U21" s="413"/>
      <c r="V21" s="413"/>
      <c r="W21" s="413"/>
      <c r="X21" s="413"/>
    </row>
    <row r="22" spans="1:24">
      <c r="A22" s="182">
        <v>5</v>
      </c>
      <c r="B22" s="179">
        <v>6</v>
      </c>
      <c r="C22" s="414"/>
      <c r="D22" s="414"/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14"/>
      <c r="T22" s="414"/>
      <c r="U22" s="414"/>
      <c r="V22" s="414"/>
      <c r="W22" s="414"/>
      <c r="X22" s="414"/>
    </row>
    <row r="23" spans="1:24">
      <c r="A23" s="181">
        <v>6</v>
      </c>
      <c r="B23" s="178">
        <v>1</v>
      </c>
      <c r="C23" s="413"/>
      <c r="D23" s="413"/>
      <c r="E23" s="413"/>
      <c r="F23" s="413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13"/>
      <c r="R23" s="413"/>
      <c r="S23" s="413"/>
      <c r="T23" s="413"/>
      <c r="U23" s="413"/>
      <c r="V23" s="413"/>
      <c r="W23" s="413"/>
      <c r="X23" s="413"/>
    </row>
    <row r="24" spans="1:24">
      <c r="A24" s="182">
        <v>6</v>
      </c>
      <c r="B24" s="179">
        <v>2</v>
      </c>
      <c r="C24" s="414"/>
      <c r="D24" s="414"/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4"/>
      <c r="V24" s="414"/>
      <c r="W24" s="414"/>
      <c r="X24" s="414"/>
    </row>
    <row r="25" spans="1:24">
      <c r="A25" s="182">
        <v>6</v>
      </c>
      <c r="B25" s="179">
        <v>3</v>
      </c>
      <c r="C25" s="413"/>
      <c r="D25" s="413"/>
      <c r="E25" s="413"/>
      <c r="F25" s="413"/>
      <c r="G25" s="413"/>
      <c r="H25" s="413"/>
      <c r="I25" s="413"/>
      <c r="J25" s="413"/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413"/>
      <c r="V25" s="413"/>
      <c r="W25" s="413"/>
      <c r="X25" s="413"/>
    </row>
    <row r="26" spans="1:24">
      <c r="A26" s="182">
        <v>6</v>
      </c>
      <c r="B26" s="179">
        <v>4</v>
      </c>
      <c r="C26" s="414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</row>
    <row r="27" spans="1:24">
      <c r="A27" s="181">
        <v>7</v>
      </c>
      <c r="B27" s="178">
        <v>1</v>
      </c>
      <c r="C27" s="413"/>
      <c r="D27" s="413"/>
      <c r="E27" s="413"/>
      <c r="F27" s="413"/>
      <c r="G27" s="413"/>
      <c r="H27" s="413"/>
      <c r="I27" s="413"/>
      <c r="J27" s="413"/>
      <c r="K27" s="413"/>
      <c r="L27" s="413"/>
      <c r="M27" s="413"/>
      <c r="N27" s="413"/>
      <c r="O27" s="413"/>
      <c r="P27" s="413"/>
      <c r="Q27" s="413"/>
      <c r="R27" s="413"/>
      <c r="S27" s="413"/>
      <c r="T27" s="413"/>
      <c r="U27" s="413"/>
      <c r="V27" s="413"/>
      <c r="W27" s="413"/>
      <c r="X27" s="413"/>
    </row>
    <row r="28" spans="1:24">
      <c r="A28" s="182">
        <v>7</v>
      </c>
      <c r="B28" s="179">
        <v>2</v>
      </c>
      <c r="C28" s="414"/>
      <c r="D28" s="414"/>
      <c r="E28" s="414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</row>
    <row r="29" spans="1:24">
      <c r="A29" s="177">
        <v>8</v>
      </c>
      <c r="B29" s="178">
        <v>1</v>
      </c>
      <c r="C29" s="187">
        <v>-25</v>
      </c>
      <c r="D29" s="187">
        <v>-12.5</v>
      </c>
      <c r="E29" s="187">
        <v>0</v>
      </c>
      <c r="F29" s="187">
        <v>12.5</v>
      </c>
      <c r="G29" s="188">
        <v>25</v>
      </c>
      <c r="H29" s="187">
        <v>37.5</v>
      </c>
      <c r="I29" s="188">
        <v>50</v>
      </c>
      <c r="J29" s="187">
        <v>62.5</v>
      </c>
      <c r="K29" s="188">
        <v>75</v>
      </c>
      <c r="L29" s="187">
        <v>87.5</v>
      </c>
      <c r="M29" s="187">
        <v>100</v>
      </c>
      <c r="N29" s="187">
        <v>112.5</v>
      </c>
      <c r="O29" s="187">
        <v>125</v>
      </c>
      <c r="P29" s="187">
        <v>137.5</v>
      </c>
      <c r="Q29" s="458"/>
      <c r="R29" s="37"/>
      <c r="S29" s="37"/>
      <c r="T29" s="413"/>
      <c r="U29" s="413"/>
      <c r="V29" s="413"/>
      <c r="W29" s="413"/>
      <c r="X29" s="413"/>
    </row>
    <row r="30" spans="1:24">
      <c r="A30" s="174">
        <v>8</v>
      </c>
      <c r="B30" s="179">
        <v>2</v>
      </c>
      <c r="C30" s="459">
        <v>-25</v>
      </c>
      <c r="D30" s="459">
        <v>-12.5</v>
      </c>
      <c r="E30" s="459">
        <v>0</v>
      </c>
      <c r="F30" s="459">
        <v>12.5</v>
      </c>
      <c r="G30" s="460">
        <v>25</v>
      </c>
      <c r="H30" s="459">
        <v>37.5</v>
      </c>
      <c r="I30" s="460">
        <v>50</v>
      </c>
      <c r="J30" s="459">
        <v>62.5</v>
      </c>
      <c r="K30" s="460">
        <v>75</v>
      </c>
      <c r="L30" s="459">
        <v>87.5</v>
      </c>
      <c r="M30" s="459">
        <v>100</v>
      </c>
      <c r="N30" s="459">
        <v>112.5</v>
      </c>
      <c r="O30" s="459">
        <v>125</v>
      </c>
      <c r="P30" s="461">
        <v>137.5</v>
      </c>
      <c r="Q30" s="462"/>
      <c r="R30" s="40"/>
      <c r="S30" s="40"/>
      <c r="T30" s="414"/>
      <c r="U30" s="414"/>
      <c r="V30" s="414"/>
      <c r="W30" s="414"/>
      <c r="X30" s="414"/>
    </row>
    <row r="31" spans="1:24">
      <c r="A31" s="174">
        <v>8</v>
      </c>
      <c r="B31" s="179">
        <v>3</v>
      </c>
      <c r="C31" s="463">
        <v>-25</v>
      </c>
      <c r="D31" s="463">
        <v>-12.5</v>
      </c>
      <c r="E31" s="463">
        <v>0</v>
      </c>
      <c r="F31" s="463">
        <v>12.5</v>
      </c>
      <c r="G31" s="464">
        <v>25</v>
      </c>
      <c r="H31" s="463">
        <v>37.5</v>
      </c>
      <c r="I31" s="464">
        <v>50</v>
      </c>
      <c r="J31" s="463">
        <v>62.5</v>
      </c>
      <c r="K31" s="464">
        <v>75</v>
      </c>
      <c r="L31" s="463">
        <v>87.5</v>
      </c>
      <c r="M31" s="463">
        <v>100</v>
      </c>
      <c r="N31" s="463">
        <v>112.5</v>
      </c>
      <c r="O31" s="463">
        <v>125</v>
      </c>
      <c r="P31" s="190">
        <v>137.5</v>
      </c>
      <c r="Q31" s="458"/>
      <c r="R31" s="37"/>
      <c r="S31" s="37"/>
      <c r="T31" s="413"/>
      <c r="U31" s="413"/>
      <c r="V31" s="413"/>
      <c r="W31" s="413"/>
      <c r="X31" s="413"/>
    </row>
    <row r="32" spans="1:24">
      <c r="A32" s="174">
        <v>8</v>
      </c>
      <c r="B32" s="179">
        <v>4</v>
      </c>
      <c r="C32" s="461">
        <v>-25</v>
      </c>
      <c r="D32" s="461">
        <v>-12.5</v>
      </c>
      <c r="E32" s="461">
        <v>0</v>
      </c>
      <c r="F32" s="461">
        <v>12.5</v>
      </c>
      <c r="G32" s="465">
        <v>25</v>
      </c>
      <c r="H32" s="461">
        <v>37.5</v>
      </c>
      <c r="I32" s="465">
        <v>50</v>
      </c>
      <c r="J32" s="461">
        <v>62.5</v>
      </c>
      <c r="K32" s="465">
        <v>75</v>
      </c>
      <c r="L32" s="461">
        <v>87.5</v>
      </c>
      <c r="M32" s="461">
        <v>100</v>
      </c>
      <c r="N32" s="461">
        <v>112.5</v>
      </c>
      <c r="O32" s="461">
        <v>125</v>
      </c>
      <c r="P32" s="461">
        <v>137.5</v>
      </c>
      <c r="Q32" s="462"/>
      <c r="R32" s="40"/>
      <c r="S32" s="40"/>
      <c r="T32" s="414"/>
      <c r="U32" s="414"/>
      <c r="V32" s="414"/>
      <c r="W32" s="414"/>
      <c r="X32" s="414"/>
    </row>
    <row r="33" spans="1:29">
      <c r="A33" s="181">
        <v>9</v>
      </c>
      <c r="B33" s="178">
        <v>1</v>
      </c>
      <c r="C33" s="306">
        <v>-40</v>
      </c>
      <c r="D33" s="306">
        <v>-28.3333333333333</v>
      </c>
      <c r="E33" s="306">
        <v>-17.4444444444444</v>
      </c>
      <c r="F33" s="306">
        <v>-6.24444444444444</v>
      </c>
      <c r="G33" s="306">
        <v>4.3333333333333304</v>
      </c>
      <c r="H33" s="306">
        <v>15.533333333333299</v>
      </c>
      <c r="I33" s="306">
        <v>26.266666666666602</v>
      </c>
      <c r="J33" s="306">
        <v>37.933333333333302</v>
      </c>
      <c r="K33" s="306">
        <v>48.977777777777703</v>
      </c>
      <c r="L33" s="306">
        <v>60.3333333333333</v>
      </c>
      <c r="M33" s="306">
        <v>71.688888888888897</v>
      </c>
      <c r="N33" s="306">
        <v>82.8888888888888</v>
      </c>
      <c r="O33" s="306">
        <v>94.088888888888903</v>
      </c>
      <c r="P33" s="306">
        <v>105.75555555555501</v>
      </c>
      <c r="Q33" s="297"/>
      <c r="R33" s="41"/>
      <c r="S33" s="41"/>
      <c r="T33" s="413"/>
      <c r="U33" s="413"/>
      <c r="V33" s="413"/>
      <c r="W33" s="413"/>
      <c r="X33" s="413"/>
    </row>
    <row r="34" spans="1:29">
      <c r="A34" s="182">
        <v>9</v>
      </c>
      <c r="B34" s="179">
        <v>2</v>
      </c>
      <c r="C34" s="444">
        <v>-40</v>
      </c>
      <c r="D34" s="444">
        <v>-28.3333333333333</v>
      </c>
      <c r="E34" s="444">
        <v>-17.4444444444444</v>
      </c>
      <c r="F34" s="444">
        <v>-6.24444444444444</v>
      </c>
      <c r="G34" s="444">
        <v>4.3333333333333304</v>
      </c>
      <c r="H34" s="444">
        <v>15.533333333333299</v>
      </c>
      <c r="I34" s="444">
        <v>26.266666666666602</v>
      </c>
      <c r="J34" s="444">
        <v>37.933333333333302</v>
      </c>
      <c r="K34" s="444">
        <v>48.977777777777703</v>
      </c>
      <c r="L34" s="444">
        <v>60.3333333333333</v>
      </c>
      <c r="M34" s="444">
        <v>71.688888888888897</v>
      </c>
      <c r="N34" s="444">
        <v>82.8888888888888</v>
      </c>
      <c r="O34" s="444">
        <v>94.088888888888903</v>
      </c>
      <c r="P34" s="301">
        <v>105.75555555555501</v>
      </c>
      <c r="Q34" s="295"/>
      <c r="R34" s="39"/>
      <c r="S34" s="39"/>
      <c r="T34" s="414"/>
      <c r="U34" s="414"/>
      <c r="V34" s="414"/>
      <c r="W34" s="414"/>
      <c r="X34" s="414"/>
    </row>
    <row r="35" spans="1:29">
      <c r="A35" s="182">
        <v>9</v>
      </c>
      <c r="B35" s="179">
        <v>3</v>
      </c>
      <c r="C35" s="443">
        <v>-40</v>
      </c>
      <c r="D35" s="443">
        <v>-28.3333333333333</v>
      </c>
      <c r="E35" s="443">
        <v>-17.4444444444444</v>
      </c>
      <c r="F35" s="443">
        <v>-6.24444444444444</v>
      </c>
      <c r="G35" s="443">
        <v>4.3333333333333304</v>
      </c>
      <c r="H35" s="443">
        <v>15.533333333333299</v>
      </c>
      <c r="I35" s="443">
        <v>26.266666666666602</v>
      </c>
      <c r="J35" s="443">
        <v>37.933333333333302</v>
      </c>
      <c r="K35" s="443">
        <v>48.977777777777703</v>
      </c>
      <c r="L35" s="443">
        <v>60.3333333333333</v>
      </c>
      <c r="M35" s="443">
        <v>71.688888888888897</v>
      </c>
      <c r="N35" s="443">
        <v>82.8888888888888</v>
      </c>
      <c r="O35" s="443">
        <v>94.088888888888903</v>
      </c>
      <c r="P35" s="300">
        <v>105.75555555555501</v>
      </c>
      <c r="Q35" s="297"/>
      <c r="R35" s="41"/>
      <c r="S35" s="41"/>
      <c r="T35" s="413"/>
      <c r="U35" s="413"/>
      <c r="V35" s="413"/>
      <c r="W35" s="413"/>
      <c r="X35" s="413"/>
    </row>
    <row r="36" spans="1:29">
      <c r="A36" s="182">
        <v>9</v>
      </c>
      <c r="B36" s="179">
        <v>4</v>
      </c>
      <c r="C36" s="301">
        <v>-40</v>
      </c>
      <c r="D36" s="301">
        <v>-28.3333333333333</v>
      </c>
      <c r="E36" s="301">
        <v>-17.4444444444444</v>
      </c>
      <c r="F36" s="301">
        <v>-6.24444444444444</v>
      </c>
      <c r="G36" s="301">
        <v>4.3333333333333304</v>
      </c>
      <c r="H36" s="301">
        <v>15.533333333333299</v>
      </c>
      <c r="I36" s="301">
        <v>26.266666666666602</v>
      </c>
      <c r="J36" s="301">
        <v>37.933333333333302</v>
      </c>
      <c r="K36" s="301">
        <v>48.977777777777703</v>
      </c>
      <c r="L36" s="301">
        <v>60.3333333333333</v>
      </c>
      <c r="M36" s="301">
        <v>71.688888888888897</v>
      </c>
      <c r="N36" s="301">
        <v>82.8888888888888</v>
      </c>
      <c r="O36" s="301">
        <v>94.088888888888903</v>
      </c>
      <c r="P36" s="301"/>
      <c r="Q36" s="295"/>
      <c r="R36" s="39"/>
      <c r="S36" s="39"/>
      <c r="T36" s="414"/>
      <c r="U36" s="414"/>
      <c r="V36" s="414"/>
      <c r="W36" s="414"/>
      <c r="X36" s="414"/>
    </row>
    <row r="37" spans="1:29">
      <c r="A37" s="181">
        <v>11</v>
      </c>
      <c r="B37" s="178" t="s">
        <v>220</v>
      </c>
      <c r="C37" s="466"/>
      <c r="D37" s="466"/>
      <c r="E37" s="466"/>
      <c r="F37" s="466"/>
      <c r="G37" s="466"/>
      <c r="H37" s="466"/>
      <c r="I37" s="466"/>
      <c r="J37" s="466"/>
      <c r="K37" s="466"/>
      <c r="L37" s="466"/>
      <c r="M37" s="466"/>
      <c r="N37" s="216"/>
      <c r="O37" s="216"/>
      <c r="P37" s="216"/>
      <c r="Q37" s="41"/>
      <c r="R37" s="41"/>
      <c r="S37" s="41"/>
      <c r="T37" s="413"/>
      <c r="U37" s="413"/>
      <c r="V37" s="413"/>
      <c r="W37" s="413"/>
      <c r="X37" s="413"/>
      <c r="AC37" s="8">
        <f t="shared" ref="AC37:AC285" si="0">A37 - 1</f>
        <v>10</v>
      </c>
    </row>
    <row r="38" spans="1:29">
      <c r="A38" s="182">
        <v>11</v>
      </c>
      <c r="B38" s="179" t="s">
        <v>221</v>
      </c>
      <c r="C38" s="414"/>
      <c r="D38" s="414"/>
      <c r="E38" s="414"/>
      <c r="F38" s="414"/>
      <c r="G38" s="414"/>
      <c r="H38" s="414"/>
      <c r="I38" s="414"/>
      <c r="J38" s="414"/>
      <c r="K38" s="414"/>
      <c r="L38" s="414"/>
      <c r="M38" s="414"/>
      <c r="N38" s="39"/>
      <c r="O38" s="39"/>
      <c r="P38" s="39"/>
      <c r="Q38" s="39"/>
      <c r="R38" s="39"/>
      <c r="S38" s="39"/>
      <c r="T38" s="414"/>
      <c r="U38" s="414"/>
      <c r="V38" s="414"/>
      <c r="W38" s="414"/>
      <c r="X38" s="414"/>
      <c r="AC38" s="8">
        <f t="shared" si="0"/>
        <v>10</v>
      </c>
    </row>
    <row r="39" spans="1:29">
      <c r="A39" s="182">
        <v>11</v>
      </c>
      <c r="B39" s="179" t="s">
        <v>222</v>
      </c>
      <c r="C39" s="413"/>
      <c r="D39" s="413"/>
      <c r="E39" s="413"/>
      <c r="F39" s="413"/>
      <c r="G39" s="413"/>
      <c r="H39" s="413"/>
      <c r="I39" s="413"/>
      <c r="J39" s="413"/>
      <c r="K39" s="413"/>
      <c r="L39" s="413"/>
      <c r="M39" s="413"/>
      <c r="N39" s="41"/>
      <c r="O39" s="41"/>
      <c r="P39" s="41"/>
      <c r="Q39" s="41"/>
      <c r="R39" s="41"/>
      <c r="S39" s="41"/>
      <c r="T39" s="413"/>
      <c r="U39" s="413"/>
      <c r="V39" s="413"/>
      <c r="W39" s="413"/>
      <c r="X39" s="413"/>
      <c r="AC39" s="8">
        <f t="shared" si="0"/>
        <v>10</v>
      </c>
    </row>
    <row r="40" spans="1:29">
      <c r="A40" s="182">
        <v>11</v>
      </c>
      <c r="B40" s="179" t="s">
        <v>223</v>
      </c>
      <c r="C40" s="414"/>
      <c r="D40" s="414"/>
      <c r="E40" s="414"/>
      <c r="F40" s="414"/>
      <c r="G40" s="414"/>
      <c r="H40" s="414"/>
      <c r="I40" s="414"/>
      <c r="J40" s="414"/>
      <c r="K40" s="414"/>
      <c r="L40" s="414"/>
      <c r="M40" s="414"/>
      <c r="N40" s="39"/>
      <c r="O40" s="39"/>
      <c r="P40" s="39"/>
      <c r="Q40" s="39"/>
      <c r="R40" s="39"/>
      <c r="S40" s="39"/>
      <c r="T40" s="414"/>
      <c r="U40" s="414"/>
      <c r="V40" s="414"/>
      <c r="W40" s="414"/>
      <c r="X40" s="414"/>
      <c r="AC40" s="8">
        <f t="shared" si="0"/>
        <v>10</v>
      </c>
    </row>
    <row r="41" spans="1:29">
      <c r="A41" s="181">
        <v>11</v>
      </c>
      <c r="B41" s="178" t="s">
        <v>224</v>
      </c>
      <c r="C41" s="187">
        <v>-25</v>
      </c>
      <c r="D41" s="187">
        <v>-12.5</v>
      </c>
      <c r="E41" s="187">
        <v>0</v>
      </c>
      <c r="F41" s="187">
        <v>12.5</v>
      </c>
      <c r="G41" s="188">
        <v>25</v>
      </c>
      <c r="H41" s="187">
        <v>37.5</v>
      </c>
      <c r="I41" s="188">
        <v>50</v>
      </c>
      <c r="J41" s="187">
        <v>62.5</v>
      </c>
      <c r="K41" s="188">
        <v>75</v>
      </c>
      <c r="L41" s="187">
        <v>87.5</v>
      </c>
      <c r="M41" s="187">
        <v>100</v>
      </c>
      <c r="N41" s="187">
        <v>112.5</v>
      </c>
      <c r="O41" s="217">
        <v>120</v>
      </c>
      <c r="P41" s="297"/>
      <c r="Q41" s="41"/>
      <c r="R41" s="41"/>
      <c r="S41" s="41"/>
      <c r="T41" s="413"/>
      <c r="U41" s="413"/>
      <c r="V41" s="413"/>
      <c r="W41" s="413"/>
      <c r="X41" s="413"/>
      <c r="AC41" s="8">
        <f t="shared" si="0"/>
        <v>10</v>
      </c>
    </row>
    <row r="42" spans="1:29">
      <c r="A42" s="182">
        <v>11</v>
      </c>
      <c r="B42" s="179" t="s">
        <v>225</v>
      </c>
      <c r="C42" s="190">
        <v>-25</v>
      </c>
      <c r="D42" s="190">
        <v>-12.5</v>
      </c>
      <c r="E42" s="190">
        <v>0</v>
      </c>
      <c r="F42" s="190">
        <v>12.5</v>
      </c>
      <c r="G42" s="191">
        <v>25</v>
      </c>
      <c r="H42" s="190">
        <v>37.5</v>
      </c>
      <c r="I42" s="191">
        <v>50</v>
      </c>
      <c r="J42" s="190">
        <v>62.5</v>
      </c>
      <c r="K42" s="191">
        <v>75</v>
      </c>
      <c r="L42" s="190">
        <v>87.5</v>
      </c>
      <c r="M42" s="190">
        <v>100</v>
      </c>
      <c r="N42" s="190">
        <v>112.5</v>
      </c>
      <c r="O42" s="233">
        <v>120</v>
      </c>
      <c r="P42" s="295"/>
      <c r="Q42" s="39"/>
      <c r="R42" s="39"/>
      <c r="S42" s="39"/>
      <c r="T42" s="414"/>
      <c r="U42" s="414"/>
      <c r="V42" s="414"/>
      <c r="W42" s="414"/>
      <c r="X42" s="414"/>
      <c r="AC42" s="8">
        <f t="shared" si="0"/>
        <v>10</v>
      </c>
    </row>
    <row r="43" spans="1:29">
      <c r="A43" s="182">
        <v>11</v>
      </c>
      <c r="B43" s="179" t="s">
        <v>226</v>
      </c>
      <c r="C43" s="190">
        <v>-25</v>
      </c>
      <c r="D43" s="190">
        <v>-12.5</v>
      </c>
      <c r="E43" s="190">
        <v>0</v>
      </c>
      <c r="F43" s="190">
        <v>12.5</v>
      </c>
      <c r="G43" s="191">
        <v>25</v>
      </c>
      <c r="H43" s="190">
        <v>37.5</v>
      </c>
      <c r="I43" s="191">
        <v>50</v>
      </c>
      <c r="J43" s="190">
        <v>62.5</v>
      </c>
      <c r="K43" s="191">
        <v>75</v>
      </c>
      <c r="L43" s="190">
        <v>87.5</v>
      </c>
      <c r="M43" s="190">
        <v>100</v>
      </c>
      <c r="N43" s="190">
        <v>112.5</v>
      </c>
      <c r="O43" s="232">
        <v>120</v>
      </c>
      <c r="P43" s="467"/>
      <c r="Q43" s="413"/>
      <c r="R43" s="41"/>
      <c r="S43" s="41"/>
      <c r="T43" s="413"/>
      <c r="U43" s="413"/>
      <c r="V43" s="413"/>
      <c r="W43" s="413"/>
      <c r="X43" s="413"/>
      <c r="AC43" s="8">
        <f t="shared" si="0"/>
        <v>10</v>
      </c>
    </row>
    <row r="44" spans="1:29">
      <c r="A44" s="182">
        <v>11</v>
      </c>
      <c r="B44" s="179" t="s">
        <v>227</v>
      </c>
      <c r="C44" s="190">
        <v>-25</v>
      </c>
      <c r="D44" s="190">
        <v>-12.5</v>
      </c>
      <c r="E44" s="190">
        <v>0</v>
      </c>
      <c r="F44" s="190">
        <v>12.5</v>
      </c>
      <c r="G44" s="191">
        <v>25</v>
      </c>
      <c r="H44" s="190">
        <v>37.5</v>
      </c>
      <c r="I44" s="191">
        <v>50</v>
      </c>
      <c r="J44" s="190">
        <v>62.5</v>
      </c>
      <c r="K44" s="191">
        <v>75</v>
      </c>
      <c r="L44" s="190">
        <v>87.5</v>
      </c>
      <c r="M44" s="190">
        <v>100</v>
      </c>
      <c r="N44" s="190">
        <v>112.5</v>
      </c>
      <c r="O44" s="233">
        <v>120</v>
      </c>
      <c r="P44" s="468"/>
      <c r="Q44" s="414"/>
      <c r="R44" s="39"/>
      <c r="S44" s="39"/>
      <c r="T44" s="414"/>
      <c r="U44" s="414"/>
      <c r="V44" s="414"/>
      <c r="W44" s="414"/>
      <c r="X44" s="414"/>
      <c r="AC44" s="8">
        <f t="shared" si="0"/>
        <v>10</v>
      </c>
    </row>
    <row r="45" spans="1:29">
      <c r="A45" s="177">
        <v>12</v>
      </c>
      <c r="B45" s="178" t="s">
        <v>220</v>
      </c>
      <c r="C45" s="216"/>
      <c r="D45" s="216"/>
      <c r="E45" s="216"/>
      <c r="F45" s="306"/>
      <c r="G45" s="306"/>
      <c r="H45" s="307"/>
      <c r="I45" s="307"/>
      <c r="J45" s="216"/>
      <c r="K45" s="308"/>
      <c r="L45" s="216"/>
      <c r="M45" s="216"/>
      <c r="N45" s="466"/>
      <c r="O45" s="466"/>
      <c r="P45" s="413"/>
      <c r="Q45" s="413"/>
      <c r="R45" s="41"/>
      <c r="S45" s="41"/>
      <c r="T45" s="413"/>
      <c r="U45" s="413"/>
      <c r="V45" s="413"/>
      <c r="W45" s="413"/>
      <c r="X45" s="413"/>
      <c r="AC45" s="8">
        <f t="shared" si="0"/>
        <v>11</v>
      </c>
    </row>
    <row r="46" spans="1:29">
      <c r="A46" s="174">
        <v>12</v>
      </c>
      <c r="B46" s="179" t="s">
        <v>221</v>
      </c>
      <c r="C46" s="39"/>
      <c r="D46" s="39"/>
      <c r="E46" s="39"/>
      <c r="F46" s="444"/>
      <c r="G46" s="444"/>
      <c r="H46" s="469"/>
      <c r="I46" s="469"/>
      <c r="J46" s="283"/>
      <c r="K46" s="295"/>
      <c r="L46" s="39"/>
      <c r="M46" s="39"/>
      <c r="N46" s="414"/>
      <c r="O46" s="414"/>
      <c r="P46" s="414"/>
      <c r="Q46" s="414"/>
      <c r="R46" s="39"/>
      <c r="S46" s="39"/>
      <c r="T46" s="414"/>
      <c r="U46" s="414"/>
      <c r="V46" s="414"/>
      <c r="W46" s="414"/>
      <c r="X46" s="414"/>
      <c r="AC46" s="8">
        <f t="shared" si="0"/>
        <v>11</v>
      </c>
    </row>
    <row r="47" spans="1:29">
      <c r="A47" s="174">
        <v>12</v>
      </c>
      <c r="B47" s="179" t="s">
        <v>222</v>
      </c>
      <c r="C47" s="41"/>
      <c r="D47" s="41"/>
      <c r="E47" s="41"/>
      <c r="F47" s="443"/>
      <c r="G47" s="443"/>
      <c r="H47" s="470"/>
      <c r="I47" s="470"/>
      <c r="J47" s="239"/>
      <c r="K47" s="297"/>
      <c r="L47" s="41"/>
      <c r="M47" s="41"/>
      <c r="N47" s="413"/>
      <c r="O47" s="413"/>
      <c r="P47" s="413"/>
      <c r="Q47" s="413"/>
      <c r="R47" s="41"/>
      <c r="S47" s="41"/>
      <c r="T47" s="413"/>
      <c r="U47" s="413"/>
      <c r="V47" s="413"/>
      <c r="W47" s="413"/>
      <c r="X47" s="413"/>
      <c r="AC47" s="8">
        <f t="shared" si="0"/>
        <v>11</v>
      </c>
    </row>
    <row r="48" spans="1:29">
      <c r="A48" s="174">
        <v>12</v>
      </c>
      <c r="B48" s="179" t="s">
        <v>223</v>
      </c>
      <c r="C48" s="39"/>
      <c r="D48" s="39"/>
      <c r="E48" s="39"/>
      <c r="F48" s="444"/>
      <c r="G48" s="444"/>
      <c r="H48" s="469"/>
      <c r="I48" s="469"/>
      <c r="J48" s="283"/>
      <c r="K48" s="295"/>
      <c r="L48" s="39"/>
      <c r="M48" s="39"/>
      <c r="N48" s="414"/>
      <c r="O48" s="414"/>
      <c r="P48" s="414"/>
      <c r="Q48" s="414"/>
      <c r="R48" s="39"/>
      <c r="S48" s="39"/>
      <c r="T48" s="414"/>
      <c r="U48" s="414"/>
      <c r="V48" s="414"/>
      <c r="W48" s="414"/>
      <c r="X48" s="414"/>
      <c r="AC48" s="8">
        <f t="shared" si="0"/>
        <v>11</v>
      </c>
    </row>
    <row r="49" spans="1:29">
      <c r="A49" s="174">
        <v>12</v>
      </c>
      <c r="B49" s="179" t="s">
        <v>228</v>
      </c>
      <c r="C49" s="41"/>
      <c r="D49" s="41"/>
      <c r="E49" s="41"/>
      <c r="F49" s="443"/>
      <c r="G49" s="443"/>
      <c r="H49" s="470"/>
      <c r="I49" s="470"/>
      <c r="J49" s="239"/>
      <c r="K49" s="297"/>
      <c r="L49" s="41"/>
      <c r="M49" s="41"/>
      <c r="N49" s="413"/>
      <c r="O49" s="413"/>
      <c r="P49" s="413"/>
      <c r="Q49" s="413"/>
      <c r="R49" s="41"/>
      <c r="S49" s="41"/>
      <c r="T49" s="413"/>
      <c r="U49" s="413"/>
      <c r="V49" s="413"/>
      <c r="W49" s="413"/>
      <c r="X49" s="413"/>
      <c r="AC49" s="8">
        <f t="shared" si="0"/>
        <v>11</v>
      </c>
    </row>
    <row r="50" spans="1:29">
      <c r="A50" s="174">
        <v>12</v>
      </c>
      <c r="B50" s="179" t="s">
        <v>224</v>
      </c>
      <c r="C50" s="40">
        <v>-80</v>
      </c>
      <c r="D50" s="40">
        <v>-50</v>
      </c>
      <c r="E50" s="40">
        <v>-25</v>
      </c>
      <c r="F50" s="471">
        <v>5</v>
      </c>
      <c r="G50" s="471">
        <v>35</v>
      </c>
      <c r="H50" s="472">
        <v>65</v>
      </c>
      <c r="I50" s="472">
        <v>95</v>
      </c>
      <c r="J50" s="233">
        <v>125</v>
      </c>
      <c r="K50" s="295"/>
      <c r="L50" s="39"/>
      <c r="M50" s="39"/>
      <c r="N50" s="414"/>
      <c r="O50" s="414"/>
      <c r="P50" s="414"/>
      <c r="Q50" s="414"/>
      <c r="R50" s="39"/>
      <c r="S50" s="39"/>
      <c r="T50" s="414"/>
      <c r="U50" s="414"/>
      <c r="V50" s="414"/>
      <c r="W50" s="414"/>
      <c r="X50" s="414"/>
      <c r="AC50" s="8">
        <f t="shared" si="0"/>
        <v>11</v>
      </c>
    </row>
    <row r="51" spans="1:29">
      <c r="A51" s="174">
        <v>12</v>
      </c>
      <c r="B51" s="179" t="s">
        <v>225</v>
      </c>
      <c r="C51" s="37">
        <v>-80</v>
      </c>
      <c r="D51" s="37">
        <v>-50</v>
      </c>
      <c r="E51" s="37">
        <v>-25</v>
      </c>
      <c r="F51" s="473">
        <v>5</v>
      </c>
      <c r="G51" s="473">
        <v>35</v>
      </c>
      <c r="H51" s="474">
        <v>65</v>
      </c>
      <c r="I51" s="474">
        <v>95</v>
      </c>
      <c r="J51" s="232">
        <v>125</v>
      </c>
      <c r="K51" s="297"/>
      <c r="L51" s="41"/>
      <c r="M51" s="41"/>
      <c r="N51" s="413"/>
      <c r="O51" s="413"/>
      <c r="P51" s="413"/>
      <c r="Q51" s="413"/>
      <c r="R51" s="41"/>
      <c r="S51" s="41"/>
      <c r="T51" s="413"/>
      <c r="U51" s="413"/>
      <c r="V51" s="413"/>
      <c r="W51" s="413"/>
      <c r="X51" s="413"/>
      <c r="AC51" s="8">
        <f t="shared" si="0"/>
        <v>11</v>
      </c>
    </row>
    <row r="52" spans="1:29">
      <c r="A52" s="174">
        <v>12</v>
      </c>
      <c r="B52" s="179" t="s">
        <v>226</v>
      </c>
      <c r="C52" s="40">
        <v>-80</v>
      </c>
      <c r="D52" s="40">
        <v>-50</v>
      </c>
      <c r="E52" s="40">
        <v>-25</v>
      </c>
      <c r="F52" s="471">
        <v>5</v>
      </c>
      <c r="G52" s="471">
        <v>35</v>
      </c>
      <c r="H52" s="472">
        <v>65</v>
      </c>
      <c r="I52" s="472">
        <v>95</v>
      </c>
      <c r="J52" s="233">
        <v>125</v>
      </c>
      <c r="K52" s="295"/>
      <c r="L52" s="39"/>
      <c r="M52" s="39"/>
      <c r="N52" s="414"/>
      <c r="O52" s="414"/>
      <c r="P52" s="414"/>
      <c r="Q52" s="414"/>
      <c r="R52" s="39"/>
      <c r="S52" s="39"/>
      <c r="T52" s="414"/>
      <c r="U52" s="414"/>
      <c r="V52" s="414"/>
      <c r="W52" s="414"/>
      <c r="X52" s="414"/>
      <c r="AC52" s="8">
        <f t="shared" si="0"/>
        <v>11</v>
      </c>
    </row>
    <row r="53" spans="1:29">
      <c r="A53" s="174">
        <v>12</v>
      </c>
      <c r="B53" s="179" t="s">
        <v>227</v>
      </c>
      <c r="C53" s="37">
        <v>-80</v>
      </c>
      <c r="D53" s="37">
        <v>-50</v>
      </c>
      <c r="E53" s="37">
        <v>-25</v>
      </c>
      <c r="F53" s="473">
        <v>5</v>
      </c>
      <c r="G53" s="473">
        <v>35</v>
      </c>
      <c r="H53" s="474">
        <v>65</v>
      </c>
      <c r="I53" s="474">
        <v>95</v>
      </c>
      <c r="J53" s="232">
        <v>125</v>
      </c>
      <c r="K53" s="297"/>
      <c r="L53" s="41"/>
      <c r="M53" s="41"/>
      <c r="N53" s="413"/>
      <c r="O53" s="413"/>
      <c r="P53" s="413"/>
      <c r="Q53" s="413"/>
      <c r="R53" s="41"/>
      <c r="S53" s="41"/>
      <c r="T53" s="413"/>
      <c r="U53" s="413"/>
      <c r="V53" s="413"/>
      <c r="W53" s="413"/>
      <c r="X53" s="413"/>
      <c r="AC53" s="8">
        <f t="shared" si="0"/>
        <v>11</v>
      </c>
    </row>
    <row r="54" spans="1:29">
      <c r="A54" s="174">
        <v>12</v>
      </c>
      <c r="B54" s="179" t="s">
        <v>229</v>
      </c>
      <c r="C54" s="233">
        <v>-80</v>
      </c>
      <c r="D54" s="233">
        <v>-50</v>
      </c>
      <c r="E54" s="233">
        <v>-25</v>
      </c>
      <c r="F54" s="475">
        <v>5</v>
      </c>
      <c r="G54" s="475">
        <v>35</v>
      </c>
      <c r="H54" s="355">
        <v>65</v>
      </c>
      <c r="I54" s="355">
        <v>95</v>
      </c>
      <c r="J54" s="233">
        <v>125</v>
      </c>
      <c r="K54" s="295"/>
      <c r="L54" s="39"/>
      <c r="M54" s="39"/>
      <c r="N54" s="414"/>
      <c r="O54" s="414"/>
      <c r="P54" s="414"/>
      <c r="Q54" s="414"/>
      <c r="R54" s="39"/>
      <c r="S54" s="39"/>
      <c r="T54" s="414"/>
      <c r="U54" s="414"/>
      <c r="V54" s="414"/>
      <c r="W54" s="414"/>
      <c r="X54" s="414"/>
      <c r="AC54" s="8">
        <f t="shared" si="0"/>
        <v>11</v>
      </c>
    </row>
    <row r="55" spans="1:29">
      <c r="A55" s="181">
        <v>13</v>
      </c>
      <c r="B55" s="178">
        <v>1</v>
      </c>
      <c r="C55" s="216"/>
      <c r="D55" s="306"/>
      <c r="E55" s="216"/>
      <c r="F55" s="306"/>
      <c r="G55" s="306"/>
      <c r="H55" s="216"/>
      <c r="I55" s="216"/>
      <c r="J55" s="216"/>
      <c r="K55" s="41"/>
      <c r="L55" s="41"/>
      <c r="M55" s="41"/>
      <c r="N55" s="413"/>
      <c r="O55" s="413"/>
      <c r="P55" s="413"/>
      <c r="Q55" s="413"/>
      <c r="R55" s="41"/>
      <c r="S55" s="41"/>
      <c r="T55" s="413"/>
      <c r="U55" s="413"/>
      <c r="V55" s="413"/>
      <c r="W55" s="413"/>
      <c r="X55" s="413"/>
      <c r="AC55" s="8">
        <f t="shared" si="0"/>
        <v>12</v>
      </c>
    </row>
    <row r="56" spans="1:29">
      <c r="A56" s="182">
        <v>13</v>
      </c>
      <c r="B56" s="179">
        <v>2</v>
      </c>
      <c r="C56" s="39"/>
      <c r="D56" s="444"/>
      <c r="E56" s="39"/>
      <c r="F56" s="444"/>
      <c r="G56" s="444"/>
      <c r="H56" s="39"/>
      <c r="I56" s="39"/>
      <c r="J56" s="39"/>
      <c r="K56" s="39"/>
      <c r="L56" s="39"/>
      <c r="M56" s="39"/>
      <c r="N56" s="414"/>
      <c r="O56" s="414"/>
      <c r="P56" s="414"/>
      <c r="Q56" s="414"/>
      <c r="R56" s="39"/>
      <c r="S56" s="39"/>
      <c r="T56" s="414"/>
      <c r="U56" s="414"/>
      <c r="V56" s="414"/>
      <c r="W56" s="414"/>
      <c r="X56" s="414"/>
      <c r="AC56" s="8">
        <f t="shared" si="0"/>
        <v>12</v>
      </c>
    </row>
    <row r="57" spans="1:29">
      <c r="A57" s="182">
        <v>13</v>
      </c>
      <c r="B57" s="179">
        <v>3</v>
      </c>
      <c r="C57" s="41"/>
      <c r="D57" s="443"/>
      <c r="E57" s="41"/>
      <c r="F57" s="443"/>
      <c r="G57" s="443"/>
      <c r="H57" s="41"/>
      <c r="I57" s="41"/>
      <c r="J57" s="41"/>
      <c r="K57" s="41"/>
      <c r="L57" s="41"/>
      <c r="M57" s="41"/>
      <c r="N57" s="413"/>
      <c r="O57" s="413"/>
      <c r="P57" s="413"/>
      <c r="Q57" s="413"/>
      <c r="R57" s="41"/>
      <c r="S57" s="41"/>
      <c r="T57" s="413"/>
      <c r="U57" s="413"/>
      <c r="V57" s="413"/>
      <c r="W57" s="413"/>
      <c r="X57" s="413"/>
      <c r="AC57" s="8">
        <f t="shared" si="0"/>
        <v>12</v>
      </c>
    </row>
    <row r="58" spans="1:29">
      <c r="A58" s="182">
        <v>13</v>
      </c>
      <c r="B58" s="179">
        <v>4</v>
      </c>
      <c r="C58" s="39"/>
      <c r="D58" s="444"/>
      <c r="E58" s="39"/>
      <c r="F58" s="39"/>
      <c r="G58" s="39"/>
      <c r="H58" s="39"/>
      <c r="I58" s="39"/>
      <c r="J58" s="39"/>
      <c r="K58" s="39"/>
      <c r="L58" s="39"/>
      <c r="M58" s="39"/>
      <c r="N58" s="414"/>
      <c r="O58" s="414"/>
      <c r="P58" s="414"/>
      <c r="Q58" s="414"/>
      <c r="R58" s="39"/>
      <c r="S58" s="39"/>
      <c r="T58" s="414"/>
      <c r="U58" s="414"/>
      <c r="V58" s="414"/>
      <c r="W58" s="414"/>
      <c r="X58" s="414"/>
      <c r="AC58" s="8">
        <f t="shared" si="0"/>
        <v>12</v>
      </c>
    </row>
    <row r="59" spans="1:29">
      <c r="A59" s="182">
        <v>13</v>
      </c>
      <c r="B59" s="179">
        <v>5</v>
      </c>
      <c r="C59" s="41"/>
      <c r="D59" s="443"/>
      <c r="E59" s="41"/>
      <c r="F59" s="41"/>
      <c r="G59" s="41"/>
      <c r="H59" s="41"/>
      <c r="I59" s="41"/>
      <c r="J59" s="41"/>
      <c r="K59" s="41"/>
      <c r="L59" s="41"/>
      <c r="M59" s="41"/>
      <c r="N59" s="413"/>
      <c r="O59" s="413"/>
      <c r="P59" s="413"/>
      <c r="Q59" s="413"/>
      <c r="R59" s="41"/>
      <c r="S59" s="41"/>
      <c r="T59" s="413"/>
      <c r="U59" s="413"/>
      <c r="V59" s="413"/>
      <c r="W59" s="413"/>
      <c r="X59" s="413"/>
      <c r="AC59" s="8">
        <f t="shared" si="0"/>
        <v>12</v>
      </c>
    </row>
    <row r="60" spans="1:29">
      <c r="A60" s="182">
        <v>13</v>
      </c>
      <c r="B60" s="179">
        <v>6</v>
      </c>
      <c r="C60" s="39"/>
      <c r="D60" s="444"/>
      <c r="E60" s="39"/>
      <c r="F60" s="39"/>
      <c r="G60" s="39"/>
      <c r="H60" s="39"/>
      <c r="I60" s="39"/>
      <c r="J60" s="39"/>
      <c r="K60" s="39"/>
      <c r="L60" s="39"/>
      <c r="M60" s="39"/>
      <c r="N60" s="414"/>
      <c r="O60" s="414"/>
      <c r="P60" s="414"/>
      <c r="Q60" s="414"/>
      <c r="R60" s="39"/>
      <c r="S60" s="39"/>
      <c r="T60" s="414"/>
      <c r="U60" s="414"/>
      <c r="V60" s="414"/>
      <c r="W60" s="414"/>
      <c r="X60" s="414"/>
      <c r="AC60" s="8">
        <f t="shared" si="0"/>
        <v>12</v>
      </c>
    </row>
    <row r="61" spans="1:29">
      <c r="A61" s="182">
        <v>13</v>
      </c>
      <c r="B61" s="179">
        <v>7</v>
      </c>
      <c r="C61" s="41"/>
      <c r="D61" s="443"/>
      <c r="E61" s="41"/>
      <c r="F61" s="41"/>
      <c r="G61" s="41"/>
      <c r="H61" s="41"/>
      <c r="I61" s="41"/>
      <c r="J61" s="41"/>
      <c r="K61" s="41"/>
      <c r="L61" s="41"/>
      <c r="M61" s="41"/>
      <c r="N61" s="413"/>
      <c r="O61" s="413"/>
      <c r="P61" s="413"/>
      <c r="Q61" s="413"/>
      <c r="R61" s="41"/>
      <c r="S61" s="41"/>
      <c r="T61" s="413"/>
      <c r="U61" s="413"/>
      <c r="V61" s="413"/>
      <c r="W61" s="413"/>
      <c r="X61" s="413"/>
      <c r="AC61" s="8">
        <f t="shared" si="0"/>
        <v>12</v>
      </c>
    </row>
    <row r="62" spans="1:29">
      <c r="A62" s="182">
        <v>13</v>
      </c>
      <c r="B62" s="179">
        <v>8</v>
      </c>
      <c r="C62" s="39"/>
      <c r="D62" s="444"/>
      <c r="E62" s="39"/>
      <c r="F62" s="39"/>
      <c r="G62" s="39"/>
      <c r="H62" s="39"/>
      <c r="I62" s="39"/>
      <c r="J62" s="39"/>
      <c r="K62" s="39"/>
      <c r="L62" s="39"/>
      <c r="M62" s="39"/>
      <c r="N62" s="414"/>
      <c r="O62" s="414"/>
      <c r="P62" s="414"/>
      <c r="Q62" s="414"/>
      <c r="R62" s="39"/>
      <c r="S62" s="39"/>
      <c r="T62" s="414"/>
      <c r="U62" s="414"/>
      <c r="V62" s="414"/>
      <c r="W62" s="414"/>
      <c r="X62" s="414"/>
      <c r="AC62" s="8">
        <f t="shared" si="0"/>
        <v>12</v>
      </c>
    </row>
    <row r="63" spans="1:29">
      <c r="A63" s="181">
        <v>14</v>
      </c>
      <c r="B63" s="178">
        <v>1</v>
      </c>
      <c r="C63" s="41"/>
      <c r="D63" s="443"/>
      <c r="E63" s="41"/>
      <c r="F63" s="41"/>
      <c r="G63" s="41"/>
      <c r="H63" s="41"/>
      <c r="I63" s="41"/>
      <c r="J63" s="41"/>
      <c r="K63" s="41"/>
      <c r="L63" s="41"/>
      <c r="M63" s="41"/>
      <c r="N63" s="413"/>
      <c r="O63" s="413"/>
      <c r="P63" s="413"/>
      <c r="Q63" s="413"/>
      <c r="R63" s="41"/>
      <c r="S63" s="41"/>
      <c r="T63" s="413"/>
      <c r="U63" s="413"/>
      <c r="V63" s="413"/>
      <c r="W63" s="413"/>
      <c r="X63" s="413"/>
      <c r="AC63" s="8">
        <f t="shared" si="0"/>
        <v>13</v>
      </c>
    </row>
    <row r="64" spans="1:29">
      <c r="A64" s="182">
        <v>14</v>
      </c>
      <c r="B64" s="179">
        <v>2</v>
      </c>
      <c r="C64" s="39"/>
      <c r="D64" s="444"/>
      <c r="E64" s="39"/>
      <c r="F64" s="39"/>
      <c r="G64" s="39"/>
      <c r="H64" s="39"/>
      <c r="I64" s="39"/>
      <c r="J64" s="39"/>
      <c r="K64" s="39"/>
      <c r="L64" s="39"/>
      <c r="M64" s="39"/>
      <c r="N64" s="414"/>
      <c r="O64" s="414"/>
      <c r="P64" s="414"/>
      <c r="Q64" s="414"/>
      <c r="R64" s="39"/>
      <c r="S64" s="39"/>
      <c r="T64" s="414"/>
      <c r="U64" s="414"/>
      <c r="V64" s="414"/>
      <c r="W64" s="414"/>
      <c r="X64" s="414"/>
      <c r="AC64" s="8">
        <f t="shared" si="0"/>
        <v>13</v>
      </c>
    </row>
    <row r="65" spans="1:29">
      <c r="A65" s="182">
        <v>14</v>
      </c>
      <c r="B65" s="179">
        <v>3</v>
      </c>
      <c r="C65" s="37"/>
      <c r="D65" s="37"/>
      <c r="E65" s="413"/>
      <c r="F65" s="413"/>
      <c r="G65" s="413"/>
      <c r="H65" s="413"/>
      <c r="I65" s="413"/>
      <c r="J65" s="413"/>
      <c r="K65" s="413"/>
      <c r="L65" s="413"/>
      <c r="M65" s="413"/>
      <c r="N65" s="413"/>
      <c r="O65" s="413"/>
      <c r="P65" s="413"/>
      <c r="Q65" s="413"/>
      <c r="R65" s="41"/>
      <c r="S65" s="41"/>
      <c r="T65" s="413"/>
      <c r="U65" s="413"/>
      <c r="V65" s="413"/>
      <c r="W65" s="413"/>
      <c r="X65" s="413"/>
      <c r="AC65" s="8">
        <f t="shared" si="0"/>
        <v>13</v>
      </c>
    </row>
    <row r="66" spans="1:29">
      <c r="A66" s="182">
        <v>14</v>
      </c>
      <c r="B66" s="179">
        <v>4</v>
      </c>
      <c r="C66" s="40"/>
      <c r="D66" s="40"/>
      <c r="E66" s="414"/>
      <c r="F66" s="414"/>
      <c r="G66" s="414"/>
      <c r="H66" s="414"/>
      <c r="I66" s="414"/>
      <c r="J66" s="414"/>
      <c r="K66" s="414"/>
      <c r="L66" s="414"/>
      <c r="M66" s="414"/>
      <c r="N66" s="414"/>
      <c r="O66" s="414"/>
      <c r="P66" s="414"/>
      <c r="Q66" s="414"/>
      <c r="R66" s="39"/>
      <c r="S66" s="39"/>
      <c r="T66" s="414"/>
      <c r="U66" s="414"/>
      <c r="V66" s="414"/>
      <c r="W66" s="414"/>
      <c r="X66" s="414"/>
      <c r="AC66" s="8">
        <f t="shared" si="0"/>
        <v>13</v>
      </c>
    </row>
    <row r="67" spans="1:29">
      <c r="A67" s="182">
        <v>14</v>
      </c>
      <c r="B67" s="179">
        <v>5</v>
      </c>
      <c r="C67" s="37"/>
      <c r="D67" s="37"/>
      <c r="E67" s="413"/>
      <c r="F67" s="413"/>
      <c r="G67" s="413"/>
      <c r="H67" s="413"/>
      <c r="I67" s="413"/>
      <c r="J67" s="413"/>
      <c r="K67" s="413"/>
      <c r="L67" s="413"/>
      <c r="M67" s="413"/>
      <c r="N67" s="413"/>
      <c r="O67" s="413"/>
      <c r="P67" s="413"/>
      <c r="Q67" s="413"/>
      <c r="R67" s="41"/>
      <c r="S67" s="41"/>
      <c r="T67" s="413"/>
      <c r="U67" s="413"/>
      <c r="V67" s="413"/>
      <c r="W67" s="413"/>
      <c r="X67" s="413"/>
      <c r="AC67" s="8">
        <f t="shared" si="0"/>
        <v>13</v>
      </c>
    </row>
    <row r="68" spans="1:29">
      <c r="A68" s="182">
        <v>14</v>
      </c>
      <c r="B68" s="179">
        <v>6</v>
      </c>
      <c r="C68" s="40"/>
      <c r="D68" s="40"/>
      <c r="E68" s="39"/>
      <c r="F68" s="39"/>
      <c r="G68" s="39"/>
      <c r="H68" s="444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414"/>
      <c r="U68" s="414"/>
      <c r="V68" s="414"/>
      <c r="W68" s="414"/>
      <c r="X68" s="414"/>
      <c r="AC68" s="8">
        <f t="shared" si="0"/>
        <v>13</v>
      </c>
    </row>
    <row r="69" spans="1:29">
      <c r="A69" s="182">
        <v>14</v>
      </c>
      <c r="B69" s="179">
        <v>7</v>
      </c>
      <c r="C69" s="37"/>
      <c r="D69" s="37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3"/>
      <c r="U69" s="413"/>
      <c r="V69" s="413"/>
      <c r="W69" s="413"/>
      <c r="X69" s="413"/>
      <c r="AC69" s="8">
        <f t="shared" si="0"/>
        <v>13</v>
      </c>
    </row>
    <row r="70" spans="1:29">
      <c r="A70" s="182">
        <v>14</v>
      </c>
      <c r="B70" s="179">
        <v>8</v>
      </c>
      <c r="C70" s="40"/>
      <c r="D70" s="40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414"/>
      <c r="U70" s="414"/>
      <c r="V70" s="414"/>
      <c r="W70" s="414"/>
      <c r="X70" s="414"/>
      <c r="AC70" s="8">
        <f t="shared" si="0"/>
        <v>13</v>
      </c>
    </row>
    <row r="71" spans="1:29">
      <c r="A71" s="182">
        <v>14</v>
      </c>
      <c r="B71" s="179">
        <v>9</v>
      </c>
      <c r="C71" s="37"/>
      <c r="D71" s="37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3"/>
      <c r="U71" s="413"/>
      <c r="V71" s="413"/>
      <c r="W71" s="413"/>
      <c r="X71" s="413"/>
      <c r="AC71" s="8">
        <f t="shared" si="0"/>
        <v>13</v>
      </c>
    </row>
    <row r="72" spans="1:29">
      <c r="A72" s="182">
        <v>14</v>
      </c>
      <c r="B72" s="179">
        <v>10</v>
      </c>
      <c r="C72" s="40"/>
      <c r="D72" s="40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414"/>
      <c r="U72" s="414"/>
      <c r="V72" s="414"/>
      <c r="W72" s="414"/>
      <c r="X72" s="414"/>
      <c r="AC72" s="8">
        <f t="shared" si="0"/>
        <v>13</v>
      </c>
    </row>
    <row r="73" spans="1:29">
      <c r="A73" s="181">
        <v>15</v>
      </c>
      <c r="B73" s="178">
        <v>1</v>
      </c>
      <c r="C73" s="37"/>
      <c r="D73" s="37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3"/>
      <c r="U73" s="413"/>
      <c r="V73" s="413"/>
      <c r="W73" s="413"/>
      <c r="X73" s="413"/>
      <c r="AC73" s="8">
        <f t="shared" si="0"/>
        <v>14</v>
      </c>
    </row>
    <row r="74" spans="1:29">
      <c r="A74" s="182">
        <v>15</v>
      </c>
      <c r="B74" s="179">
        <v>2</v>
      </c>
      <c r="C74" s="40"/>
      <c r="D74" s="40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414"/>
      <c r="U74" s="414"/>
      <c r="V74" s="414"/>
      <c r="W74" s="414"/>
      <c r="X74" s="414"/>
      <c r="AC74" s="8">
        <f t="shared" si="0"/>
        <v>14</v>
      </c>
    </row>
    <row r="75" spans="1:29">
      <c r="A75" s="182">
        <v>15</v>
      </c>
      <c r="B75" s="179">
        <v>3</v>
      </c>
      <c r="C75" s="37"/>
      <c r="D75" s="37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3"/>
      <c r="U75" s="413"/>
      <c r="V75" s="413"/>
      <c r="W75" s="413"/>
      <c r="X75" s="413"/>
      <c r="AC75" s="8">
        <f t="shared" si="0"/>
        <v>14</v>
      </c>
    </row>
    <row r="76" spans="1:29">
      <c r="A76" s="182">
        <v>15</v>
      </c>
      <c r="B76" s="179">
        <v>4</v>
      </c>
      <c r="C76" s="40"/>
      <c r="D76" s="40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414"/>
      <c r="U76" s="414"/>
      <c r="V76" s="414"/>
      <c r="W76" s="414"/>
      <c r="X76" s="414"/>
      <c r="AC76" s="8">
        <f t="shared" si="0"/>
        <v>14</v>
      </c>
    </row>
    <row r="77" spans="1:29">
      <c r="A77" s="182">
        <v>15</v>
      </c>
      <c r="B77" s="179">
        <v>5</v>
      </c>
      <c r="C77" s="37"/>
      <c r="D77" s="37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3"/>
      <c r="U77" s="413"/>
      <c r="V77" s="413"/>
      <c r="W77" s="413"/>
      <c r="X77" s="413"/>
      <c r="AC77" s="8">
        <f t="shared" si="0"/>
        <v>14</v>
      </c>
    </row>
    <row r="78" spans="1:29">
      <c r="A78" s="182">
        <v>15</v>
      </c>
      <c r="B78" s="179">
        <v>6</v>
      </c>
      <c r="C78" s="40"/>
      <c r="D78" s="40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414"/>
      <c r="U78" s="414"/>
      <c r="V78" s="414"/>
      <c r="W78" s="414"/>
      <c r="X78" s="414"/>
      <c r="AC78" s="8">
        <f t="shared" si="0"/>
        <v>14</v>
      </c>
    </row>
    <row r="79" spans="1:29">
      <c r="A79" s="177">
        <v>16</v>
      </c>
      <c r="B79" s="178">
        <v>1</v>
      </c>
      <c r="C79" s="217">
        <v>-40</v>
      </c>
      <c r="D79" s="217">
        <v>-30</v>
      </c>
      <c r="E79" s="217">
        <v>-20</v>
      </c>
      <c r="F79" s="217">
        <v>-10</v>
      </c>
      <c r="G79" s="217">
        <v>0</v>
      </c>
      <c r="H79" s="217">
        <v>10</v>
      </c>
      <c r="I79" s="217">
        <v>20</v>
      </c>
      <c r="J79" s="217">
        <v>30</v>
      </c>
      <c r="K79" s="217">
        <v>40</v>
      </c>
      <c r="L79" s="217">
        <v>50</v>
      </c>
      <c r="M79" s="297"/>
      <c r="N79" s="41"/>
      <c r="O79" s="41"/>
      <c r="P79" s="41"/>
      <c r="Q79" s="41"/>
      <c r="R79" s="41"/>
      <c r="S79" s="41"/>
      <c r="T79" s="413"/>
      <c r="U79" s="413"/>
      <c r="V79" s="413"/>
      <c r="W79" s="413"/>
      <c r="X79" s="413"/>
      <c r="AC79" s="8">
        <f t="shared" si="0"/>
        <v>15</v>
      </c>
    </row>
    <row r="80" spans="1:29">
      <c r="A80" s="174">
        <v>16</v>
      </c>
      <c r="B80" s="179">
        <v>2</v>
      </c>
      <c r="C80" s="40">
        <v>-40</v>
      </c>
      <c r="D80" s="40">
        <v>-30</v>
      </c>
      <c r="E80" s="40">
        <v>-20</v>
      </c>
      <c r="F80" s="40">
        <v>-10</v>
      </c>
      <c r="G80" s="40">
        <v>0</v>
      </c>
      <c r="H80" s="40">
        <v>10</v>
      </c>
      <c r="I80" s="40">
        <v>20</v>
      </c>
      <c r="J80" s="40">
        <v>30</v>
      </c>
      <c r="K80" s="40">
        <v>40</v>
      </c>
      <c r="L80" s="233">
        <v>50</v>
      </c>
      <c r="M80" s="295"/>
      <c r="N80" s="39"/>
      <c r="O80" s="39"/>
      <c r="P80" s="39"/>
      <c r="Q80" s="39"/>
      <c r="R80" s="39"/>
      <c r="S80" s="39"/>
      <c r="T80" s="414"/>
      <c r="U80" s="414"/>
      <c r="V80" s="414"/>
      <c r="W80" s="414"/>
      <c r="X80" s="414"/>
      <c r="AC80" s="8">
        <f t="shared" si="0"/>
        <v>15</v>
      </c>
    </row>
    <row r="81" spans="1:29">
      <c r="A81" s="174">
        <v>16</v>
      </c>
      <c r="B81" s="179">
        <v>3</v>
      </c>
      <c r="C81" s="232">
        <v>-40</v>
      </c>
      <c r="D81" s="232">
        <v>-30</v>
      </c>
      <c r="E81" s="232">
        <v>-20</v>
      </c>
      <c r="F81" s="232">
        <v>-10</v>
      </c>
      <c r="G81" s="232">
        <v>0</v>
      </c>
      <c r="H81" s="232">
        <v>10</v>
      </c>
      <c r="I81" s="232">
        <v>20</v>
      </c>
      <c r="J81" s="232">
        <v>30</v>
      </c>
      <c r="K81" s="232">
        <v>40</v>
      </c>
      <c r="L81" s="232">
        <v>50</v>
      </c>
      <c r="M81" s="297"/>
      <c r="N81" s="41"/>
      <c r="O81" s="41"/>
      <c r="P81" s="41"/>
      <c r="Q81" s="41"/>
      <c r="R81" s="41"/>
      <c r="S81" s="41"/>
      <c r="T81" s="413"/>
      <c r="U81" s="413"/>
      <c r="V81" s="413"/>
      <c r="W81" s="413"/>
      <c r="X81" s="413"/>
      <c r="AC81" s="8">
        <f t="shared" si="0"/>
        <v>15</v>
      </c>
    </row>
    <row r="82" spans="1:29" ht="15" customHeight="1">
      <c r="A82" s="201">
        <v>17</v>
      </c>
      <c r="B82" s="58">
        <v>1</v>
      </c>
      <c r="C82" s="331"/>
      <c r="D82" s="331"/>
      <c r="E82" s="331"/>
      <c r="F82" s="331"/>
      <c r="G82" s="331"/>
      <c r="H82" s="331"/>
      <c r="I82" s="331"/>
      <c r="J82" s="331"/>
      <c r="K82" s="331"/>
      <c r="L82" s="331"/>
      <c r="M82" s="414"/>
      <c r="N82" s="414"/>
      <c r="O82" s="414"/>
      <c r="P82" s="414"/>
      <c r="Q82" s="414"/>
      <c r="R82" s="414"/>
      <c r="S82" s="414"/>
      <c r="T82" s="414"/>
      <c r="U82" s="414"/>
      <c r="V82" s="414"/>
      <c r="W82" s="414"/>
      <c r="X82" s="414"/>
      <c r="AC82" s="8">
        <f t="shared" si="0"/>
        <v>16</v>
      </c>
    </row>
    <row r="83" spans="1:29" ht="15" customHeight="1">
      <c r="A83" s="200">
        <v>17</v>
      </c>
      <c r="B83" s="59">
        <v>2</v>
      </c>
      <c r="C83" s="413"/>
      <c r="D83" s="413"/>
      <c r="E83" s="413"/>
      <c r="F83" s="413"/>
      <c r="G83" s="413"/>
      <c r="H83" s="413"/>
      <c r="I83" s="413"/>
      <c r="J83" s="413"/>
      <c r="K83" s="413"/>
      <c r="L83" s="413"/>
      <c r="M83" s="413"/>
      <c r="N83" s="413"/>
      <c r="O83" s="413"/>
      <c r="P83" s="413"/>
      <c r="Q83" s="413"/>
      <c r="R83" s="413"/>
      <c r="S83" s="413"/>
      <c r="T83" s="413"/>
      <c r="U83" s="413"/>
      <c r="V83" s="413"/>
      <c r="W83" s="413"/>
      <c r="X83" s="413"/>
      <c r="AC83" s="8">
        <f t="shared" si="0"/>
        <v>16</v>
      </c>
    </row>
    <row r="84" spans="1:29" ht="15" customHeight="1">
      <c r="A84" s="200">
        <v>17</v>
      </c>
      <c r="B84" s="59">
        <v>3</v>
      </c>
      <c r="C84" s="414"/>
      <c r="D84" s="414"/>
      <c r="E84" s="414"/>
      <c r="F84" s="414"/>
      <c r="G84" s="414"/>
      <c r="H84" s="414"/>
      <c r="I84" s="414"/>
      <c r="J84" s="414"/>
      <c r="K84" s="414"/>
      <c r="L84" s="414"/>
      <c r="M84" s="414"/>
      <c r="N84" s="414"/>
      <c r="O84" s="414"/>
      <c r="P84" s="414"/>
      <c r="Q84" s="414"/>
      <c r="R84" s="414"/>
      <c r="S84" s="414"/>
      <c r="T84" s="414"/>
      <c r="U84" s="414"/>
      <c r="V84" s="414"/>
      <c r="W84" s="414"/>
      <c r="X84" s="414"/>
      <c r="AC84" s="8">
        <f t="shared" si="0"/>
        <v>16</v>
      </c>
    </row>
    <row r="85" spans="1:29" ht="15" customHeight="1">
      <c r="A85" s="200">
        <v>17</v>
      </c>
      <c r="B85" s="59">
        <v>4</v>
      </c>
      <c r="C85" s="413"/>
      <c r="D85" s="413"/>
      <c r="E85" s="413"/>
      <c r="F85" s="413"/>
      <c r="G85" s="413"/>
      <c r="H85" s="413"/>
      <c r="I85" s="413"/>
      <c r="J85" s="413"/>
      <c r="K85" s="413"/>
      <c r="L85" s="413"/>
      <c r="M85" s="413"/>
      <c r="N85" s="413"/>
      <c r="O85" s="413"/>
      <c r="P85" s="413"/>
      <c r="Q85" s="413"/>
      <c r="R85" s="413"/>
      <c r="S85" s="413"/>
      <c r="T85" s="413"/>
      <c r="U85" s="413"/>
      <c r="V85" s="413"/>
      <c r="W85" s="413"/>
      <c r="X85" s="413"/>
      <c r="AC85" s="8">
        <f t="shared" si="0"/>
        <v>16</v>
      </c>
    </row>
    <row r="86" spans="1:29" ht="15" customHeight="1">
      <c r="A86" s="201">
        <v>18</v>
      </c>
      <c r="B86" s="58">
        <v>1</v>
      </c>
      <c r="C86" s="414"/>
      <c r="D86" s="414"/>
      <c r="E86" s="414"/>
      <c r="F86" s="414"/>
      <c r="G86" s="414"/>
      <c r="H86" s="414"/>
      <c r="I86" s="414"/>
      <c r="J86" s="414"/>
      <c r="K86" s="414"/>
      <c r="L86" s="414"/>
      <c r="M86" s="414"/>
      <c r="N86" s="414"/>
      <c r="O86" s="414"/>
      <c r="P86" s="414"/>
      <c r="Q86" s="414"/>
      <c r="R86" s="414"/>
      <c r="S86" s="414"/>
      <c r="T86" s="414"/>
      <c r="U86" s="414"/>
      <c r="V86" s="414"/>
      <c r="W86" s="414"/>
      <c r="X86" s="414"/>
      <c r="AC86" s="8">
        <f t="shared" si="0"/>
        <v>17</v>
      </c>
    </row>
    <row r="87" spans="1:29" ht="15" customHeight="1">
      <c r="A87" s="200">
        <v>18</v>
      </c>
      <c r="B87" s="59">
        <v>2</v>
      </c>
      <c r="C87" s="415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  <c r="O87" s="413"/>
      <c r="P87" s="413"/>
      <c r="Q87" s="413"/>
      <c r="R87" s="413"/>
      <c r="S87" s="413"/>
      <c r="T87" s="413"/>
      <c r="U87" s="413"/>
      <c r="V87" s="413"/>
      <c r="W87" s="413"/>
      <c r="X87" s="413"/>
      <c r="AC87" s="8">
        <f t="shared" si="0"/>
        <v>17</v>
      </c>
    </row>
    <row r="88" spans="1:29" ht="15" customHeight="1">
      <c r="A88" s="201">
        <v>19</v>
      </c>
      <c r="B88" s="58">
        <v>1</v>
      </c>
      <c r="C88" s="221">
        <v>-25</v>
      </c>
      <c r="D88" s="221">
        <v>-12.5</v>
      </c>
      <c r="E88" s="329">
        <v>0</v>
      </c>
      <c r="F88" s="329">
        <v>12.5</v>
      </c>
      <c r="G88" s="221">
        <v>25</v>
      </c>
      <c r="H88" s="221">
        <v>37.5</v>
      </c>
      <c r="I88" s="221">
        <v>50</v>
      </c>
      <c r="J88" s="221">
        <v>62.5</v>
      </c>
      <c r="K88" s="221">
        <v>75</v>
      </c>
      <c r="L88" s="221">
        <v>87.5</v>
      </c>
      <c r="M88" s="221">
        <v>100</v>
      </c>
      <c r="N88" s="221">
        <v>112.5</v>
      </c>
      <c r="O88" s="327"/>
      <c r="P88" s="414"/>
      <c r="Q88" s="414"/>
      <c r="R88" s="414"/>
      <c r="S88" s="414"/>
      <c r="T88" s="414"/>
      <c r="U88" s="414"/>
      <c r="V88" s="414"/>
      <c r="W88" s="414"/>
      <c r="X88" s="414"/>
      <c r="AC88" s="8">
        <f t="shared" si="0"/>
        <v>18</v>
      </c>
    </row>
    <row r="89" spans="1:29" ht="15" customHeight="1">
      <c r="A89" s="200">
        <v>19</v>
      </c>
      <c r="B89" s="59">
        <v>2</v>
      </c>
      <c r="C89" s="41">
        <v>-25</v>
      </c>
      <c r="D89" s="41">
        <v>-12.5</v>
      </c>
      <c r="E89" s="470">
        <v>0</v>
      </c>
      <c r="F89" s="470">
        <v>12.5</v>
      </c>
      <c r="G89" s="41">
        <v>25</v>
      </c>
      <c r="H89" s="41">
        <v>37.5</v>
      </c>
      <c r="I89" s="41">
        <v>50</v>
      </c>
      <c r="J89" s="41">
        <v>62.5</v>
      </c>
      <c r="K89" s="41">
        <v>75</v>
      </c>
      <c r="L89" s="41">
        <v>87.5</v>
      </c>
      <c r="M89" s="41">
        <v>100</v>
      </c>
      <c r="N89" s="239">
        <v>112.5</v>
      </c>
      <c r="O89" s="328"/>
      <c r="P89" s="413"/>
      <c r="Q89" s="413"/>
      <c r="R89" s="413"/>
      <c r="S89" s="413"/>
      <c r="T89" s="413"/>
      <c r="U89" s="413"/>
      <c r="V89" s="413"/>
      <c r="W89" s="413"/>
      <c r="X89" s="413"/>
      <c r="AC89" s="8">
        <f t="shared" si="0"/>
        <v>18</v>
      </c>
    </row>
    <row r="90" spans="1:29" ht="15" customHeight="1">
      <c r="A90" s="200">
        <v>19</v>
      </c>
      <c r="B90" s="59">
        <v>3</v>
      </c>
      <c r="C90" s="39">
        <v>-25</v>
      </c>
      <c r="D90" s="39">
        <v>-12.5</v>
      </c>
      <c r="E90" s="469">
        <v>0</v>
      </c>
      <c r="F90" s="469">
        <v>12.5</v>
      </c>
      <c r="G90" s="39">
        <v>25</v>
      </c>
      <c r="H90" s="39">
        <v>37.5</v>
      </c>
      <c r="I90" s="39">
        <v>50</v>
      </c>
      <c r="J90" s="39">
        <v>62.5</v>
      </c>
      <c r="K90" s="39">
        <v>75</v>
      </c>
      <c r="L90" s="39">
        <v>87.5</v>
      </c>
      <c r="M90" s="39">
        <v>100</v>
      </c>
      <c r="N90" s="283">
        <v>112.5</v>
      </c>
      <c r="O90" s="327"/>
      <c r="P90" s="414"/>
      <c r="Q90" s="414"/>
      <c r="R90" s="414"/>
      <c r="S90" s="414"/>
      <c r="T90" s="414"/>
      <c r="U90" s="414"/>
      <c r="V90" s="414"/>
      <c r="W90" s="414"/>
      <c r="X90" s="414"/>
      <c r="AC90" s="8">
        <f t="shared" si="0"/>
        <v>18</v>
      </c>
    </row>
    <row r="91" spans="1:29" ht="15" customHeight="1">
      <c r="A91" s="200">
        <v>19</v>
      </c>
      <c r="B91" s="59">
        <v>4</v>
      </c>
      <c r="C91" s="41">
        <v>-25</v>
      </c>
      <c r="D91" s="41">
        <v>-12.5</v>
      </c>
      <c r="E91" s="470">
        <v>0</v>
      </c>
      <c r="F91" s="470">
        <v>12.5</v>
      </c>
      <c r="G91" s="41">
        <v>25</v>
      </c>
      <c r="H91" s="41">
        <v>37.5</v>
      </c>
      <c r="I91" s="41">
        <v>50</v>
      </c>
      <c r="J91" s="41">
        <v>62.5</v>
      </c>
      <c r="K91" s="41">
        <v>75</v>
      </c>
      <c r="L91" s="41">
        <v>87.5</v>
      </c>
      <c r="M91" s="41">
        <v>100</v>
      </c>
      <c r="N91" s="239">
        <v>112.5</v>
      </c>
      <c r="O91" s="328"/>
      <c r="P91" s="413"/>
      <c r="Q91" s="413"/>
      <c r="R91" s="413"/>
      <c r="S91" s="413"/>
      <c r="T91" s="413"/>
      <c r="U91" s="413"/>
      <c r="V91" s="413"/>
      <c r="W91" s="413"/>
      <c r="X91" s="413"/>
      <c r="AC91" s="8">
        <f t="shared" si="0"/>
        <v>18</v>
      </c>
    </row>
    <row r="92" spans="1:29" ht="15" customHeight="1">
      <c r="A92" s="200">
        <v>19</v>
      </c>
      <c r="B92" s="59">
        <v>5</v>
      </c>
      <c r="C92" s="283">
        <v>-25</v>
      </c>
      <c r="D92" s="283">
        <v>-12.5</v>
      </c>
      <c r="E92" s="332">
        <v>0</v>
      </c>
      <c r="F92" s="332">
        <v>12.5</v>
      </c>
      <c r="G92" s="283">
        <v>25</v>
      </c>
      <c r="H92" s="283">
        <v>37.5</v>
      </c>
      <c r="I92" s="283">
        <v>50</v>
      </c>
      <c r="J92" s="283">
        <v>62.5</v>
      </c>
      <c r="K92" s="283">
        <v>75</v>
      </c>
      <c r="L92" s="283">
        <v>87.5</v>
      </c>
      <c r="M92" s="283">
        <v>100</v>
      </c>
      <c r="N92" s="283">
        <v>112.5</v>
      </c>
      <c r="O92" s="327"/>
      <c r="P92" s="416"/>
      <c r="Q92" s="416"/>
      <c r="R92" s="416"/>
      <c r="S92" s="416"/>
      <c r="T92" s="414"/>
      <c r="U92" s="414"/>
      <c r="V92" s="414"/>
      <c r="W92" s="414"/>
      <c r="X92" s="414"/>
      <c r="AC92" s="8">
        <f t="shared" si="0"/>
        <v>18</v>
      </c>
    </row>
    <row r="93" spans="1:29" ht="15" customHeight="1">
      <c r="A93" s="237">
        <v>20</v>
      </c>
      <c r="B93" s="178" t="s">
        <v>220</v>
      </c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413"/>
      <c r="P93" s="413"/>
      <c r="Q93" s="413"/>
      <c r="R93" s="413"/>
      <c r="S93" s="413"/>
      <c r="T93" s="413"/>
      <c r="U93" s="413"/>
      <c r="V93" s="413"/>
      <c r="W93" s="413"/>
      <c r="X93" s="413"/>
      <c r="AC93" s="8">
        <f t="shared" si="0"/>
        <v>19</v>
      </c>
    </row>
    <row r="94" spans="1:29" ht="15" customHeight="1">
      <c r="A94" s="205">
        <v>20</v>
      </c>
      <c r="B94" s="179" t="s">
        <v>221</v>
      </c>
      <c r="C94" s="414"/>
      <c r="D94" s="414"/>
      <c r="E94" s="414"/>
      <c r="F94" s="414"/>
      <c r="G94" s="414"/>
      <c r="H94" s="414"/>
      <c r="I94" s="414"/>
      <c r="J94" s="414"/>
      <c r="K94" s="414"/>
      <c r="L94" s="414"/>
      <c r="M94" s="414"/>
      <c r="N94" s="414"/>
      <c r="O94" s="414"/>
      <c r="P94" s="414"/>
      <c r="Q94" s="414"/>
      <c r="R94" s="414"/>
      <c r="S94" s="414"/>
      <c r="T94" s="414"/>
      <c r="U94" s="414"/>
      <c r="V94" s="414"/>
      <c r="W94" s="414"/>
      <c r="X94" s="414"/>
      <c r="AC94" s="8">
        <f t="shared" si="0"/>
        <v>19</v>
      </c>
    </row>
    <row r="95" spans="1:29" ht="15" customHeight="1">
      <c r="A95" s="205">
        <v>20</v>
      </c>
      <c r="B95" s="179" t="s">
        <v>222</v>
      </c>
      <c r="C95" s="413"/>
      <c r="D95" s="413"/>
      <c r="E95" s="413"/>
      <c r="F95" s="413"/>
      <c r="G95" s="413"/>
      <c r="H95" s="413"/>
      <c r="I95" s="413"/>
      <c r="J95" s="413"/>
      <c r="K95" s="413"/>
      <c r="L95" s="413"/>
      <c r="M95" s="413"/>
      <c r="N95" s="413"/>
      <c r="O95" s="413"/>
      <c r="P95" s="413"/>
      <c r="Q95" s="413"/>
      <c r="R95" s="413"/>
      <c r="S95" s="413"/>
      <c r="T95" s="413"/>
      <c r="U95" s="413"/>
      <c r="V95" s="413"/>
      <c r="W95" s="413"/>
      <c r="X95" s="413"/>
      <c r="AC95" s="8">
        <f t="shared" si="0"/>
        <v>19</v>
      </c>
    </row>
    <row r="96" spans="1:29" ht="15" customHeight="1">
      <c r="A96" s="205">
        <v>20</v>
      </c>
      <c r="B96" s="179" t="s">
        <v>223</v>
      </c>
      <c r="C96" s="414"/>
      <c r="D96" s="414"/>
      <c r="E96" s="414"/>
      <c r="F96" s="414"/>
      <c r="G96" s="414"/>
      <c r="H96" s="414"/>
      <c r="I96" s="414"/>
      <c r="J96" s="414"/>
      <c r="K96" s="414"/>
      <c r="L96" s="414"/>
      <c r="M96" s="414"/>
      <c r="N96" s="414"/>
      <c r="O96" s="414"/>
      <c r="P96" s="414"/>
      <c r="Q96" s="414"/>
      <c r="R96" s="414"/>
      <c r="S96" s="414"/>
      <c r="T96" s="414"/>
      <c r="U96" s="414"/>
      <c r="V96" s="414"/>
      <c r="W96" s="414"/>
      <c r="X96" s="414"/>
      <c r="AC96" s="8">
        <f t="shared" si="0"/>
        <v>19</v>
      </c>
    </row>
    <row r="97" spans="1:29" ht="15" customHeight="1">
      <c r="A97" s="205">
        <v>20</v>
      </c>
      <c r="B97" s="179" t="s">
        <v>224</v>
      </c>
      <c r="C97" s="413"/>
      <c r="D97" s="413"/>
      <c r="E97" s="413"/>
      <c r="F97" s="413"/>
      <c r="G97" s="413"/>
      <c r="H97" s="413"/>
      <c r="I97" s="413"/>
      <c r="J97" s="413"/>
      <c r="K97" s="413"/>
      <c r="L97" s="413"/>
      <c r="M97" s="413"/>
      <c r="N97" s="413"/>
      <c r="O97" s="413"/>
      <c r="P97" s="413"/>
      <c r="Q97" s="413"/>
      <c r="R97" s="413"/>
      <c r="S97" s="413"/>
      <c r="T97" s="413"/>
      <c r="U97" s="413"/>
      <c r="V97" s="413"/>
      <c r="W97" s="413"/>
      <c r="X97" s="413"/>
      <c r="AC97" s="8">
        <f t="shared" si="0"/>
        <v>19</v>
      </c>
    </row>
    <row r="98" spans="1:29" ht="15" customHeight="1">
      <c r="A98" s="205">
        <v>20</v>
      </c>
      <c r="B98" s="179" t="s">
        <v>225</v>
      </c>
      <c r="C98" s="414"/>
      <c r="D98" s="414"/>
      <c r="E98" s="414"/>
      <c r="F98" s="414"/>
      <c r="G98" s="414"/>
      <c r="H98" s="414"/>
      <c r="I98" s="414"/>
      <c r="J98" s="414"/>
      <c r="K98" s="414"/>
      <c r="L98" s="414"/>
      <c r="M98" s="414"/>
      <c r="N98" s="414"/>
      <c r="O98" s="414"/>
      <c r="P98" s="414"/>
      <c r="Q98" s="414"/>
      <c r="R98" s="414"/>
      <c r="S98" s="414"/>
      <c r="T98" s="414"/>
      <c r="U98" s="414"/>
      <c r="V98" s="414"/>
      <c r="W98" s="414"/>
      <c r="X98" s="414"/>
      <c r="AC98" s="8">
        <f t="shared" si="0"/>
        <v>19</v>
      </c>
    </row>
    <row r="99" spans="1:29" ht="15" customHeight="1">
      <c r="A99" s="205">
        <v>20</v>
      </c>
      <c r="B99" s="179" t="s">
        <v>226</v>
      </c>
      <c r="C99" s="413"/>
      <c r="D99" s="413"/>
      <c r="E99" s="413"/>
      <c r="F99" s="413"/>
      <c r="G99" s="413"/>
      <c r="H99" s="413"/>
      <c r="I99" s="413"/>
      <c r="J99" s="413"/>
      <c r="K99" s="413"/>
      <c r="L99" s="413"/>
      <c r="M99" s="413"/>
      <c r="N99" s="413"/>
      <c r="O99" s="413"/>
      <c r="P99" s="413"/>
      <c r="Q99" s="413"/>
      <c r="R99" s="413"/>
      <c r="S99" s="413"/>
      <c r="T99" s="413"/>
      <c r="U99" s="413"/>
      <c r="V99" s="413"/>
      <c r="W99" s="413"/>
      <c r="X99" s="413"/>
      <c r="AC99" s="8">
        <f t="shared" si="0"/>
        <v>19</v>
      </c>
    </row>
    <row r="100" spans="1:29" ht="15" customHeight="1">
      <c r="A100" s="205">
        <v>20</v>
      </c>
      <c r="B100" s="179" t="s">
        <v>227</v>
      </c>
      <c r="C100" s="414"/>
      <c r="D100" s="414"/>
      <c r="E100" s="414"/>
      <c r="F100" s="414"/>
      <c r="G100" s="414"/>
      <c r="H100" s="414"/>
      <c r="I100" s="414"/>
      <c r="J100" s="414"/>
      <c r="K100" s="414"/>
      <c r="L100" s="414"/>
      <c r="M100" s="414"/>
      <c r="N100" s="414"/>
      <c r="O100" s="414"/>
      <c r="P100" s="414"/>
      <c r="Q100" s="414"/>
      <c r="R100" s="414"/>
      <c r="S100" s="414"/>
      <c r="T100" s="414"/>
      <c r="U100" s="414"/>
      <c r="V100" s="414"/>
      <c r="W100" s="414"/>
      <c r="X100" s="414"/>
      <c r="AC100" s="8">
        <f t="shared" si="0"/>
        <v>19</v>
      </c>
    </row>
    <row r="101" spans="1:29" ht="15" customHeight="1">
      <c r="A101" s="205">
        <v>20</v>
      </c>
      <c r="B101" s="179" t="s">
        <v>230</v>
      </c>
      <c r="C101" s="413"/>
      <c r="D101" s="413"/>
      <c r="E101" s="413"/>
      <c r="F101" s="413"/>
      <c r="G101" s="413"/>
      <c r="H101" s="413"/>
      <c r="I101" s="413"/>
      <c r="J101" s="413"/>
      <c r="K101" s="413"/>
      <c r="L101" s="413"/>
      <c r="M101" s="413"/>
      <c r="N101" s="413"/>
      <c r="O101" s="413"/>
      <c r="P101" s="413"/>
      <c r="Q101" s="413"/>
      <c r="R101" s="413"/>
      <c r="S101" s="413"/>
      <c r="T101" s="413"/>
      <c r="U101" s="413"/>
      <c r="V101" s="413"/>
      <c r="W101" s="413"/>
      <c r="X101" s="413"/>
      <c r="AC101" s="8">
        <f t="shared" si="0"/>
        <v>19</v>
      </c>
    </row>
    <row r="102" spans="1:29" ht="15" customHeight="1">
      <c r="A102" s="205">
        <v>20</v>
      </c>
      <c r="B102" s="179" t="s">
        <v>231</v>
      </c>
      <c r="C102" s="414"/>
      <c r="D102" s="414"/>
      <c r="E102" s="414"/>
      <c r="F102" s="414"/>
      <c r="G102" s="414"/>
      <c r="H102" s="414"/>
      <c r="I102" s="414"/>
      <c r="J102" s="414"/>
      <c r="K102" s="414"/>
      <c r="L102" s="414"/>
      <c r="M102" s="414"/>
      <c r="N102" s="414"/>
      <c r="O102" s="414"/>
      <c r="P102" s="414"/>
      <c r="Q102" s="414"/>
      <c r="R102" s="414"/>
      <c r="S102" s="414"/>
      <c r="T102" s="414"/>
      <c r="U102" s="414"/>
      <c r="V102" s="414"/>
      <c r="W102" s="414"/>
      <c r="X102" s="414"/>
      <c r="AC102" s="8">
        <f t="shared" si="0"/>
        <v>19</v>
      </c>
    </row>
    <row r="103" spans="1:29" ht="15" customHeight="1">
      <c r="A103" s="205">
        <v>20</v>
      </c>
      <c r="B103" s="179" t="s">
        <v>232</v>
      </c>
      <c r="C103" s="413"/>
      <c r="D103" s="413"/>
      <c r="E103" s="413"/>
      <c r="F103" s="413"/>
      <c r="G103" s="413"/>
      <c r="H103" s="413"/>
      <c r="I103" s="413"/>
      <c r="J103" s="413"/>
      <c r="K103" s="413"/>
      <c r="L103" s="413"/>
      <c r="M103" s="413"/>
      <c r="N103" s="413"/>
      <c r="O103" s="413"/>
      <c r="P103" s="413"/>
      <c r="Q103" s="413"/>
      <c r="R103" s="413"/>
      <c r="S103" s="413"/>
      <c r="T103" s="413"/>
      <c r="U103" s="413"/>
      <c r="V103" s="413"/>
      <c r="W103" s="413"/>
      <c r="X103" s="413"/>
      <c r="AC103" s="8">
        <f t="shared" si="0"/>
        <v>19</v>
      </c>
    </row>
    <row r="104" spans="1:29" ht="15" customHeight="1">
      <c r="A104" s="205">
        <v>20</v>
      </c>
      <c r="B104" s="179" t="s">
        <v>233</v>
      </c>
      <c r="C104" s="414"/>
      <c r="D104" s="414"/>
      <c r="E104" s="414"/>
      <c r="F104" s="414"/>
      <c r="G104" s="414"/>
      <c r="H104" s="414"/>
      <c r="I104" s="414"/>
      <c r="J104" s="414"/>
      <c r="K104" s="414"/>
      <c r="L104" s="414"/>
      <c r="M104" s="414"/>
      <c r="N104" s="414"/>
      <c r="O104" s="414"/>
      <c r="P104" s="414"/>
      <c r="Q104" s="414"/>
      <c r="R104" s="414"/>
      <c r="S104" s="414"/>
      <c r="T104" s="414"/>
      <c r="U104" s="414"/>
      <c r="V104" s="414"/>
      <c r="W104" s="414"/>
      <c r="X104" s="414"/>
      <c r="AC104" s="8">
        <f t="shared" si="0"/>
        <v>19</v>
      </c>
    </row>
    <row r="105" spans="1:29" ht="15" customHeight="1">
      <c r="A105" s="205">
        <v>20</v>
      </c>
      <c r="B105" s="179" t="s">
        <v>234</v>
      </c>
      <c r="C105" s="476">
        <v>-24.656155956081001</v>
      </c>
      <c r="D105" s="476">
        <v>-4.1721147585654501</v>
      </c>
      <c r="E105" s="476">
        <v>10.202648396611201</v>
      </c>
      <c r="F105" s="476">
        <v>22.780572326372202</v>
      </c>
      <c r="G105" s="476">
        <v>38.2334513547612</v>
      </c>
      <c r="H105" s="476">
        <v>53.003282250641803</v>
      </c>
      <c r="I105" s="476">
        <v>68.866867387697198</v>
      </c>
      <c r="J105" s="476">
        <v>84.422422943252698</v>
      </c>
      <c r="K105" s="476">
        <v>98.591833044096205</v>
      </c>
      <c r="L105" s="476">
        <v>106.138619480656</v>
      </c>
      <c r="M105" s="476">
        <v>116.765677056288</v>
      </c>
      <c r="N105" s="413"/>
      <c r="O105" s="413"/>
      <c r="P105" s="413"/>
      <c r="Q105" s="413"/>
      <c r="R105" s="413"/>
      <c r="S105" s="413"/>
      <c r="T105" s="413"/>
      <c r="U105" s="413"/>
      <c r="V105" s="413"/>
      <c r="W105" s="413"/>
      <c r="X105" s="413"/>
      <c r="AC105" s="8">
        <f t="shared" si="0"/>
        <v>19</v>
      </c>
    </row>
    <row r="106" spans="1:29" ht="15" customHeight="1">
      <c r="A106" s="205">
        <v>20</v>
      </c>
      <c r="B106" s="179" t="s">
        <v>235</v>
      </c>
      <c r="C106" s="477">
        <v>-24.466441269710302</v>
      </c>
      <c r="D106" s="477">
        <v>-3.9824000721947099</v>
      </c>
      <c r="E106" s="477">
        <v>9.2629212841492805</v>
      </c>
      <c r="F106" s="477">
        <v>23.8943757572424</v>
      </c>
      <c r="G106" s="477">
        <v>45.610547618720197</v>
      </c>
      <c r="H106" s="477">
        <v>71.331104039695802</v>
      </c>
      <c r="I106" s="477">
        <v>89.8129529574625</v>
      </c>
      <c r="J106" s="477">
        <v>119.845948195361</v>
      </c>
      <c r="K106" s="414"/>
      <c r="L106" s="414"/>
      <c r="M106" s="414"/>
      <c r="N106" s="414"/>
      <c r="O106" s="414"/>
      <c r="P106" s="414"/>
      <c r="Q106" s="414"/>
      <c r="R106" s="414"/>
      <c r="S106" s="414"/>
      <c r="T106" s="414"/>
      <c r="U106" s="414"/>
      <c r="V106" s="414"/>
      <c r="W106" s="414"/>
      <c r="X106" s="414"/>
      <c r="AC106" s="8">
        <f t="shared" si="0"/>
        <v>19</v>
      </c>
    </row>
    <row r="107" spans="1:29" ht="15" customHeight="1">
      <c r="A107" s="205">
        <v>20</v>
      </c>
      <c r="B107" s="179" t="s">
        <v>236</v>
      </c>
      <c r="C107" s="476">
        <v>-24.312438816923301</v>
      </c>
      <c r="D107" s="476">
        <v>-2.13422258319576</v>
      </c>
      <c r="E107" s="476">
        <v>15.885581962321201</v>
      </c>
      <c r="F107" s="476">
        <v>37.909783405298903</v>
      </c>
      <c r="G107" s="476">
        <v>56.545634775852697</v>
      </c>
      <c r="H107" s="476">
        <v>74.719454112119607</v>
      </c>
      <c r="I107" s="476">
        <v>91.045095959387595</v>
      </c>
      <c r="J107" s="476">
        <v>119.69194574257401</v>
      </c>
      <c r="K107" s="413"/>
      <c r="L107" s="413"/>
      <c r="M107" s="413"/>
      <c r="N107" s="413"/>
      <c r="O107" s="413"/>
      <c r="P107" s="413"/>
      <c r="Q107" s="413"/>
      <c r="R107" s="413"/>
      <c r="S107" s="413"/>
      <c r="T107" s="413"/>
      <c r="U107" s="413"/>
      <c r="V107" s="413"/>
      <c r="W107" s="413"/>
      <c r="X107" s="413"/>
      <c r="AC107" s="8">
        <f t="shared" si="0"/>
        <v>19</v>
      </c>
    </row>
    <row r="108" spans="1:29" ht="15" customHeight="1">
      <c r="A108" s="205">
        <v>20</v>
      </c>
      <c r="B108" s="179" t="s">
        <v>237</v>
      </c>
      <c r="C108" s="477">
        <v>-24.466441269710302</v>
      </c>
      <c r="D108" s="477">
        <v>9.4169360748991799</v>
      </c>
      <c r="E108" s="477">
        <v>33.289315006875697</v>
      </c>
      <c r="F108" s="477">
        <v>56.545634775852697</v>
      </c>
      <c r="G108" s="477">
        <v>106.138619480656</v>
      </c>
      <c r="H108" s="414"/>
      <c r="I108" s="414"/>
      <c r="J108" s="414"/>
      <c r="K108" s="414"/>
      <c r="L108" s="414"/>
      <c r="M108" s="414"/>
      <c r="N108" s="414"/>
      <c r="O108" s="414"/>
      <c r="P108" s="414"/>
      <c r="Q108" s="414"/>
      <c r="R108" s="414"/>
      <c r="S108" s="414"/>
      <c r="T108" s="414"/>
      <c r="U108" s="414"/>
      <c r="V108" s="414"/>
      <c r="W108" s="414"/>
      <c r="X108" s="414"/>
      <c r="AC108" s="8">
        <f t="shared" si="0"/>
        <v>19</v>
      </c>
    </row>
    <row r="109" spans="1:29" ht="15" customHeight="1">
      <c r="A109" s="200">
        <v>20</v>
      </c>
      <c r="B109" s="59" t="s">
        <v>238</v>
      </c>
      <c r="C109" s="476">
        <v>-24.274810980850098</v>
      </c>
      <c r="D109" s="476">
        <v>-17.1946535739274</v>
      </c>
      <c r="E109" s="476">
        <v>-9.7137389438121495</v>
      </c>
      <c r="F109" s="476">
        <v>-5.7061116754169099</v>
      </c>
      <c r="G109" s="476">
        <v>-2.6335815368894702</v>
      </c>
      <c r="H109" s="476">
        <v>2.3091612068632799</v>
      </c>
      <c r="I109" s="476">
        <v>5.1144984601909602</v>
      </c>
      <c r="J109" s="476">
        <v>8.7213685053936008</v>
      </c>
      <c r="K109" s="476">
        <v>13.263354025953699</v>
      </c>
      <c r="L109" s="476">
        <v>18.339688625933899</v>
      </c>
      <c r="M109" s="476">
        <v>25.687020572566599</v>
      </c>
      <c r="N109" s="476">
        <v>33.969467994556801</v>
      </c>
      <c r="O109" s="476">
        <v>39.713734357439698</v>
      </c>
      <c r="P109" s="476">
        <v>46.927474447844901</v>
      </c>
      <c r="Q109" s="476">
        <v>56.278629201420102</v>
      </c>
      <c r="R109" s="476">
        <v>66.965647480800598</v>
      </c>
      <c r="S109" s="476">
        <v>74.045795714978397</v>
      </c>
      <c r="T109" s="476">
        <v>82.061068597258597</v>
      </c>
      <c r="U109" s="476">
        <v>89.141216831436395</v>
      </c>
      <c r="V109" s="476">
        <v>94.351134114899196</v>
      </c>
      <c r="W109" s="476">
        <v>98.225206218046395</v>
      </c>
      <c r="X109" s="476">
        <v>100.76335975891899</v>
      </c>
      <c r="AC109" s="8">
        <f t="shared" si="0"/>
        <v>19</v>
      </c>
    </row>
    <row r="110" spans="1:29" ht="15" customHeight="1">
      <c r="A110" s="200">
        <v>20</v>
      </c>
      <c r="B110" s="59" t="s">
        <v>239</v>
      </c>
      <c r="C110" s="477">
        <v>-23.206103649265099</v>
      </c>
      <c r="D110" s="477">
        <v>-11.583969894527099</v>
      </c>
      <c r="E110" s="414">
        <v>0.97319999999999995</v>
      </c>
      <c r="F110" s="477">
        <v>8.9885522178484791</v>
      </c>
      <c r="G110" s="477">
        <v>15.6679340560888</v>
      </c>
      <c r="H110" s="477">
        <v>25.419846032856601</v>
      </c>
      <c r="I110" s="477">
        <v>40.916024372507202</v>
      </c>
      <c r="J110" s="477">
        <v>52.9389245231826</v>
      </c>
      <c r="K110" s="477">
        <v>68.568694719060701</v>
      </c>
      <c r="L110" s="477">
        <v>80.591594869736099</v>
      </c>
      <c r="M110" s="477">
        <v>92.748086876638993</v>
      </c>
      <c r="N110" s="477">
        <v>100.76335975891899</v>
      </c>
      <c r="O110" s="477">
        <v>109.44657357684601</v>
      </c>
      <c r="P110" s="414">
        <v>120</v>
      </c>
      <c r="Q110" s="414"/>
      <c r="R110" s="414"/>
      <c r="S110" s="414"/>
      <c r="T110" s="414"/>
      <c r="U110" s="414"/>
      <c r="V110" s="414"/>
      <c r="W110" s="414"/>
      <c r="X110" s="414"/>
      <c r="AC110" s="8">
        <f t="shared" si="0"/>
        <v>19</v>
      </c>
    </row>
    <row r="111" spans="1:29" ht="15" customHeight="1">
      <c r="A111" s="200">
        <v>20</v>
      </c>
      <c r="B111" s="59" t="s">
        <v>240</v>
      </c>
      <c r="C111" s="476">
        <v>-19.198476380869899</v>
      </c>
      <c r="D111" s="476">
        <v>-8.9122153246820801</v>
      </c>
      <c r="E111" s="476">
        <v>-1.43129152182192</v>
      </c>
      <c r="F111" s="476">
        <v>9.3893186137859601</v>
      </c>
      <c r="G111" s="476">
        <v>19.942745036938899</v>
      </c>
      <c r="H111" s="476">
        <v>32.099237043841804</v>
      </c>
      <c r="I111" s="476">
        <v>37.977095262952098</v>
      </c>
      <c r="J111" s="476">
        <v>46.793882591617503</v>
      </c>
      <c r="K111" s="476">
        <v>59.351150167202697</v>
      </c>
      <c r="L111" s="476">
        <v>70.305333813548302</v>
      </c>
      <c r="M111" s="476">
        <v>83.6641158355187</v>
      </c>
      <c r="N111" s="476">
        <v>97.690838793136706</v>
      </c>
      <c r="O111" s="476">
        <v>113.721366212207</v>
      </c>
      <c r="P111" s="413"/>
      <c r="Q111" s="413"/>
      <c r="R111" s="413"/>
      <c r="S111" s="413"/>
      <c r="T111" s="413"/>
      <c r="U111" s="413"/>
      <c r="V111" s="413"/>
      <c r="W111" s="413"/>
      <c r="X111" s="413"/>
      <c r="AC111" s="8">
        <f t="shared" si="0"/>
        <v>19</v>
      </c>
    </row>
    <row r="112" spans="1:29" ht="15" customHeight="1">
      <c r="A112" s="200">
        <v>20</v>
      </c>
      <c r="B112" s="59" t="s">
        <v>241</v>
      </c>
      <c r="C112" s="477">
        <v>-24.408393664332699</v>
      </c>
      <c r="D112" s="477">
        <v>-12.118318973947201</v>
      </c>
      <c r="E112" s="416">
        <v>-0.49618499999999999</v>
      </c>
      <c r="F112" s="477">
        <v>23.816789621851601</v>
      </c>
      <c r="G112" s="477">
        <v>41.583965308154703</v>
      </c>
      <c r="H112" s="477">
        <v>55.877853632737803</v>
      </c>
      <c r="I112" s="477">
        <v>68.034345639640605</v>
      </c>
      <c r="J112" s="477">
        <v>81.393146007100796</v>
      </c>
      <c r="K112" s="478">
        <v>95.019093396036396</v>
      </c>
      <c r="L112" s="478">
        <v>101.030543471374</v>
      </c>
      <c r="M112" s="478">
        <v>103.30151329979201</v>
      </c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AC112" s="8">
        <f t="shared" si="0"/>
        <v>19</v>
      </c>
    </row>
    <row r="113" spans="1:29" ht="15" customHeight="1">
      <c r="A113" s="201">
        <v>21</v>
      </c>
      <c r="B113" s="58" t="s">
        <v>220</v>
      </c>
      <c r="C113" s="226">
        <v>-40</v>
      </c>
      <c r="D113" s="226">
        <v>-20</v>
      </c>
      <c r="E113" s="226">
        <v>0</v>
      </c>
      <c r="F113" s="226">
        <v>20</v>
      </c>
      <c r="G113" s="226">
        <v>40</v>
      </c>
      <c r="H113" s="226">
        <v>60</v>
      </c>
      <c r="I113" s="226">
        <v>80</v>
      </c>
      <c r="J113" s="226">
        <v>100</v>
      </c>
      <c r="K113" s="364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AC113" s="8">
        <f t="shared" si="0"/>
        <v>20</v>
      </c>
    </row>
    <row r="114" spans="1:29" ht="15" customHeight="1">
      <c r="A114" s="200">
        <v>21</v>
      </c>
      <c r="B114" s="59" t="s">
        <v>221</v>
      </c>
      <c r="C114" s="416">
        <v>-40</v>
      </c>
      <c r="D114" s="416">
        <v>-20</v>
      </c>
      <c r="E114" s="416">
        <v>0</v>
      </c>
      <c r="F114" s="416">
        <v>20</v>
      </c>
      <c r="G114" s="416">
        <v>40</v>
      </c>
      <c r="H114" s="416">
        <v>60</v>
      </c>
      <c r="I114" s="416">
        <v>80</v>
      </c>
      <c r="J114" s="326">
        <v>100</v>
      </c>
      <c r="K114" s="327"/>
      <c r="L114" s="414"/>
      <c r="M114" s="414"/>
      <c r="N114" s="414"/>
      <c r="O114" s="414"/>
      <c r="P114" s="414"/>
      <c r="Q114" s="414"/>
      <c r="R114" s="414"/>
      <c r="S114" s="414"/>
      <c r="T114" s="414"/>
      <c r="U114" s="414"/>
      <c r="V114" s="414"/>
      <c r="W114" s="414"/>
      <c r="X114" s="414"/>
      <c r="AC114" s="8">
        <f t="shared" si="0"/>
        <v>20</v>
      </c>
    </row>
    <row r="115" spans="1:29" ht="15" customHeight="1">
      <c r="A115" s="200">
        <v>21</v>
      </c>
      <c r="B115" s="59" t="s">
        <v>222</v>
      </c>
      <c r="C115" s="415">
        <v>-40</v>
      </c>
      <c r="D115" s="415">
        <v>-20</v>
      </c>
      <c r="E115" s="415">
        <v>0</v>
      </c>
      <c r="F115" s="415">
        <v>20</v>
      </c>
      <c r="G115" s="415">
        <v>40</v>
      </c>
      <c r="H115" s="415">
        <v>60</v>
      </c>
      <c r="I115" s="415">
        <v>80</v>
      </c>
      <c r="J115" s="228">
        <v>100</v>
      </c>
      <c r="K115" s="328"/>
      <c r="L115" s="413"/>
      <c r="M115" s="413"/>
      <c r="N115" s="413"/>
      <c r="O115" s="413"/>
      <c r="P115" s="413"/>
      <c r="Q115" s="413"/>
      <c r="R115" s="413"/>
      <c r="S115" s="413"/>
      <c r="T115" s="413"/>
      <c r="U115" s="413"/>
      <c r="V115" s="413"/>
      <c r="W115" s="413"/>
      <c r="X115" s="413"/>
      <c r="AC115" s="8">
        <f t="shared" si="0"/>
        <v>20</v>
      </c>
    </row>
    <row r="116" spans="1:29" ht="15" customHeight="1">
      <c r="A116" s="200">
        <v>21</v>
      </c>
      <c r="B116" s="59" t="s">
        <v>223</v>
      </c>
      <c r="C116" s="416">
        <v>-40</v>
      </c>
      <c r="D116" s="416">
        <v>-20</v>
      </c>
      <c r="E116" s="416">
        <v>0</v>
      </c>
      <c r="F116" s="416">
        <v>20</v>
      </c>
      <c r="G116" s="416">
        <v>40</v>
      </c>
      <c r="H116" s="416">
        <v>60</v>
      </c>
      <c r="I116" s="416">
        <v>80</v>
      </c>
      <c r="J116" s="326">
        <v>100</v>
      </c>
      <c r="K116" s="327"/>
      <c r="L116" s="414"/>
      <c r="M116" s="414"/>
      <c r="N116" s="414"/>
      <c r="O116" s="414"/>
      <c r="P116" s="414"/>
      <c r="Q116" s="414"/>
      <c r="R116" s="414"/>
      <c r="S116" s="414"/>
      <c r="T116" s="414"/>
      <c r="U116" s="414"/>
      <c r="V116" s="414"/>
      <c r="W116" s="414"/>
      <c r="X116" s="414"/>
      <c r="AC116" s="8">
        <f t="shared" si="0"/>
        <v>20</v>
      </c>
    </row>
    <row r="117" spans="1:29" ht="15" customHeight="1">
      <c r="A117" s="200">
        <v>21</v>
      </c>
      <c r="B117" s="59" t="s">
        <v>228</v>
      </c>
      <c r="C117" s="415">
        <v>-40</v>
      </c>
      <c r="D117" s="415">
        <v>-20</v>
      </c>
      <c r="E117" s="415">
        <v>0</v>
      </c>
      <c r="F117" s="415">
        <v>20</v>
      </c>
      <c r="G117" s="415">
        <v>40</v>
      </c>
      <c r="H117" s="415">
        <v>60</v>
      </c>
      <c r="I117" s="415">
        <v>80</v>
      </c>
      <c r="J117" s="228">
        <v>100</v>
      </c>
      <c r="K117" s="328"/>
      <c r="L117" s="413"/>
      <c r="M117" s="413"/>
      <c r="N117" s="413"/>
      <c r="O117" s="413"/>
      <c r="P117" s="413"/>
      <c r="Q117" s="413"/>
      <c r="R117" s="413"/>
      <c r="S117" s="413"/>
      <c r="T117" s="413"/>
      <c r="U117" s="413"/>
      <c r="V117" s="413"/>
      <c r="W117" s="413"/>
      <c r="X117" s="413"/>
      <c r="AC117" s="8">
        <f t="shared" si="0"/>
        <v>20</v>
      </c>
    </row>
    <row r="118" spans="1:29" ht="15" customHeight="1">
      <c r="A118" s="200">
        <v>21</v>
      </c>
      <c r="B118" s="59" t="s">
        <v>242</v>
      </c>
      <c r="C118" s="416">
        <v>-40</v>
      </c>
      <c r="D118" s="416">
        <v>-20</v>
      </c>
      <c r="E118" s="416">
        <v>0</v>
      </c>
      <c r="F118" s="416">
        <v>20</v>
      </c>
      <c r="G118" s="416">
        <v>40</v>
      </c>
      <c r="H118" s="416">
        <v>60</v>
      </c>
      <c r="I118" s="416">
        <v>80</v>
      </c>
      <c r="J118" s="326">
        <v>100</v>
      </c>
      <c r="K118" s="327"/>
      <c r="L118" s="414"/>
      <c r="M118" s="414"/>
      <c r="N118" s="414"/>
      <c r="O118" s="414"/>
      <c r="P118" s="414"/>
      <c r="Q118" s="414"/>
      <c r="R118" s="414"/>
      <c r="S118" s="414"/>
      <c r="T118" s="414"/>
      <c r="U118" s="414"/>
      <c r="V118" s="414"/>
      <c r="W118" s="414"/>
      <c r="X118" s="414"/>
      <c r="AC118" s="8">
        <f t="shared" si="0"/>
        <v>20</v>
      </c>
    </row>
    <row r="119" spans="1:29" ht="15" customHeight="1">
      <c r="A119" s="200">
        <v>21</v>
      </c>
      <c r="B119" s="59" t="s">
        <v>243</v>
      </c>
      <c r="C119" s="415">
        <v>-40</v>
      </c>
      <c r="D119" s="415">
        <v>-20</v>
      </c>
      <c r="E119" s="415">
        <v>0</v>
      </c>
      <c r="F119" s="415">
        <v>20</v>
      </c>
      <c r="G119" s="415">
        <v>40</v>
      </c>
      <c r="H119" s="415">
        <v>60</v>
      </c>
      <c r="I119" s="415">
        <v>80</v>
      </c>
      <c r="J119" s="228">
        <v>100</v>
      </c>
      <c r="K119" s="328"/>
      <c r="L119" s="413"/>
      <c r="M119" s="413"/>
      <c r="N119" s="413"/>
      <c r="O119" s="413"/>
      <c r="P119" s="413"/>
      <c r="Q119" s="413"/>
      <c r="R119" s="413"/>
      <c r="S119" s="413"/>
      <c r="T119" s="413"/>
      <c r="U119" s="413"/>
      <c r="V119" s="413"/>
      <c r="W119" s="413"/>
      <c r="X119" s="413"/>
      <c r="AC119" s="8">
        <f t="shared" si="0"/>
        <v>20</v>
      </c>
    </row>
    <row r="120" spans="1:29" ht="15" customHeight="1">
      <c r="A120" s="202">
        <v>21</v>
      </c>
      <c r="B120" s="203" t="s">
        <v>244</v>
      </c>
      <c r="C120" s="438">
        <v>-40</v>
      </c>
      <c r="D120" s="438">
        <v>-20</v>
      </c>
      <c r="E120" s="438">
        <v>0</v>
      </c>
      <c r="F120" s="438">
        <v>20</v>
      </c>
      <c r="G120" s="438">
        <v>40</v>
      </c>
      <c r="H120" s="438">
        <v>60</v>
      </c>
      <c r="I120" s="438">
        <v>80</v>
      </c>
      <c r="J120" s="438">
        <v>100</v>
      </c>
      <c r="K120" s="327"/>
      <c r="L120" s="416"/>
      <c r="M120" s="416"/>
      <c r="N120" s="416"/>
      <c r="O120" s="416"/>
      <c r="P120" s="416"/>
      <c r="Q120" s="416"/>
      <c r="R120" s="416"/>
      <c r="S120" s="416"/>
      <c r="T120" s="414"/>
      <c r="U120" s="414"/>
      <c r="V120" s="414"/>
      <c r="W120" s="414"/>
      <c r="X120" s="414"/>
      <c r="AC120" s="8">
        <f t="shared" si="0"/>
        <v>20</v>
      </c>
    </row>
    <row r="121" spans="1:29" ht="15" customHeight="1">
      <c r="A121" s="200">
        <v>21</v>
      </c>
      <c r="B121" s="59" t="s">
        <v>224</v>
      </c>
      <c r="C121" s="2"/>
      <c r="D121" s="2"/>
      <c r="E121" s="2"/>
      <c r="F121" s="2"/>
      <c r="G121" s="2"/>
      <c r="H121" s="2"/>
      <c r="I121" s="2"/>
      <c r="J121" s="2"/>
      <c r="AC121" s="8">
        <f t="shared" si="0"/>
        <v>20</v>
      </c>
    </row>
    <row r="122" spans="1:29" ht="15" customHeight="1">
      <c r="A122" s="200">
        <v>21</v>
      </c>
      <c r="B122" s="59" t="s">
        <v>225</v>
      </c>
      <c r="AC122" s="8">
        <f t="shared" si="0"/>
        <v>20</v>
      </c>
    </row>
    <row r="123" spans="1:29" ht="15" customHeight="1">
      <c r="A123" s="200">
        <v>21</v>
      </c>
      <c r="B123" s="59" t="s">
        <v>226</v>
      </c>
      <c r="AC123" s="8">
        <f t="shared" si="0"/>
        <v>20</v>
      </c>
    </row>
    <row r="124" spans="1:29" ht="15" customHeight="1">
      <c r="A124" s="200">
        <v>21</v>
      </c>
      <c r="B124" s="59" t="s">
        <v>227</v>
      </c>
      <c r="AC124" s="8">
        <f t="shared" si="0"/>
        <v>20</v>
      </c>
    </row>
    <row r="125" spans="1:29" ht="15" customHeight="1">
      <c r="A125" s="200">
        <v>21</v>
      </c>
      <c r="B125" s="59" t="s">
        <v>229</v>
      </c>
      <c r="AC125" s="8">
        <f t="shared" si="0"/>
        <v>20</v>
      </c>
    </row>
    <row r="126" spans="1:29" ht="15" customHeight="1">
      <c r="A126" s="200">
        <v>21</v>
      </c>
      <c r="B126" s="59" t="s">
        <v>245</v>
      </c>
      <c r="AC126" s="8">
        <f t="shared" si="0"/>
        <v>20</v>
      </c>
    </row>
    <row r="127" spans="1:29" ht="15" customHeight="1">
      <c r="A127" s="200">
        <v>21</v>
      </c>
      <c r="B127" s="59" t="s">
        <v>246</v>
      </c>
      <c r="AC127" s="8">
        <f t="shared" si="0"/>
        <v>20</v>
      </c>
    </row>
    <row r="128" spans="1:29" ht="15" customHeight="1">
      <c r="A128" s="202">
        <v>21</v>
      </c>
      <c r="B128" s="203" t="s">
        <v>247</v>
      </c>
      <c r="AC128" s="8">
        <f t="shared" si="0"/>
        <v>20</v>
      </c>
    </row>
    <row r="129" spans="1:29" ht="15" customHeight="1">
      <c r="A129" s="200">
        <v>22</v>
      </c>
      <c r="B129" s="59">
        <v>1</v>
      </c>
      <c r="AC129" s="8">
        <f t="shared" si="0"/>
        <v>21</v>
      </c>
    </row>
    <row r="130" spans="1:29" ht="15" customHeight="1">
      <c r="A130" s="200">
        <v>22</v>
      </c>
      <c r="B130" s="59">
        <v>2</v>
      </c>
      <c r="AC130" s="8">
        <f t="shared" si="0"/>
        <v>21</v>
      </c>
    </row>
    <row r="131" spans="1:29" ht="15" customHeight="1">
      <c r="A131" s="200">
        <v>22</v>
      </c>
      <c r="B131" s="59">
        <v>3</v>
      </c>
      <c r="AC131" s="8">
        <f t="shared" si="0"/>
        <v>21</v>
      </c>
    </row>
    <row r="132" spans="1:29" ht="15" customHeight="1">
      <c r="A132" s="200">
        <v>22</v>
      </c>
      <c r="B132" s="59">
        <v>4</v>
      </c>
      <c r="AC132" s="8">
        <f t="shared" si="0"/>
        <v>21</v>
      </c>
    </row>
    <row r="133" spans="1:29" ht="15" customHeight="1">
      <c r="A133" s="200">
        <v>22</v>
      </c>
      <c r="B133" s="59">
        <v>5</v>
      </c>
      <c r="AC133" s="8">
        <f t="shared" si="0"/>
        <v>21</v>
      </c>
    </row>
    <row r="134" spans="1:29" ht="15" customHeight="1">
      <c r="A134" s="200">
        <v>22</v>
      </c>
      <c r="B134" s="59">
        <v>6</v>
      </c>
      <c r="AC134" s="8">
        <f t="shared" si="0"/>
        <v>21</v>
      </c>
    </row>
    <row r="135" spans="1:29" ht="15" customHeight="1">
      <c r="A135" s="200">
        <v>22</v>
      </c>
      <c r="B135" s="59">
        <v>7</v>
      </c>
      <c r="AC135" s="8">
        <f t="shared" si="0"/>
        <v>21</v>
      </c>
    </row>
    <row r="136" spans="1:29" ht="15" customHeight="1">
      <c r="A136" s="200">
        <v>22</v>
      </c>
      <c r="B136" s="59">
        <v>8</v>
      </c>
      <c r="C136" s="2"/>
      <c r="D136" s="2"/>
      <c r="E136" s="2"/>
      <c r="F136" s="2"/>
      <c r="G136" s="2"/>
      <c r="H136" s="2"/>
      <c r="I136" s="2"/>
      <c r="J136" s="2"/>
      <c r="K136" s="2"/>
      <c r="AC136" s="8">
        <f t="shared" si="0"/>
        <v>21</v>
      </c>
    </row>
    <row r="137" spans="1:29" ht="15" customHeight="1">
      <c r="A137" s="201">
        <v>23</v>
      </c>
      <c r="B137" s="58">
        <v>1</v>
      </c>
      <c r="C137" s="206">
        <v>-20</v>
      </c>
      <c r="D137" s="206">
        <v>0</v>
      </c>
      <c r="E137" s="206">
        <v>20</v>
      </c>
      <c r="F137" s="206">
        <v>40</v>
      </c>
      <c r="G137" s="206">
        <v>60</v>
      </c>
      <c r="H137" s="206">
        <v>80</v>
      </c>
      <c r="I137" s="206">
        <v>100</v>
      </c>
      <c r="J137" s="206">
        <v>120</v>
      </c>
      <c r="K137" s="207">
        <v>140</v>
      </c>
      <c r="L137" s="2"/>
      <c r="AC137" s="8">
        <f t="shared" si="0"/>
        <v>22</v>
      </c>
    </row>
    <row r="138" spans="1:29" ht="15" customHeight="1">
      <c r="A138" s="200">
        <v>23</v>
      </c>
      <c r="B138" s="59">
        <v>2</v>
      </c>
      <c r="C138" s="2">
        <v>-20</v>
      </c>
      <c r="D138" s="2">
        <v>0</v>
      </c>
      <c r="E138" s="2">
        <v>20</v>
      </c>
      <c r="F138" s="2">
        <v>40</v>
      </c>
      <c r="G138" s="2">
        <v>60</v>
      </c>
      <c r="H138" s="2">
        <v>80</v>
      </c>
      <c r="I138" s="2">
        <v>100</v>
      </c>
      <c r="J138" s="2">
        <v>120</v>
      </c>
      <c r="K138" s="208">
        <v>140</v>
      </c>
      <c r="L138" s="2"/>
      <c r="AC138" s="8">
        <f t="shared" si="0"/>
        <v>22</v>
      </c>
    </row>
    <row r="139" spans="1:29" ht="15" customHeight="1">
      <c r="A139" s="200">
        <v>23</v>
      </c>
      <c r="B139" s="59">
        <v>3</v>
      </c>
      <c r="C139" s="2">
        <v>-20</v>
      </c>
      <c r="D139" s="2">
        <v>0</v>
      </c>
      <c r="E139" s="2">
        <v>20</v>
      </c>
      <c r="F139" s="2">
        <v>40</v>
      </c>
      <c r="G139" s="2">
        <v>60</v>
      </c>
      <c r="H139" s="2">
        <v>80</v>
      </c>
      <c r="I139" s="2">
        <v>100</v>
      </c>
      <c r="J139" s="2">
        <v>120</v>
      </c>
      <c r="K139" s="208">
        <v>140</v>
      </c>
      <c r="L139" s="2"/>
      <c r="AC139" s="8">
        <f t="shared" si="0"/>
        <v>22</v>
      </c>
    </row>
    <row r="140" spans="1:29" ht="15" customHeight="1">
      <c r="A140" s="200">
        <v>23</v>
      </c>
      <c r="B140" s="59">
        <v>4</v>
      </c>
      <c r="C140" s="2">
        <v>-20</v>
      </c>
      <c r="D140" s="2">
        <v>0</v>
      </c>
      <c r="E140" s="2">
        <v>20</v>
      </c>
      <c r="F140" s="2">
        <v>40</v>
      </c>
      <c r="G140" s="2">
        <v>60</v>
      </c>
      <c r="H140" s="2">
        <v>80</v>
      </c>
      <c r="I140" s="2">
        <v>100</v>
      </c>
      <c r="J140" s="2">
        <v>120</v>
      </c>
      <c r="K140" s="208">
        <v>140</v>
      </c>
      <c r="L140" s="2"/>
      <c r="AC140" s="8">
        <f t="shared" si="0"/>
        <v>22</v>
      </c>
    </row>
    <row r="141" spans="1:29" ht="15" customHeight="1">
      <c r="A141" s="202">
        <v>23</v>
      </c>
      <c r="B141" s="203">
        <v>5</v>
      </c>
      <c r="C141" s="30">
        <v>-20</v>
      </c>
      <c r="D141" s="30">
        <v>0</v>
      </c>
      <c r="E141" s="30">
        <v>20</v>
      </c>
      <c r="F141" s="30">
        <v>40</v>
      </c>
      <c r="G141" s="30">
        <v>60</v>
      </c>
      <c r="H141" s="30">
        <v>80</v>
      </c>
      <c r="I141" s="30">
        <v>100</v>
      </c>
      <c r="J141" s="30">
        <v>120</v>
      </c>
      <c r="K141" s="209">
        <v>140</v>
      </c>
      <c r="L141" s="2"/>
      <c r="AC141" s="8">
        <f t="shared" si="0"/>
        <v>22</v>
      </c>
    </row>
    <row r="142" spans="1:29" ht="15" customHeight="1">
      <c r="A142" s="210">
        <v>24</v>
      </c>
      <c r="B142" s="211">
        <v>1</v>
      </c>
      <c r="C142" s="2"/>
      <c r="D142" s="2"/>
      <c r="E142" s="2"/>
      <c r="F142" s="2"/>
      <c r="G142" s="2"/>
      <c r="H142" s="2"/>
      <c r="I142" s="2"/>
      <c r="J142" s="2"/>
      <c r="K142" s="2"/>
      <c r="AC142" s="8">
        <f t="shared" si="0"/>
        <v>23</v>
      </c>
    </row>
    <row r="143" spans="1:29" ht="15" customHeight="1">
      <c r="A143" s="210">
        <v>24</v>
      </c>
      <c r="B143" s="211">
        <v>2</v>
      </c>
      <c r="AC143" s="8">
        <f t="shared" si="0"/>
        <v>23</v>
      </c>
    </row>
    <row r="144" spans="1:29" ht="15" customHeight="1">
      <c r="A144" s="210">
        <v>24</v>
      </c>
      <c r="B144" s="211">
        <v>3</v>
      </c>
      <c r="AC144" s="8">
        <f t="shared" si="0"/>
        <v>23</v>
      </c>
    </row>
    <row r="145" spans="1:29" ht="15" customHeight="1">
      <c r="A145" s="210">
        <v>24</v>
      </c>
      <c r="B145" s="211">
        <v>4</v>
      </c>
      <c r="AC145" s="8">
        <f t="shared" si="0"/>
        <v>23</v>
      </c>
    </row>
    <row r="146" spans="1:29" ht="15" customHeight="1">
      <c r="A146" s="210">
        <v>24</v>
      </c>
      <c r="B146" s="211">
        <v>5</v>
      </c>
      <c r="AC146" s="8">
        <f t="shared" si="0"/>
        <v>23</v>
      </c>
    </row>
    <row r="147" spans="1:29" ht="15" customHeight="1">
      <c r="A147" s="210">
        <v>24</v>
      </c>
      <c r="B147" s="211">
        <v>6</v>
      </c>
      <c r="AC147" s="8">
        <f t="shared" si="0"/>
        <v>23</v>
      </c>
    </row>
    <row r="148" spans="1:29" ht="15" customHeight="1">
      <c r="A148" s="210">
        <v>24</v>
      </c>
      <c r="B148" s="211">
        <v>7</v>
      </c>
      <c r="C148" s="2"/>
      <c r="D148" s="2"/>
      <c r="E148" s="2"/>
      <c r="F148" s="2"/>
      <c r="G148" s="2"/>
      <c r="H148" s="2"/>
      <c r="I148" s="2"/>
      <c r="AC148" s="8">
        <f t="shared" si="0"/>
        <v>23</v>
      </c>
    </row>
    <row r="149" spans="1:29" ht="15" customHeight="1">
      <c r="A149" s="201">
        <v>25</v>
      </c>
      <c r="B149" s="58">
        <v>1</v>
      </c>
      <c r="C149" s="194">
        <v>-40</v>
      </c>
      <c r="D149" s="194">
        <v>-20</v>
      </c>
      <c r="E149" s="194">
        <v>0</v>
      </c>
      <c r="F149" s="194">
        <v>20</v>
      </c>
      <c r="G149" s="194">
        <v>40</v>
      </c>
      <c r="H149" s="194">
        <v>60</v>
      </c>
      <c r="I149" s="197">
        <v>80</v>
      </c>
      <c r="J149" s="2"/>
      <c r="AC149" s="8">
        <f t="shared" si="0"/>
        <v>24</v>
      </c>
    </row>
    <row r="150" spans="1:29" ht="15" customHeight="1">
      <c r="A150" s="200">
        <v>25</v>
      </c>
      <c r="B150" s="59">
        <v>2</v>
      </c>
      <c r="C150" s="20">
        <v>-40</v>
      </c>
      <c r="D150" s="20">
        <v>-20</v>
      </c>
      <c r="E150" s="20">
        <v>0</v>
      </c>
      <c r="F150" s="20">
        <v>20</v>
      </c>
      <c r="G150" s="20">
        <v>40</v>
      </c>
      <c r="H150" s="20">
        <v>60</v>
      </c>
      <c r="I150" s="198">
        <v>80</v>
      </c>
      <c r="J150" s="2"/>
      <c r="AC150" s="8">
        <f t="shared" si="0"/>
        <v>24</v>
      </c>
    </row>
    <row r="151" spans="1:29" ht="15" customHeight="1">
      <c r="A151" s="200">
        <v>25</v>
      </c>
      <c r="B151" s="59">
        <v>3</v>
      </c>
      <c r="C151" s="20">
        <v>-40</v>
      </c>
      <c r="D151" s="20">
        <v>-20</v>
      </c>
      <c r="E151" s="20">
        <v>0</v>
      </c>
      <c r="F151" s="20">
        <v>20</v>
      </c>
      <c r="G151" s="20">
        <v>40</v>
      </c>
      <c r="H151" s="20">
        <v>60</v>
      </c>
      <c r="I151" s="198">
        <v>80</v>
      </c>
      <c r="J151" s="2"/>
      <c r="AC151" s="8">
        <f t="shared" si="0"/>
        <v>24</v>
      </c>
    </row>
    <row r="152" spans="1:29" ht="15" customHeight="1">
      <c r="A152" s="202">
        <v>25</v>
      </c>
      <c r="B152" s="59">
        <v>4</v>
      </c>
      <c r="C152" s="26">
        <v>-40</v>
      </c>
      <c r="D152" s="26">
        <v>-20</v>
      </c>
      <c r="E152" s="26">
        <v>0</v>
      </c>
      <c r="F152" s="26">
        <v>20</v>
      </c>
      <c r="G152" s="26">
        <v>40</v>
      </c>
      <c r="H152" s="26">
        <v>60</v>
      </c>
      <c r="I152" s="204">
        <v>80</v>
      </c>
      <c r="J152" s="2"/>
      <c r="K152" s="2"/>
      <c r="L152" s="2"/>
      <c r="M152" s="2"/>
      <c r="N152" s="2"/>
      <c r="AC152" s="8">
        <f t="shared" si="0"/>
        <v>24</v>
      </c>
    </row>
    <row r="153" spans="1:29" ht="15" customHeight="1">
      <c r="A153" s="200">
        <v>26</v>
      </c>
      <c r="B153" s="178" t="s">
        <v>220</v>
      </c>
      <c r="C153" s="20"/>
      <c r="D153" s="20"/>
      <c r="E153" s="20"/>
      <c r="F153" s="20"/>
      <c r="G153" s="20"/>
      <c r="H153" s="20"/>
      <c r="I153" s="20"/>
      <c r="J153" s="206"/>
      <c r="K153" s="206"/>
      <c r="L153" s="206"/>
      <c r="M153" s="206"/>
      <c r="N153" s="207"/>
      <c r="O153" s="2"/>
      <c r="AC153" s="8">
        <f t="shared" si="0"/>
        <v>25</v>
      </c>
    </row>
    <row r="154" spans="1:29" ht="15" customHeight="1">
      <c r="A154" s="200">
        <v>26</v>
      </c>
      <c r="B154" s="179" t="s">
        <v>221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08"/>
      <c r="O154" s="2"/>
      <c r="AC154" s="8">
        <f t="shared" si="0"/>
        <v>25</v>
      </c>
    </row>
    <row r="155" spans="1:29" ht="15" customHeight="1">
      <c r="A155" s="200">
        <v>26</v>
      </c>
      <c r="B155" s="179" t="s">
        <v>222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08"/>
      <c r="O155" s="2"/>
      <c r="AC155" s="8">
        <f t="shared" si="0"/>
        <v>25</v>
      </c>
    </row>
    <row r="156" spans="1:29" ht="15" customHeight="1">
      <c r="A156" s="200">
        <v>26</v>
      </c>
      <c r="B156" s="179" t="s">
        <v>223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08"/>
      <c r="O156" s="2"/>
      <c r="AC156" s="8">
        <f t="shared" si="0"/>
        <v>25</v>
      </c>
    </row>
    <row r="157" spans="1:29" ht="15" customHeight="1">
      <c r="A157" s="200">
        <v>26</v>
      </c>
      <c r="B157" s="179" t="s">
        <v>228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08"/>
      <c r="O157" s="2"/>
      <c r="AC157" s="8">
        <f t="shared" si="0"/>
        <v>25</v>
      </c>
    </row>
    <row r="158" spans="1:29" ht="15" customHeight="1">
      <c r="A158" s="200">
        <v>26</v>
      </c>
      <c r="B158" s="179" t="s">
        <v>224</v>
      </c>
      <c r="C158" s="31">
        <v>-20</v>
      </c>
      <c r="D158" s="31">
        <v>-10</v>
      </c>
      <c r="E158" s="31">
        <v>0</v>
      </c>
      <c r="F158" s="31">
        <v>10</v>
      </c>
      <c r="G158" s="31">
        <v>20</v>
      </c>
      <c r="H158" s="31">
        <v>30</v>
      </c>
      <c r="I158" s="31">
        <v>40</v>
      </c>
      <c r="J158" s="31">
        <v>50</v>
      </c>
      <c r="K158" s="31">
        <v>60</v>
      </c>
      <c r="L158" s="31">
        <v>70</v>
      </c>
      <c r="M158" s="31">
        <v>80</v>
      </c>
      <c r="N158" s="212">
        <v>90</v>
      </c>
      <c r="O158" s="2"/>
      <c r="AC158" s="8">
        <f t="shared" si="0"/>
        <v>25</v>
      </c>
    </row>
    <row r="159" spans="1:29" ht="15" customHeight="1">
      <c r="A159" s="200">
        <v>26</v>
      </c>
      <c r="B159" s="179" t="s">
        <v>225</v>
      </c>
      <c r="C159" s="31">
        <v>-20</v>
      </c>
      <c r="D159" s="31">
        <v>-10</v>
      </c>
      <c r="E159" s="31">
        <v>0</v>
      </c>
      <c r="F159" s="31">
        <v>10</v>
      </c>
      <c r="G159" s="31">
        <v>20</v>
      </c>
      <c r="H159" s="31">
        <v>30</v>
      </c>
      <c r="I159" s="31">
        <v>40</v>
      </c>
      <c r="J159" s="31">
        <v>50</v>
      </c>
      <c r="K159" s="31">
        <v>60</v>
      </c>
      <c r="L159" s="31">
        <v>70</v>
      </c>
      <c r="M159" s="31">
        <v>80</v>
      </c>
      <c r="N159" s="212">
        <v>90</v>
      </c>
      <c r="O159" s="2"/>
      <c r="AC159" s="8">
        <f t="shared" si="0"/>
        <v>25</v>
      </c>
    </row>
    <row r="160" spans="1:29" ht="15" customHeight="1">
      <c r="A160" s="200">
        <v>26</v>
      </c>
      <c r="B160" s="179" t="s">
        <v>226</v>
      </c>
      <c r="C160" s="31">
        <v>-20</v>
      </c>
      <c r="D160" s="31">
        <v>-10</v>
      </c>
      <c r="E160" s="31">
        <v>0</v>
      </c>
      <c r="F160" s="31">
        <v>10</v>
      </c>
      <c r="G160" s="31">
        <v>20</v>
      </c>
      <c r="H160" s="31">
        <v>30</v>
      </c>
      <c r="I160" s="31">
        <v>40</v>
      </c>
      <c r="J160" s="31">
        <v>50</v>
      </c>
      <c r="K160" s="31">
        <v>60</v>
      </c>
      <c r="L160" s="31">
        <v>70</v>
      </c>
      <c r="M160" s="31">
        <v>80</v>
      </c>
      <c r="N160" s="212">
        <v>90</v>
      </c>
      <c r="O160" s="2"/>
      <c r="AC160" s="8">
        <f t="shared" si="0"/>
        <v>25</v>
      </c>
    </row>
    <row r="161" spans="1:29" ht="15" customHeight="1">
      <c r="A161" s="200">
        <v>26</v>
      </c>
      <c r="B161" s="179" t="s">
        <v>227</v>
      </c>
      <c r="C161" s="31">
        <v>-20</v>
      </c>
      <c r="D161" s="31">
        <v>-10</v>
      </c>
      <c r="E161" s="31">
        <v>0</v>
      </c>
      <c r="F161" s="31">
        <v>10</v>
      </c>
      <c r="G161" s="31">
        <v>20</v>
      </c>
      <c r="H161" s="31">
        <v>30</v>
      </c>
      <c r="I161" s="31">
        <v>40</v>
      </c>
      <c r="J161" s="31">
        <v>50</v>
      </c>
      <c r="K161" s="31">
        <v>60</v>
      </c>
      <c r="L161" s="31">
        <v>70</v>
      </c>
      <c r="M161" s="31">
        <v>80</v>
      </c>
      <c r="N161" s="212">
        <v>90</v>
      </c>
      <c r="O161" s="2"/>
      <c r="AC161" s="8">
        <f t="shared" si="0"/>
        <v>25</v>
      </c>
    </row>
    <row r="162" spans="1:29" ht="15" customHeight="1">
      <c r="A162" s="200">
        <v>26</v>
      </c>
      <c r="B162" s="203" t="s">
        <v>229</v>
      </c>
      <c r="C162" s="31">
        <v>-20</v>
      </c>
      <c r="D162" s="31">
        <v>-10</v>
      </c>
      <c r="E162" s="31">
        <v>0</v>
      </c>
      <c r="F162" s="31">
        <v>10</v>
      </c>
      <c r="G162" s="31">
        <v>20</v>
      </c>
      <c r="H162" s="31">
        <v>30</v>
      </c>
      <c r="I162" s="31">
        <v>40</v>
      </c>
      <c r="J162" s="31">
        <v>50</v>
      </c>
      <c r="K162" s="31">
        <v>60</v>
      </c>
      <c r="L162" s="31">
        <v>70</v>
      </c>
      <c r="M162" s="31">
        <v>80</v>
      </c>
      <c r="N162" s="212">
        <v>90</v>
      </c>
      <c r="O162" s="2"/>
      <c r="AC162" s="8">
        <f t="shared" si="0"/>
        <v>25</v>
      </c>
    </row>
    <row r="163" spans="1:29" ht="15" customHeight="1">
      <c r="A163" s="177">
        <v>27</v>
      </c>
      <c r="B163" s="179">
        <v>1</v>
      </c>
      <c r="C163" s="199">
        <v>-25</v>
      </c>
      <c r="D163" s="199">
        <v>-12.5</v>
      </c>
      <c r="E163" s="199">
        <v>0</v>
      </c>
      <c r="F163" s="199">
        <v>12.5</v>
      </c>
      <c r="G163" s="199">
        <v>25</v>
      </c>
      <c r="H163" s="199">
        <v>37.5</v>
      </c>
      <c r="I163" s="199">
        <v>50</v>
      </c>
      <c r="J163" s="199">
        <v>62.5</v>
      </c>
      <c r="K163" s="199">
        <v>75</v>
      </c>
      <c r="L163" s="199">
        <v>87.5</v>
      </c>
      <c r="M163" s="199">
        <v>100</v>
      </c>
      <c r="N163" s="189">
        <v>112.5</v>
      </c>
      <c r="O163" s="2"/>
      <c r="AC163" s="8">
        <f t="shared" si="0"/>
        <v>26</v>
      </c>
    </row>
    <row r="164" spans="1:29" ht="15" customHeight="1">
      <c r="A164" s="174">
        <v>27</v>
      </c>
      <c r="B164" s="179">
        <v>2</v>
      </c>
      <c r="C164" s="12">
        <v>-25</v>
      </c>
      <c r="D164" s="12">
        <v>-12.5</v>
      </c>
      <c r="E164" s="12">
        <v>0</v>
      </c>
      <c r="F164" s="12">
        <v>12.5</v>
      </c>
      <c r="G164" s="12">
        <v>25</v>
      </c>
      <c r="H164" s="12">
        <v>37.5</v>
      </c>
      <c r="I164" s="12">
        <v>50</v>
      </c>
      <c r="J164" s="12">
        <v>62.5</v>
      </c>
      <c r="K164" s="12">
        <v>75</v>
      </c>
      <c r="L164" s="12">
        <v>87.5</v>
      </c>
      <c r="M164" s="12">
        <v>100</v>
      </c>
      <c r="N164" s="192">
        <v>112.5</v>
      </c>
      <c r="O164" s="2"/>
      <c r="AC164" s="8">
        <f t="shared" si="0"/>
        <v>26</v>
      </c>
    </row>
    <row r="165" spans="1:29" ht="15" customHeight="1">
      <c r="A165" s="174">
        <v>27</v>
      </c>
      <c r="B165" s="179">
        <v>3</v>
      </c>
      <c r="C165" s="12">
        <v>-25</v>
      </c>
      <c r="D165" s="12">
        <v>-12.5</v>
      </c>
      <c r="E165" s="12">
        <v>0</v>
      </c>
      <c r="F165" s="12">
        <v>12.5</v>
      </c>
      <c r="G165" s="12">
        <v>25</v>
      </c>
      <c r="H165" s="12">
        <v>37.5</v>
      </c>
      <c r="I165" s="12">
        <v>50</v>
      </c>
      <c r="J165" s="12">
        <v>62.5</v>
      </c>
      <c r="K165" s="12">
        <v>75</v>
      </c>
      <c r="L165" s="12">
        <v>87.5</v>
      </c>
      <c r="M165" s="12">
        <v>100</v>
      </c>
      <c r="N165" s="192">
        <v>112.5</v>
      </c>
      <c r="O165" s="2"/>
      <c r="AC165" s="8">
        <f t="shared" si="0"/>
        <v>26</v>
      </c>
    </row>
    <row r="166" spans="1:29" ht="15" customHeight="1">
      <c r="A166" s="175">
        <v>27</v>
      </c>
      <c r="B166" s="180">
        <v>4</v>
      </c>
      <c r="C166" s="24">
        <v>-25</v>
      </c>
      <c r="D166" s="24">
        <v>-12.5</v>
      </c>
      <c r="E166" s="24">
        <v>0</v>
      </c>
      <c r="F166" s="24">
        <v>12.5</v>
      </c>
      <c r="G166" s="24">
        <v>25</v>
      </c>
      <c r="H166" s="24">
        <v>37.5</v>
      </c>
      <c r="I166" s="24">
        <v>50</v>
      </c>
      <c r="J166" s="24">
        <v>62.5</v>
      </c>
      <c r="K166" s="24">
        <v>75</v>
      </c>
      <c r="L166" s="24">
        <v>87.5</v>
      </c>
      <c r="M166" s="24">
        <v>100</v>
      </c>
      <c r="N166" s="193">
        <v>112.5</v>
      </c>
      <c r="O166" s="2"/>
      <c r="AC166" s="8">
        <f t="shared" si="0"/>
        <v>26</v>
      </c>
    </row>
    <row r="167" spans="1:29" ht="15" customHeight="1">
      <c r="A167" s="201">
        <v>28</v>
      </c>
      <c r="B167" s="58">
        <v>1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AC167" s="8">
        <f t="shared" si="0"/>
        <v>27</v>
      </c>
    </row>
    <row r="168" spans="1:29" ht="15" customHeight="1">
      <c r="A168" s="200">
        <v>28</v>
      </c>
      <c r="B168" s="59">
        <v>2</v>
      </c>
      <c r="AC168" s="8">
        <f t="shared" si="0"/>
        <v>27</v>
      </c>
    </row>
    <row r="169" spans="1:29" ht="15" customHeight="1">
      <c r="A169" s="200">
        <v>28</v>
      </c>
      <c r="B169" s="59">
        <v>3</v>
      </c>
      <c r="AC169" s="8">
        <f t="shared" si="0"/>
        <v>27</v>
      </c>
    </row>
    <row r="170" spans="1:29" ht="15" customHeight="1">
      <c r="A170" s="200">
        <v>28</v>
      </c>
      <c r="B170" s="59">
        <v>4</v>
      </c>
      <c r="AC170" s="8">
        <f t="shared" si="0"/>
        <v>27</v>
      </c>
    </row>
    <row r="171" spans="1:29" ht="15" customHeight="1">
      <c r="A171" s="200">
        <v>28</v>
      </c>
      <c r="B171" s="59">
        <v>5</v>
      </c>
      <c r="AC171" s="8">
        <f t="shared" si="0"/>
        <v>27</v>
      </c>
    </row>
    <row r="172" spans="1:29" ht="15" customHeight="1">
      <c r="A172" s="200">
        <v>28</v>
      </c>
      <c r="B172" s="59">
        <v>6</v>
      </c>
      <c r="AC172" s="8">
        <f t="shared" si="0"/>
        <v>27</v>
      </c>
    </row>
    <row r="173" spans="1:29" ht="15" customHeight="1">
      <c r="A173" s="201">
        <v>29</v>
      </c>
      <c r="B173" s="58">
        <v>1</v>
      </c>
      <c r="AC173" s="8">
        <f t="shared" si="0"/>
        <v>28</v>
      </c>
    </row>
    <row r="174" spans="1:29" ht="15" customHeight="1">
      <c r="A174" s="200">
        <v>29</v>
      </c>
      <c r="B174" s="59">
        <v>2</v>
      </c>
      <c r="AC174" s="8">
        <f t="shared" si="0"/>
        <v>28</v>
      </c>
    </row>
    <row r="175" spans="1:29" ht="15" customHeight="1">
      <c r="A175" s="200">
        <v>29</v>
      </c>
      <c r="B175" s="59">
        <v>3</v>
      </c>
      <c r="AC175" s="8">
        <f t="shared" si="0"/>
        <v>28</v>
      </c>
    </row>
    <row r="176" spans="1:29" ht="15" customHeight="1">
      <c r="A176" s="200">
        <v>29</v>
      </c>
      <c r="B176" s="59">
        <v>4</v>
      </c>
      <c r="AC176" s="8">
        <f t="shared" si="0"/>
        <v>28</v>
      </c>
    </row>
    <row r="177" spans="1:29" ht="15" customHeight="1">
      <c r="A177" s="200">
        <v>29</v>
      </c>
      <c r="B177" s="59">
        <v>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AC177" s="8">
        <f t="shared" si="0"/>
        <v>28</v>
      </c>
    </row>
    <row r="178" spans="1:29" ht="15" customHeight="1">
      <c r="A178" s="177">
        <v>30</v>
      </c>
      <c r="B178" s="178">
        <v>1</v>
      </c>
      <c r="C178" s="199">
        <v>-25</v>
      </c>
      <c r="D178" s="199">
        <v>-12.5</v>
      </c>
      <c r="E178" s="199">
        <v>0</v>
      </c>
      <c r="F178" s="199">
        <v>12.5</v>
      </c>
      <c r="G178" s="199">
        <v>25</v>
      </c>
      <c r="H178" s="199">
        <v>37.5</v>
      </c>
      <c r="I178" s="199">
        <v>50</v>
      </c>
      <c r="J178" s="199">
        <v>62.5</v>
      </c>
      <c r="K178" s="199">
        <v>75</v>
      </c>
      <c r="L178" s="199">
        <v>87.5</v>
      </c>
      <c r="M178" s="199">
        <v>100</v>
      </c>
      <c r="N178" s="199">
        <v>112.5</v>
      </c>
      <c r="O178" s="189">
        <v>125</v>
      </c>
      <c r="P178" s="2"/>
      <c r="AC178" s="8">
        <f t="shared" si="0"/>
        <v>29</v>
      </c>
    </row>
    <row r="179" spans="1:29" ht="15" customHeight="1">
      <c r="A179" s="174">
        <v>30</v>
      </c>
      <c r="B179" s="179">
        <v>2</v>
      </c>
      <c r="C179" s="12">
        <v>-25</v>
      </c>
      <c r="D179" s="12">
        <v>-12.5</v>
      </c>
      <c r="E179" s="12">
        <v>0</v>
      </c>
      <c r="F179" s="12">
        <v>12.5</v>
      </c>
      <c r="G179" s="12">
        <v>25</v>
      </c>
      <c r="H179" s="12">
        <v>37.5</v>
      </c>
      <c r="I179" s="12">
        <v>50</v>
      </c>
      <c r="J179" s="12">
        <v>62.5</v>
      </c>
      <c r="K179" s="12">
        <v>75</v>
      </c>
      <c r="L179" s="12">
        <v>87.5</v>
      </c>
      <c r="M179" s="12">
        <v>100</v>
      </c>
      <c r="N179" s="12">
        <v>112.5</v>
      </c>
      <c r="O179" s="192">
        <v>125</v>
      </c>
      <c r="P179" s="2"/>
      <c r="AC179" s="8">
        <f t="shared" si="0"/>
        <v>29</v>
      </c>
    </row>
    <row r="180" spans="1:29" ht="15" customHeight="1">
      <c r="A180" s="175">
        <v>30</v>
      </c>
      <c r="B180" s="180">
        <v>3</v>
      </c>
      <c r="C180" s="24">
        <v>-25</v>
      </c>
      <c r="D180" s="24">
        <v>-12.5</v>
      </c>
      <c r="E180" s="24">
        <v>0</v>
      </c>
      <c r="F180" s="24">
        <v>12.5</v>
      </c>
      <c r="G180" s="24">
        <v>25</v>
      </c>
      <c r="H180" s="24">
        <v>37.5</v>
      </c>
      <c r="I180" s="24">
        <v>50</v>
      </c>
      <c r="J180" s="24">
        <v>62.5</v>
      </c>
      <c r="K180" s="24">
        <v>75</v>
      </c>
      <c r="L180" s="24">
        <v>87.5</v>
      </c>
      <c r="M180" s="24">
        <v>100</v>
      </c>
      <c r="N180" s="24">
        <v>112.5</v>
      </c>
      <c r="O180" s="193">
        <v>125</v>
      </c>
      <c r="P180" s="2"/>
      <c r="AC180" s="8">
        <f t="shared" si="0"/>
        <v>29</v>
      </c>
    </row>
    <row r="181" spans="1:29" ht="15" customHeight="1">
      <c r="A181" s="174">
        <v>31</v>
      </c>
      <c r="B181" s="179">
        <v>1</v>
      </c>
      <c r="C181" s="12">
        <v>30</v>
      </c>
      <c r="D181" s="12">
        <v>35</v>
      </c>
      <c r="E181" s="12">
        <v>40</v>
      </c>
      <c r="F181" s="12">
        <v>45</v>
      </c>
      <c r="G181" s="12">
        <v>50</v>
      </c>
      <c r="H181" s="12">
        <v>55</v>
      </c>
      <c r="I181" s="12">
        <v>60</v>
      </c>
      <c r="J181" s="12">
        <v>65</v>
      </c>
      <c r="K181" s="12">
        <v>70</v>
      </c>
      <c r="L181" s="192">
        <v>75</v>
      </c>
      <c r="M181" s="2"/>
      <c r="N181" s="2"/>
      <c r="O181" s="2"/>
      <c r="AC181" s="8">
        <f t="shared" si="0"/>
        <v>30</v>
      </c>
    </row>
    <row r="182" spans="1:29" ht="15" customHeight="1">
      <c r="A182" s="174">
        <v>31</v>
      </c>
      <c r="B182" s="179">
        <v>2</v>
      </c>
      <c r="C182" s="12">
        <v>30</v>
      </c>
      <c r="D182" s="12">
        <v>35</v>
      </c>
      <c r="E182" s="12">
        <v>40</v>
      </c>
      <c r="F182" s="12">
        <v>45</v>
      </c>
      <c r="G182" s="12">
        <v>50</v>
      </c>
      <c r="H182" s="12">
        <v>55</v>
      </c>
      <c r="I182" s="12">
        <v>60</v>
      </c>
      <c r="J182" s="12">
        <v>65</v>
      </c>
      <c r="K182" s="12">
        <v>70</v>
      </c>
      <c r="L182" s="192">
        <v>75</v>
      </c>
      <c r="M182" s="2"/>
      <c r="AC182" s="8">
        <f t="shared" si="0"/>
        <v>30</v>
      </c>
    </row>
    <row r="183" spans="1:29" ht="15" customHeight="1">
      <c r="A183" s="174">
        <v>31</v>
      </c>
      <c r="B183" s="179">
        <v>3</v>
      </c>
      <c r="C183" s="12">
        <v>30</v>
      </c>
      <c r="D183" s="12">
        <v>35</v>
      </c>
      <c r="E183" s="12">
        <v>40</v>
      </c>
      <c r="F183" s="12">
        <v>45</v>
      </c>
      <c r="G183" s="12">
        <v>50</v>
      </c>
      <c r="H183" s="12">
        <v>55</v>
      </c>
      <c r="I183" s="12">
        <v>60</v>
      </c>
      <c r="J183" s="12">
        <v>65</v>
      </c>
      <c r="K183" s="12">
        <v>70</v>
      </c>
      <c r="L183" s="192">
        <v>75</v>
      </c>
      <c r="M183" s="2"/>
      <c r="AC183" s="8">
        <f t="shared" si="0"/>
        <v>30</v>
      </c>
    </row>
    <row r="184" spans="1:29" ht="15" customHeight="1">
      <c r="A184" s="174">
        <v>31</v>
      </c>
      <c r="B184" s="179">
        <v>4</v>
      </c>
      <c r="C184" s="12">
        <v>30</v>
      </c>
      <c r="D184" s="12">
        <v>35</v>
      </c>
      <c r="E184" s="12">
        <v>40</v>
      </c>
      <c r="F184" s="12">
        <v>45</v>
      </c>
      <c r="G184" s="12">
        <v>50</v>
      </c>
      <c r="H184" s="12">
        <v>55</v>
      </c>
      <c r="I184" s="12">
        <v>60</v>
      </c>
      <c r="J184" s="12">
        <v>65</v>
      </c>
      <c r="K184" s="12">
        <v>70</v>
      </c>
      <c r="L184" s="192">
        <v>75</v>
      </c>
      <c r="M184" s="2"/>
      <c r="AC184" s="8">
        <f t="shared" si="0"/>
        <v>30</v>
      </c>
    </row>
    <row r="185" spans="1:29" ht="15" customHeight="1">
      <c r="A185" s="174">
        <v>31</v>
      </c>
      <c r="B185" s="179">
        <v>5</v>
      </c>
      <c r="C185" s="12">
        <v>30</v>
      </c>
      <c r="D185" s="12">
        <v>35</v>
      </c>
      <c r="E185" s="12">
        <v>40</v>
      </c>
      <c r="F185" s="12">
        <v>45</v>
      </c>
      <c r="G185" s="12">
        <v>50</v>
      </c>
      <c r="H185" s="12">
        <v>55</v>
      </c>
      <c r="I185" s="12">
        <v>60</v>
      </c>
      <c r="J185" s="12">
        <v>65</v>
      </c>
      <c r="K185" s="24">
        <v>70</v>
      </c>
      <c r="L185" s="193">
        <v>75</v>
      </c>
      <c r="M185" s="2"/>
      <c r="AC185" s="8">
        <f t="shared" si="0"/>
        <v>30</v>
      </c>
    </row>
    <row r="186" spans="1:29" ht="15" customHeight="1">
      <c r="A186" s="177">
        <v>32</v>
      </c>
      <c r="B186" s="178">
        <v>1</v>
      </c>
      <c r="C186" s="206"/>
      <c r="D186" s="206"/>
      <c r="E186" s="206"/>
      <c r="F186" s="206"/>
      <c r="G186" s="206"/>
      <c r="H186" s="206"/>
      <c r="I186" s="206"/>
      <c r="J186" s="207"/>
      <c r="K186" s="2"/>
      <c r="L186" s="2"/>
      <c r="AC186" s="8">
        <f t="shared" si="0"/>
        <v>31</v>
      </c>
    </row>
    <row r="187" spans="1:29" ht="15" customHeight="1">
      <c r="A187" s="175">
        <v>32</v>
      </c>
      <c r="B187" s="180">
        <v>2</v>
      </c>
      <c r="C187" s="26">
        <v>-75</v>
      </c>
      <c r="D187" s="26">
        <v>-50</v>
      </c>
      <c r="E187" s="26">
        <v>-25</v>
      </c>
      <c r="F187" s="26">
        <v>0</v>
      </c>
      <c r="G187" s="26">
        <v>25</v>
      </c>
      <c r="H187" s="26">
        <v>50</v>
      </c>
      <c r="I187" s="26">
        <v>75</v>
      </c>
      <c r="J187" s="204">
        <v>97.5</v>
      </c>
      <c r="K187" s="2"/>
      <c r="AC187" s="8">
        <f t="shared" si="0"/>
        <v>31</v>
      </c>
    </row>
    <row r="188" spans="1:29" ht="15" customHeight="1">
      <c r="A188" s="200">
        <v>33</v>
      </c>
      <c r="B188" s="179">
        <v>1</v>
      </c>
      <c r="C188" s="2"/>
      <c r="D188" s="2"/>
      <c r="E188" s="2"/>
      <c r="F188" s="2"/>
      <c r="G188" s="2"/>
      <c r="H188" s="2"/>
      <c r="I188" s="2"/>
      <c r="J188" s="2"/>
      <c r="AC188" s="8">
        <f t="shared" si="0"/>
        <v>32</v>
      </c>
    </row>
    <row r="189" spans="1:29" ht="15" customHeight="1">
      <c r="A189" s="200">
        <v>33</v>
      </c>
      <c r="B189" s="179">
        <v>2</v>
      </c>
      <c r="AC189" s="8">
        <f t="shared" si="0"/>
        <v>32</v>
      </c>
    </row>
    <row r="190" spans="1:29" ht="15" customHeight="1">
      <c r="A190" s="200">
        <v>33</v>
      </c>
      <c r="B190" s="179">
        <v>3</v>
      </c>
      <c r="AC190" s="8">
        <f t="shared" si="0"/>
        <v>32</v>
      </c>
    </row>
    <row r="191" spans="1:29" ht="15" customHeight="1">
      <c r="A191" s="202">
        <v>33</v>
      </c>
      <c r="B191" s="180">
        <v>4</v>
      </c>
      <c r="AC191" s="8">
        <f t="shared" si="0"/>
        <v>32</v>
      </c>
    </row>
    <row r="192" spans="1:29" ht="15" customHeight="1">
      <c r="A192" s="181">
        <v>34</v>
      </c>
      <c r="B192" s="178">
        <v>1</v>
      </c>
      <c r="AC192" s="8">
        <f t="shared" si="0"/>
        <v>33</v>
      </c>
    </row>
    <row r="193" spans="1:29" ht="15" customHeight="1">
      <c r="A193" s="182">
        <v>34</v>
      </c>
      <c r="B193" s="179">
        <v>2</v>
      </c>
      <c r="AC193" s="8">
        <f t="shared" si="0"/>
        <v>33</v>
      </c>
    </row>
    <row r="194" spans="1:29" ht="15" customHeight="1">
      <c r="A194" s="182">
        <v>34</v>
      </c>
      <c r="B194" s="179">
        <v>3</v>
      </c>
      <c r="AC194" s="8">
        <f t="shared" si="0"/>
        <v>33</v>
      </c>
    </row>
    <row r="195" spans="1:29" ht="15" customHeight="1">
      <c r="A195" s="183">
        <v>34</v>
      </c>
      <c r="B195" s="180">
        <v>4</v>
      </c>
      <c r="AC195" s="8">
        <f t="shared" si="0"/>
        <v>33</v>
      </c>
    </row>
    <row r="196" spans="1:29" ht="15" customHeight="1">
      <c r="A196" s="201">
        <v>35</v>
      </c>
      <c r="B196" s="58">
        <v>1</v>
      </c>
      <c r="AC196" s="8">
        <f t="shared" si="0"/>
        <v>34</v>
      </c>
    </row>
    <row r="197" spans="1:29" ht="15" customHeight="1">
      <c r="A197" s="200">
        <v>35</v>
      </c>
      <c r="B197" s="59">
        <v>2</v>
      </c>
      <c r="AC197" s="8">
        <f t="shared" si="0"/>
        <v>34</v>
      </c>
    </row>
    <row r="198" spans="1:29" ht="15" customHeight="1">
      <c r="A198" s="200">
        <v>35</v>
      </c>
      <c r="B198" s="59">
        <v>3</v>
      </c>
      <c r="AC198" s="8">
        <f t="shared" si="0"/>
        <v>34</v>
      </c>
    </row>
    <row r="199" spans="1:29" ht="15" customHeight="1">
      <c r="A199" s="200">
        <v>35</v>
      </c>
      <c r="B199" s="59">
        <v>4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AC199" s="8">
        <f t="shared" si="0"/>
        <v>34</v>
      </c>
    </row>
    <row r="200" spans="1:29" ht="15" customHeight="1">
      <c r="A200" s="177">
        <v>36</v>
      </c>
      <c r="B200" s="178">
        <v>1</v>
      </c>
      <c r="C200" s="199">
        <v>-30</v>
      </c>
      <c r="D200" s="199">
        <v>-15</v>
      </c>
      <c r="E200" s="199">
        <v>0</v>
      </c>
      <c r="F200" s="199">
        <v>15</v>
      </c>
      <c r="G200" s="199">
        <v>30</v>
      </c>
      <c r="H200" s="199">
        <v>45</v>
      </c>
      <c r="I200" s="199">
        <v>60</v>
      </c>
      <c r="J200" s="199">
        <v>75</v>
      </c>
      <c r="K200" s="199">
        <v>90</v>
      </c>
      <c r="L200" s="199">
        <v>105</v>
      </c>
      <c r="M200" s="199">
        <v>120</v>
      </c>
      <c r="N200" s="189">
        <v>135</v>
      </c>
      <c r="O200" s="2"/>
      <c r="AC200" s="8">
        <f t="shared" si="0"/>
        <v>35</v>
      </c>
    </row>
    <row r="201" spans="1:29" ht="15" customHeight="1">
      <c r="A201" s="174">
        <v>36</v>
      </c>
      <c r="B201" s="179">
        <v>2</v>
      </c>
      <c r="C201" s="12">
        <v>-30</v>
      </c>
      <c r="D201" s="12">
        <v>-15</v>
      </c>
      <c r="E201" s="12">
        <v>0</v>
      </c>
      <c r="F201" s="12">
        <v>15</v>
      </c>
      <c r="G201" s="12">
        <v>30</v>
      </c>
      <c r="H201" s="12">
        <v>45</v>
      </c>
      <c r="I201" s="12">
        <v>60</v>
      </c>
      <c r="J201" s="12">
        <v>75</v>
      </c>
      <c r="K201" s="12">
        <v>90</v>
      </c>
      <c r="L201" s="12">
        <v>105</v>
      </c>
      <c r="M201" s="12">
        <v>120</v>
      </c>
      <c r="N201" s="192">
        <v>135</v>
      </c>
      <c r="O201" s="2"/>
      <c r="AC201" s="8">
        <f t="shared" si="0"/>
        <v>35</v>
      </c>
    </row>
    <row r="202" spans="1:29" ht="15" customHeight="1">
      <c r="A202" s="174">
        <v>36</v>
      </c>
      <c r="B202" s="179">
        <v>3</v>
      </c>
      <c r="C202" s="12">
        <v>-30</v>
      </c>
      <c r="D202" s="12">
        <v>-15</v>
      </c>
      <c r="E202" s="12">
        <v>0</v>
      </c>
      <c r="F202" s="12">
        <v>15</v>
      </c>
      <c r="G202" s="12">
        <v>30</v>
      </c>
      <c r="H202" s="12">
        <v>45</v>
      </c>
      <c r="I202" s="12">
        <v>60</v>
      </c>
      <c r="J202" s="12">
        <v>75</v>
      </c>
      <c r="K202" s="12">
        <v>90</v>
      </c>
      <c r="L202" s="12">
        <v>105</v>
      </c>
      <c r="M202" s="12">
        <v>120</v>
      </c>
      <c r="N202" s="192">
        <v>135</v>
      </c>
      <c r="O202" s="2"/>
      <c r="AC202" s="8">
        <f t="shared" si="0"/>
        <v>35</v>
      </c>
    </row>
    <row r="203" spans="1:29" ht="15" customHeight="1">
      <c r="A203" s="175">
        <v>36</v>
      </c>
      <c r="B203" s="179">
        <v>4</v>
      </c>
      <c r="C203" s="24">
        <v>-30</v>
      </c>
      <c r="D203" s="24">
        <v>-15</v>
      </c>
      <c r="E203" s="24">
        <v>0</v>
      </c>
      <c r="F203" s="24">
        <v>15</v>
      </c>
      <c r="G203" s="24">
        <v>30</v>
      </c>
      <c r="H203" s="24">
        <v>45</v>
      </c>
      <c r="I203" s="24">
        <v>60</v>
      </c>
      <c r="J203" s="24">
        <v>75</v>
      </c>
      <c r="K203" s="24">
        <v>90</v>
      </c>
      <c r="L203" s="24">
        <v>105</v>
      </c>
      <c r="M203" s="24">
        <v>120</v>
      </c>
      <c r="N203" s="193">
        <v>135</v>
      </c>
      <c r="O203" s="2"/>
      <c r="AC203" s="8">
        <f t="shared" si="0"/>
        <v>35</v>
      </c>
    </row>
    <row r="204" spans="1:29" ht="15" customHeight="1">
      <c r="A204" s="205">
        <v>37</v>
      </c>
      <c r="B204" s="178">
        <v>1</v>
      </c>
      <c r="C204" s="12">
        <v>-12.5</v>
      </c>
      <c r="D204" s="12">
        <v>0</v>
      </c>
      <c r="E204" s="12">
        <v>12.5</v>
      </c>
      <c r="F204" s="12">
        <v>25</v>
      </c>
      <c r="G204" s="12">
        <v>37.5</v>
      </c>
      <c r="H204" s="12">
        <v>50</v>
      </c>
      <c r="I204" s="12">
        <v>62.5</v>
      </c>
      <c r="J204" s="12">
        <v>75</v>
      </c>
      <c r="K204" s="12">
        <v>87.5</v>
      </c>
      <c r="L204" s="12">
        <v>100</v>
      </c>
      <c r="M204" s="12">
        <v>112.5</v>
      </c>
      <c r="N204" s="12">
        <v>125</v>
      </c>
      <c r="O204" s="189">
        <v>137.5</v>
      </c>
      <c r="P204" s="2"/>
      <c r="AC204" s="8">
        <f t="shared" si="0"/>
        <v>36</v>
      </c>
    </row>
    <row r="205" spans="1:29" ht="15" customHeight="1">
      <c r="A205" s="205">
        <v>37</v>
      </c>
      <c r="B205" s="179">
        <v>2</v>
      </c>
      <c r="C205" s="12">
        <v>-12.5</v>
      </c>
      <c r="D205" s="12">
        <v>0</v>
      </c>
      <c r="E205" s="12">
        <v>12.5</v>
      </c>
      <c r="F205" s="12">
        <v>25</v>
      </c>
      <c r="G205" s="12">
        <v>37.5</v>
      </c>
      <c r="H205" s="12">
        <v>50</v>
      </c>
      <c r="I205" s="12">
        <v>62.5</v>
      </c>
      <c r="J205" s="12">
        <v>75</v>
      </c>
      <c r="K205" s="12">
        <v>87.5</v>
      </c>
      <c r="L205" s="12">
        <v>100</v>
      </c>
      <c r="M205" s="12">
        <v>112.5</v>
      </c>
      <c r="N205" s="12">
        <v>125</v>
      </c>
      <c r="O205" s="192">
        <v>137.5</v>
      </c>
      <c r="P205" s="2"/>
      <c r="AC205" s="8">
        <f t="shared" si="0"/>
        <v>36</v>
      </c>
    </row>
    <row r="206" spans="1:29" ht="15" customHeight="1">
      <c r="A206" s="205">
        <v>37</v>
      </c>
      <c r="B206" s="179">
        <v>3</v>
      </c>
      <c r="C206" s="12">
        <v>-12.5</v>
      </c>
      <c r="D206" s="12">
        <v>0</v>
      </c>
      <c r="E206" s="12">
        <v>12.5</v>
      </c>
      <c r="F206" s="12">
        <v>25</v>
      </c>
      <c r="G206" s="12">
        <v>37.5</v>
      </c>
      <c r="H206" s="12">
        <v>50</v>
      </c>
      <c r="I206" s="12">
        <v>62.5</v>
      </c>
      <c r="J206" s="12">
        <v>75</v>
      </c>
      <c r="K206" s="12">
        <v>87.5</v>
      </c>
      <c r="L206" s="12">
        <v>100</v>
      </c>
      <c r="M206" s="12">
        <v>112.5</v>
      </c>
      <c r="N206" s="12">
        <v>125</v>
      </c>
      <c r="O206" s="192">
        <v>137.5</v>
      </c>
      <c r="P206" s="2"/>
      <c r="AC206" s="8">
        <f t="shared" si="0"/>
        <v>36</v>
      </c>
    </row>
    <row r="207" spans="1:29" ht="15" customHeight="1">
      <c r="A207" s="205">
        <v>37</v>
      </c>
      <c r="B207" s="179">
        <v>4</v>
      </c>
      <c r="C207" s="12">
        <v>-12.5</v>
      </c>
      <c r="D207" s="12">
        <v>0</v>
      </c>
      <c r="E207" s="12">
        <v>12.5</v>
      </c>
      <c r="F207" s="12">
        <v>25</v>
      </c>
      <c r="G207" s="12">
        <v>37.5</v>
      </c>
      <c r="H207" s="12">
        <v>50</v>
      </c>
      <c r="I207" s="12">
        <v>62.5</v>
      </c>
      <c r="J207" s="12">
        <v>75</v>
      </c>
      <c r="K207" s="12">
        <v>87.5</v>
      </c>
      <c r="L207" s="12">
        <v>100</v>
      </c>
      <c r="M207" s="12">
        <v>112.5</v>
      </c>
      <c r="N207" s="12">
        <v>125</v>
      </c>
      <c r="O207" s="192">
        <v>137.5</v>
      </c>
      <c r="P207" s="2"/>
      <c r="AC207" s="8">
        <f t="shared" si="0"/>
        <v>36</v>
      </c>
    </row>
    <row r="208" spans="1:29" ht="15" customHeight="1">
      <c r="A208" s="205">
        <v>37</v>
      </c>
      <c r="B208" s="179">
        <v>5</v>
      </c>
      <c r="C208" s="12">
        <v>-12.5</v>
      </c>
      <c r="D208" s="12">
        <v>0</v>
      </c>
      <c r="E208" s="12">
        <v>12.5</v>
      </c>
      <c r="F208" s="12">
        <v>25</v>
      </c>
      <c r="G208" s="12">
        <v>37.5</v>
      </c>
      <c r="H208" s="12">
        <v>50</v>
      </c>
      <c r="I208" s="12">
        <v>62.5</v>
      </c>
      <c r="J208" s="12">
        <v>75</v>
      </c>
      <c r="K208" s="12">
        <v>87.5</v>
      </c>
      <c r="L208" s="12">
        <v>100</v>
      </c>
      <c r="M208" s="12">
        <v>112.5</v>
      </c>
      <c r="N208" s="12">
        <v>125</v>
      </c>
      <c r="O208" s="192">
        <v>137.5</v>
      </c>
      <c r="P208" s="2"/>
      <c r="AC208" s="8">
        <f t="shared" si="0"/>
        <v>36</v>
      </c>
    </row>
    <row r="209" spans="1:29" ht="15" customHeight="1">
      <c r="A209" s="205">
        <v>37</v>
      </c>
      <c r="B209" s="179">
        <v>6</v>
      </c>
      <c r="C209" s="12">
        <v>-12.5</v>
      </c>
      <c r="D209" s="12">
        <v>0</v>
      </c>
      <c r="E209" s="12">
        <v>12.5</v>
      </c>
      <c r="F209" s="12">
        <v>25</v>
      </c>
      <c r="G209" s="12">
        <v>37.5</v>
      </c>
      <c r="H209" s="12">
        <v>50</v>
      </c>
      <c r="I209" s="12">
        <v>62.5</v>
      </c>
      <c r="J209" s="12">
        <v>75</v>
      </c>
      <c r="K209" s="12">
        <v>87.5</v>
      </c>
      <c r="L209" s="12">
        <v>100</v>
      </c>
      <c r="M209" s="12">
        <v>112.5</v>
      </c>
      <c r="N209" s="12">
        <v>125</v>
      </c>
      <c r="O209" s="192">
        <v>137.5</v>
      </c>
      <c r="P209" s="2"/>
      <c r="AC209" s="8">
        <f t="shared" si="0"/>
        <v>36</v>
      </c>
    </row>
    <row r="210" spans="1:29" ht="15" customHeight="1">
      <c r="A210" s="213">
        <v>37</v>
      </c>
      <c r="B210" s="180">
        <v>7</v>
      </c>
      <c r="C210" s="24">
        <v>-12.5</v>
      </c>
      <c r="D210" s="24">
        <v>0</v>
      </c>
      <c r="E210" s="24">
        <v>12.5</v>
      </c>
      <c r="F210" s="24">
        <v>25</v>
      </c>
      <c r="G210" s="24">
        <v>37.5</v>
      </c>
      <c r="H210" s="24">
        <v>50</v>
      </c>
      <c r="I210" s="24">
        <v>62.5</v>
      </c>
      <c r="J210" s="24">
        <v>75</v>
      </c>
      <c r="K210" s="24">
        <v>87.5</v>
      </c>
      <c r="L210" s="24">
        <v>100</v>
      </c>
      <c r="M210" s="24">
        <v>112.5</v>
      </c>
      <c r="N210" s="24">
        <v>125</v>
      </c>
      <c r="O210" s="193">
        <v>137.5</v>
      </c>
      <c r="P210" s="2"/>
      <c r="AC210" s="8">
        <f t="shared" si="0"/>
        <v>36</v>
      </c>
    </row>
    <row r="211" spans="1:29" ht="15" customHeight="1">
      <c r="A211" s="201">
        <v>38</v>
      </c>
      <c r="B211" s="59">
        <v>1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AC211" s="8">
        <f t="shared" si="0"/>
        <v>37</v>
      </c>
    </row>
    <row r="212" spans="1:29" ht="15" customHeight="1">
      <c r="A212" s="200">
        <v>38</v>
      </c>
      <c r="B212" s="59">
        <v>2</v>
      </c>
      <c r="AC212" s="8">
        <f t="shared" si="0"/>
        <v>37</v>
      </c>
    </row>
    <row r="213" spans="1:29" ht="15" customHeight="1">
      <c r="A213" s="200">
        <v>38</v>
      </c>
      <c r="B213" s="59">
        <v>3</v>
      </c>
      <c r="AC213" s="8">
        <f t="shared" si="0"/>
        <v>37</v>
      </c>
    </row>
    <row r="214" spans="1:29" ht="15" customHeight="1">
      <c r="A214" s="200">
        <v>38</v>
      </c>
      <c r="B214" s="59">
        <v>4</v>
      </c>
      <c r="AC214" s="8">
        <f t="shared" si="0"/>
        <v>37</v>
      </c>
    </row>
    <row r="215" spans="1:29" ht="15" customHeight="1">
      <c r="A215" s="200">
        <v>38</v>
      </c>
      <c r="B215" s="59">
        <v>5</v>
      </c>
      <c r="AC215" s="8">
        <f t="shared" si="0"/>
        <v>37</v>
      </c>
    </row>
    <row r="216" spans="1:29" ht="15" customHeight="1">
      <c r="A216" s="200">
        <v>38</v>
      </c>
      <c r="B216" s="59">
        <v>6</v>
      </c>
      <c r="AC216" s="8">
        <f t="shared" si="0"/>
        <v>37</v>
      </c>
    </row>
    <row r="217" spans="1:29" ht="15" customHeight="1">
      <c r="A217" s="201">
        <v>39</v>
      </c>
      <c r="B217" s="58">
        <v>1</v>
      </c>
      <c r="AC217" s="8">
        <f t="shared" si="0"/>
        <v>38</v>
      </c>
    </row>
    <row r="218" spans="1:29" ht="15" customHeight="1">
      <c r="A218" s="200">
        <v>39</v>
      </c>
      <c r="B218" s="59">
        <v>2</v>
      </c>
      <c r="AC218" s="8">
        <f t="shared" si="0"/>
        <v>38</v>
      </c>
    </row>
    <row r="219" spans="1:29" ht="15" customHeight="1">
      <c r="A219" s="200">
        <v>39</v>
      </c>
      <c r="B219" s="59">
        <v>3</v>
      </c>
      <c r="AC219" s="8">
        <f t="shared" si="0"/>
        <v>38</v>
      </c>
    </row>
    <row r="220" spans="1:29" ht="15" customHeight="1">
      <c r="A220" s="200">
        <v>39</v>
      </c>
      <c r="B220" s="59">
        <v>4</v>
      </c>
      <c r="AC220" s="8">
        <f t="shared" si="0"/>
        <v>38</v>
      </c>
    </row>
    <row r="221" spans="1:29" ht="15" customHeight="1">
      <c r="A221" s="200">
        <v>39</v>
      </c>
      <c r="B221" s="59">
        <v>5</v>
      </c>
      <c r="AC221" s="8">
        <f t="shared" si="0"/>
        <v>38</v>
      </c>
    </row>
    <row r="222" spans="1:29" ht="15" customHeight="1">
      <c r="A222" s="200">
        <v>39</v>
      </c>
      <c r="B222" s="59">
        <v>6</v>
      </c>
      <c r="AC222" s="8">
        <f t="shared" si="0"/>
        <v>38</v>
      </c>
    </row>
    <row r="223" spans="1:29" ht="15" customHeight="1">
      <c r="A223" s="200">
        <v>39</v>
      </c>
      <c r="B223" s="59">
        <v>7</v>
      </c>
      <c r="AC223" s="8">
        <f t="shared" si="0"/>
        <v>38</v>
      </c>
    </row>
    <row r="224" spans="1:29" ht="15" customHeight="1">
      <c r="A224" s="200">
        <v>39</v>
      </c>
      <c r="B224" s="59">
        <v>8</v>
      </c>
      <c r="C224" s="2"/>
      <c r="D224" s="2"/>
      <c r="E224" s="2"/>
      <c r="F224" s="2"/>
      <c r="G224" s="2"/>
      <c r="H224" s="2"/>
      <c r="AC224" s="8">
        <f t="shared" si="0"/>
        <v>38</v>
      </c>
    </row>
    <row r="225" spans="1:29" ht="15" customHeight="1">
      <c r="A225" s="174">
        <v>41</v>
      </c>
      <c r="B225" s="179">
        <v>1</v>
      </c>
      <c r="C225" s="2"/>
      <c r="D225" s="2"/>
      <c r="E225" s="2"/>
      <c r="F225" s="2"/>
      <c r="G225" s="2"/>
      <c r="H225" s="2"/>
      <c r="AC225" s="8">
        <f t="shared" si="0"/>
        <v>40</v>
      </c>
    </row>
    <row r="226" spans="1:29" ht="15" customHeight="1">
      <c r="A226" s="174">
        <v>41</v>
      </c>
      <c r="B226" s="179">
        <v>2</v>
      </c>
      <c r="AC226" s="8">
        <f t="shared" si="0"/>
        <v>40</v>
      </c>
    </row>
    <row r="227" spans="1:29" ht="15" customHeight="1">
      <c r="A227" s="174">
        <v>41</v>
      </c>
      <c r="B227" s="179">
        <v>3</v>
      </c>
      <c r="AC227" s="8">
        <f t="shared" si="0"/>
        <v>40</v>
      </c>
    </row>
    <row r="228" spans="1:29" ht="15" customHeight="1">
      <c r="A228" s="174">
        <v>41</v>
      </c>
      <c r="B228" s="179">
        <v>4</v>
      </c>
      <c r="AC228" s="8">
        <f t="shared" si="0"/>
        <v>40</v>
      </c>
    </row>
    <row r="229" spans="1:29" ht="15" customHeight="1">
      <c r="A229" s="174">
        <v>41</v>
      </c>
      <c r="B229" s="179">
        <v>5</v>
      </c>
      <c r="AC229" s="8">
        <f t="shared" si="0"/>
        <v>40</v>
      </c>
    </row>
    <row r="230" spans="1:29" ht="15" customHeight="1">
      <c r="A230" s="174">
        <v>41</v>
      </c>
      <c r="B230" s="179">
        <v>6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AC230" s="8">
        <f t="shared" si="0"/>
        <v>40</v>
      </c>
    </row>
    <row r="231" spans="1:29" ht="15" customHeight="1">
      <c r="A231" s="177">
        <v>42</v>
      </c>
      <c r="B231" s="178" t="s">
        <v>220</v>
      </c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7"/>
      <c r="R231" s="2"/>
      <c r="AC231" s="8">
        <f t="shared" si="0"/>
        <v>41</v>
      </c>
    </row>
    <row r="232" spans="1:29" ht="15" customHeight="1">
      <c r="A232" s="174">
        <v>42</v>
      </c>
      <c r="B232" s="179" t="s">
        <v>221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08"/>
      <c r="R232" s="2"/>
      <c r="AC232" s="8">
        <f t="shared" si="0"/>
        <v>41</v>
      </c>
    </row>
    <row r="233" spans="1:29" ht="15" customHeight="1">
      <c r="A233" s="174">
        <v>42</v>
      </c>
      <c r="B233" s="179" t="s">
        <v>222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08"/>
      <c r="R233" s="2"/>
      <c r="AC233" s="8">
        <f t="shared" si="0"/>
        <v>41</v>
      </c>
    </row>
    <row r="234" spans="1:29" ht="15" customHeight="1">
      <c r="A234" s="174">
        <v>42</v>
      </c>
      <c r="B234" s="179" t="s">
        <v>224</v>
      </c>
      <c r="C234" s="2">
        <v>-25</v>
      </c>
      <c r="D234" s="2">
        <v>-12.5</v>
      </c>
      <c r="E234" s="2">
        <v>0</v>
      </c>
      <c r="F234" s="2">
        <v>12.5</v>
      </c>
      <c r="G234" s="2">
        <v>25</v>
      </c>
      <c r="H234" s="2">
        <v>37.5</v>
      </c>
      <c r="I234" s="2">
        <v>50</v>
      </c>
      <c r="J234" s="2">
        <v>62.5</v>
      </c>
      <c r="K234" s="2">
        <v>75</v>
      </c>
      <c r="L234" s="2">
        <v>87.5</v>
      </c>
      <c r="M234" s="2">
        <v>100</v>
      </c>
      <c r="N234" s="2">
        <v>112.5</v>
      </c>
      <c r="O234" s="2">
        <v>125</v>
      </c>
      <c r="P234" s="2">
        <v>137.5</v>
      </c>
      <c r="Q234" s="208">
        <v>150</v>
      </c>
      <c r="R234" s="2"/>
      <c r="AC234" s="8">
        <f t="shared" si="0"/>
        <v>41</v>
      </c>
    </row>
    <row r="235" spans="1:29" ht="15" customHeight="1">
      <c r="A235" s="174">
        <v>42</v>
      </c>
      <c r="B235" s="179" t="s">
        <v>225</v>
      </c>
      <c r="C235" s="2">
        <v>-25</v>
      </c>
      <c r="D235" s="2">
        <v>-12.5</v>
      </c>
      <c r="E235" s="2">
        <v>0</v>
      </c>
      <c r="F235" s="2">
        <v>12.5</v>
      </c>
      <c r="G235" s="2">
        <v>25</v>
      </c>
      <c r="H235" s="2">
        <v>37.5</v>
      </c>
      <c r="I235" s="2">
        <v>50</v>
      </c>
      <c r="J235" s="2">
        <v>62.5</v>
      </c>
      <c r="K235" s="2">
        <v>75</v>
      </c>
      <c r="L235" s="2">
        <v>87.5</v>
      </c>
      <c r="M235" s="2">
        <v>100</v>
      </c>
      <c r="N235" s="2">
        <v>112.5</v>
      </c>
      <c r="O235" s="2">
        <v>125</v>
      </c>
      <c r="P235" s="2">
        <v>137.5</v>
      </c>
      <c r="Q235" s="208">
        <v>150</v>
      </c>
      <c r="R235" s="2"/>
      <c r="AC235" s="8">
        <f t="shared" si="0"/>
        <v>41</v>
      </c>
    </row>
    <row r="236" spans="1:29" ht="15" customHeight="1">
      <c r="A236" s="175">
        <v>42</v>
      </c>
      <c r="B236" s="180" t="s">
        <v>226</v>
      </c>
      <c r="C236" s="30">
        <v>-25</v>
      </c>
      <c r="D236" s="30">
        <v>-12.5</v>
      </c>
      <c r="E236" s="30">
        <v>0</v>
      </c>
      <c r="F236" s="30">
        <v>12.5</v>
      </c>
      <c r="G236" s="30">
        <v>25</v>
      </c>
      <c r="H236" s="30">
        <v>37.5</v>
      </c>
      <c r="I236" s="30">
        <v>50</v>
      </c>
      <c r="J236" s="30">
        <v>62.5</v>
      </c>
      <c r="K236" s="30">
        <v>75</v>
      </c>
      <c r="L236" s="30">
        <v>87.5</v>
      </c>
      <c r="M236" s="30">
        <v>100</v>
      </c>
      <c r="N236" s="30">
        <v>112.5</v>
      </c>
      <c r="O236" s="30">
        <v>125</v>
      </c>
      <c r="P236" s="30">
        <v>137.5</v>
      </c>
      <c r="Q236" s="209">
        <v>150</v>
      </c>
      <c r="R236" s="2"/>
      <c r="AC236" s="8">
        <f t="shared" si="0"/>
        <v>41</v>
      </c>
    </row>
    <row r="237" spans="1:29" ht="15" customHeight="1">
      <c r="A237" s="201">
        <v>43</v>
      </c>
      <c r="B237" s="58">
        <v>1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AC237" s="8">
        <f t="shared" si="0"/>
        <v>42</v>
      </c>
    </row>
    <row r="238" spans="1:29" ht="15" customHeight="1">
      <c r="A238" s="200">
        <v>43</v>
      </c>
      <c r="B238" s="59">
        <v>2</v>
      </c>
      <c r="AC238" s="8">
        <f t="shared" si="0"/>
        <v>42</v>
      </c>
    </row>
    <row r="239" spans="1:29" ht="15" customHeight="1">
      <c r="A239" s="200">
        <v>43</v>
      </c>
      <c r="B239" s="59">
        <v>3</v>
      </c>
      <c r="C239" s="2"/>
      <c r="D239" s="2"/>
      <c r="E239" s="2"/>
      <c r="F239" s="2"/>
      <c r="G239" s="2"/>
      <c r="H239" s="2"/>
      <c r="I239" s="2"/>
      <c r="J239" s="2"/>
      <c r="AC239" s="8">
        <f t="shared" si="0"/>
        <v>42</v>
      </c>
    </row>
    <row r="240" spans="1:29" ht="15" customHeight="1">
      <c r="A240" s="201">
        <v>44</v>
      </c>
      <c r="B240" s="58" t="s">
        <v>220</v>
      </c>
      <c r="C240" s="206"/>
      <c r="D240" s="206"/>
      <c r="E240" s="206"/>
      <c r="F240" s="206"/>
      <c r="G240" s="206"/>
      <c r="H240" s="206"/>
      <c r="I240" s="206"/>
      <c r="J240" s="207"/>
      <c r="K240" s="2"/>
      <c r="AC240" s="8">
        <f t="shared" si="0"/>
        <v>43</v>
      </c>
    </row>
    <row r="241" spans="1:29" ht="15" customHeight="1">
      <c r="A241" s="200">
        <v>44</v>
      </c>
      <c r="B241" s="59" t="s">
        <v>221</v>
      </c>
      <c r="C241" s="2"/>
      <c r="D241" s="2"/>
      <c r="E241" s="2"/>
      <c r="F241" s="2"/>
      <c r="G241" s="2"/>
      <c r="H241" s="2"/>
      <c r="I241" s="2"/>
      <c r="J241" s="208"/>
      <c r="K241" s="2"/>
      <c r="AC241" s="8">
        <f t="shared" si="0"/>
        <v>43</v>
      </c>
    </row>
    <row r="242" spans="1:29" ht="15" customHeight="1">
      <c r="A242" s="200">
        <v>44</v>
      </c>
      <c r="B242" s="59" t="s">
        <v>222</v>
      </c>
      <c r="C242" s="2"/>
      <c r="D242" s="2"/>
      <c r="E242" s="2"/>
      <c r="F242" s="2"/>
      <c r="G242" s="2"/>
      <c r="H242" s="2"/>
      <c r="I242" s="2"/>
      <c r="J242" s="208"/>
      <c r="K242" s="2"/>
      <c r="AC242" s="8">
        <f t="shared" si="0"/>
        <v>43</v>
      </c>
    </row>
    <row r="243" spans="1:29" ht="15" customHeight="1">
      <c r="A243" s="200">
        <v>44</v>
      </c>
      <c r="B243" s="59" t="s">
        <v>223</v>
      </c>
      <c r="C243" s="2"/>
      <c r="D243" s="2"/>
      <c r="E243" s="2"/>
      <c r="F243" s="2"/>
      <c r="G243" s="2"/>
      <c r="H243" s="2"/>
      <c r="I243" s="2"/>
      <c r="J243" s="208"/>
      <c r="K243" s="2"/>
      <c r="AC243" s="8">
        <f t="shared" si="0"/>
        <v>43</v>
      </c>
    </row>
    <row r="244" spans="1:29" ht="15" customHeight="1">
      <c r="A244" s="200">
        <v>44</v>
      </c>
      <c r="B244" s="59" t="s">
        <v>228</v>
      </c>
      <c r="C244" s="2"/>
      <c r="D244" s="2"/>
      <c r="E244" s="2"/>
      <c r="F244" s="2"/>
      <c r="G244" s="2"/>
      <c r="H244" s="2"/>
      <c r="I244" s="2"/>
      <c r="J244" s="208"/>
      <c r="K244" s="2"/>
      <c r="AC244" s="8">
        <f t="shared" si="0"/>
        <v>43</v>
      </c>
    </row>
    <row r="245" spans="1:29" ht="15" customHeight="1">
      <c r="A245" s="200">
        <v>44</v>
      </c>
      <c r="B245" s="59" t="s">
        <v>224</v>
      </c>
      <c r="C245" s="2">
        <v>120</v>
      </c>
      <c r="D245" s="2">
        <v>130</v>
      </c>
      <c r="E245" s="2">
        <v>140</v>
      </c>
      <c r="F245" s="2">
        <v>150</v>
      </c>
      <c r="G245" s="2">
        <v>160</v>
      </c>
      <c r="H245" s="2">
        <v>170</v>
      </c>
      <c r="I245" s="2">
        <v>180</v>
      </c>
      <c r="J245" s="208">
        <v>190</v>
      </c>
      <c r="K245" s="2"/>
      <c r="AC245" s="8">
        <f t="shared" si="0"/>
        <v>43</v>
      </c>
    </row>
    <row r="246" spans="1:29" ht="15" customHeight="1">
      <c r="A246" s="200">
        <v>44</v>
      </c>
      <c r="B246" s="59" t="s">
        <v>225</v>
      </c>
      <c r="C246" s="2">
        <v>120</v>
      </c>
      <c r="D246" s="2">
        <v>130</v>
      </c>
      <c r="E246" s="2">
        <v>140</v>
      </c>
      <c r="F246" s="2">
        <v>150</v>
      </c>
      <c r="G246" s="2">
        <v>160</v>
      </c>
      <c r="H246" s="2">
        <v>170</v>
      </c>
      <c r="I246" s="2">
        <v>180</v>
      </c>
      <c r="J246" s="208">
        <v>190</v>
      </c>
      <c r="K246" s="2"/>
      <c r="AC246" s="8">
        <f t="shared" si="0"/>
        <v>43</v>
      </c>
    </row>
    <row r="247" spans="1:29" ht="15" customHeight="1">
      <c r="A247" s="200">
        <v>44</v>
      </c>
      <c r="B247" s="59" t="s">
        <v>226</v>
      </c>
      <c r="C247" s="2">
        <v>120</v>
      </c>
      <c r="D247" s="2">
        <v>130</v>
      </c>
      <c r="E247" s="2">
        <v>140</v>
      </c>
      <c r="F247" s="2">
        <v>150</v>
      </c>
      <c r="G247" s="2">
        <v>160</v>
      </c>
      <c r="H247" s="2">
        <v>170</v>
      </c>
      <c r="I247" s="2">
        <v>180</v>
      </c>
      <c r="J247" s="208">
        <v>190</v>
      </c>
      <c r="K247" s="2"/>
      <c r="AC247" s="8">
        <f t="shared" si="0"/>
        <v>43</v>
      </c>
    </row>
    <row r="248" spans="1:29" ht="15" customHeight="1">
      <c r="A248" s="200">
        <v>44</v>
      </c>
      <c r="B248" s="59" t="s">
        <v>227</v>
      </c>
      <c r="C248" s="2">
        <v>120</v>
      </c>
      <c r="D248" s="2">
        <v>130</v>
      </c>
      <c r="E248" s="2">
        <v>140</v>
      </c>
      <c r="F248" s="2">
        <v>150</v>
      </c>
      <c r="G248" s="2">
        <v>160</v>
      </c>
      <c r="H248" s="2">
        <v>170</v>
      </c>
      <c r="I248" s="2">
        <v>180</v>
      </c>
      <c r="J248" s="208">
        <v>190</v>
      </c>
      <c r="K248" s="2"/>
      <c r="AC248" s="8">
        <f t="shared" si="0"/>
        <v>43</v>
      </c>
    </row>
    <row r="249" spans="1:29" ht="15" customHeight="1">
      <c r="A249" s="202">
        <v>44</v>
      </c>
      <c r="B249" s="203" t="s">
        <v>229</v>
      </c>
      <c r="C249" s="30">
        <v>120</v>
      </c>
      <c r="D249" s="30">
        <v>130</v>
      </c>
      <c r="E249" s="30">
        <v>140</v>
      </c>
      <c r="F249" s="30">
        <v>150</v>
      </c>
      <c r="G249" s="30">
        <v>160</v>
      </c>
      <c r="H249" s="30">
        <v>170</v>
      </c>
      <c r="I249" s="30">
        <v>180</v>
      </c>
      <c r="J249" s="209">
        <v>190</v>
      </c>
      <c r="K249" s="2"/>
      <c r="L249" s="2"/>
      <c r="M249" s="2"/>
      <c r="N249" s="2"/>
      <c r="O249" s="2"/>
      <c r="P249" s="2"/>
      <c r="Q249" s="2"/>
      <c r="R249" s="2"/>
      <c r="AC249" s="8">
        <f t="shared" si="0"/>
        <v>43</v>
      </c>
    </row>
    <row r="250" spans="1:29" ht="15" customHeight="1">
      <c r="A250" s="174">
        <v>45</v>
      </c>
      <c r="B250" s="179" t="s">
        <v>220</v>
      </c>
      <c r="C250" s="2"/>
      <c r="D250" s="2"/>
      <c r="E250" s="2"/>
      <c r="F250" s="2"/>
      <c r="G250" s="2"/>
      <c r="H250" s="2"/>
      <c r="I250" s="2"/>
      <c r="J250" s="2"/>
      <c r="K250" s="206"/>
      <c r="L250" s="206"/>
      <c r="M250" s="206"/>
      <c r="N250" s="206"/>
      <c r="O250" s="206"/>
      <c r="P250" s="206"/>
      <c r="Q250" s="206"/>
      <c r="R250" s="207"/>
      <c r="S250" s="2"/>
      <c r="AC250" s="8">
        <f t="shared" si="0"/>
        <v>44</v>
      </c>
    </row>
    <row r="251" spans="1:29" ht="15" customHeight="1">
      <c r="A251" s="174">
        <v>45</v>
      </c>
      <c r="B251" s="179" t="s">
        <v>221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08"/>
      <c r="S251" s="2"/>
      <c r="AC251" s="8">
        <f t="shared" si="0"/>
        <v>44</v>
      </c>
    </row>
    <row r="252" spans="1:29" ht="15" customHeight="1">
      <c r="A252" s="174">
        <v>45</v>
      </c>
      <c r="B252" s="179" t="s">
        <v>222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08"/>
      <c r="S252" s="2"/>
      <c r="AC252" s="8">
        <f t="shared" si="0"/>
        <v>44</v>
      </c>
    </row>
    <row r="253" spans="1:29" ht="15" customHeight="1">
      <c r="A253" s="174">
        <v>45</v>
      </c>
      <c r="B253" s="179" t="s">
        <v>223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08"/>
      <c r="S253" s="2"/>
      <c r="AC253" s="8">
        <f t="shared" si="0"/>
        <v>44</v>
      </c>
    </row>
    <row r="254" spans="1:29" ht="15" customHeight="1">
      <c r="A254" s="174">
        <v>45</v>
      </c>
      <c r="B254" s="179" t="s">
        <v>224</v>
      </c>
      <c r="C254" s="2">
        <v>-50</v>
      </c>
      <c r="D254" s="2">
        <v>-37.5</v>
      </c>
      <c r="E254" s="2">
        <v>-25</v>
      </c>
      <c r="F254" s="2">
        <v>-12.5</v>
      </c>
      <c r="G254" s="2">
        <v>0</v>
      </c>
      <c r="H254" s="2">
        <v>12.5</v>
      </c>
      <c r="I254" s="2">
        <v>25</v>
      </c>
      <c r="J254" s="2">
        <v>37.5</v>
      </c>
      <c r="K254" s="2">
        <v>50</v>
      </c>
      <c r="L254" s="2">
        <v>62.5</v>
      </c>
      <c r="M254" s="2">
        <v>75</v>
      </c>
      <c r="N254" s="2">
        <v>87.5</v>
      </c>
      <c r="O254" s="2">
        <v>100</v>
      </c>
      <c r="P254" s="2">
        <v>112.5</v>
      </c>
      <c r="Q254" s="2">
        <v>125</v>
      </c>
      <c r="R254" s="208">
        <v>137.5</v>
      </c>
      <c r="S254" s="2"/>
      <c r="AC254" s="8">
        <f t="shared" si="0"/>
        <v>44</v>
      </c>
    </row>
    <row r="255" spans="1:29" ht="15" customHeight="1">
      <c r="A255" s="174">
        <v>45</v>
      </c>
      <c r="B255" s="179" t="s">
        <v>225</v>
      </c>
      <c r="C255" s="2">
        <v>-50</v>
      </c>
      <c r="D255" s="2">
        <v>-37.5</v>
      </c>
      <c r="E255" s="2">
        <v>-25</v>
      </c>
      <c r="F255" s="2">
        <v>-12.5</v>
      </c>
      <c r="G255" s="2">
        <v>0</v>
      </c>
      <c r="H255" s="2">
        <v>12.5</v>
      </c>
      <c r="I255" s="2">
        <v>25</v>
      </c>
      <c r="J255" s="2">
        <v>37.5</v>
      </c>
      <c r="K255" s="2">
        <v>50</v>
      </c>
      <c r="L255" s="2">
        <v>62.5</v>
      </c>
      <c r="M255" s="2">
        <v>75</v>
      </c>
      <c r="N255" s="2">
        <v>87.5</v>
      </c>
      <c r="O255" s="2">
        <v>100</v>
      </c>
      <c r="P255" s="2">
        <v>112.5</v>
      </c>
      <c r="Q255" s="2">
        <v>125</v>
      </c>
      <c r="R255" s="208">
        <v>137.5</v>
      </c>
      <c r="S255" s="2"/>
      <c r="AC255" s="8">
        <f t="shared" si="0"/>
        <v>44</v>
      </c>
    </row>
    <row r="256" spans="1:29" ht="15" customHeight="1">
      <c r="A256" s="174">
        <v>45</v>
      </c>
      <c r="B256" s="179" t="s">
        <v>226</v>
      </c>
      <c r="C256" s="2">
        <v>-50</v>
      </c>
      <c r="D256" s="2">
        <v>-37.5</v>
      </c>
      <c r="E256" s="2">
        <v>-25</v>
      </c>
      <c r="F256" s="2">
        <v>-12.5</v>
      </c>
      <c r="G256" s="2">
        <v>0</v>
      </c>
      <c r="H256" s="2">
        <v>12.5</v>
      </c>
      <c r="I256" s="2">
        <v>25</v>
      </c>
      <c r="J256" s="2">
        <v>37.5</v>
      </c>
      <c r="K256" s="2">
        <v>50</v>
      </c>
      <c r="L256" s="2">
        <v>62.5</v>
      </c>
      <c r="M256" s="2">
        <v>75</v>
      </c>
      <c r="N256" s="2">
        <v>87.5</v>
      </c>
      <c r="O256" s="2">
        <v>100</v>
      </c>
      <c r="P256" s="2">
        <v>112.5</v>
      </c>
      <c r="Q256" s="2">
        <v>125</v>
      </c>
      <c r="R256" s="208">
        <v>137.5</v>
      </c>
      <c r="S256" s="2"/>
      <c r="AC256" s="8">
        <f t="shared" si="0"/>
        <v>44</v>
      </c>
    </row>
    <row r="257" spans="1:29" ht="15" customHeight="1">
      <c r="A257" s="175">
        <v>45</v>
      </c>
      <c r="B257" s="180" t="s">
        <v>227</v>
      </c>
      <c r="C257" s="30">
        <v>-50</v>
      </c>
      <c r="D257" s="30">
        <v>-37.5</v>
      </c>
      <c r="E257" s="30">
        <v>-25</v>
      </c>
      <c r="F257" s="30">
        <v>-12.5</v>
      </c>
      <c r="G257" s="30">
        <v>0</v>
      </c>
      <c r="H257" s="30">
        <v>12.5</v>
      </c>
      <c r="I257" s="30">
        <v>25</v>
      </c>
      <c r="J257" s="30">
        <v>37.5</v>
      </c>
      <c r="K257" s="30">
        <v>50</v>
      </c>
      <c r="L257" s="30">
        <v>62.5</v>
      </c>
      <c r="M257" s="30">
        <v>75</v>
      </c>
      <c r="N257" s="30">
        <v>87.5</v>
      </c>
      <c r="O257" s="30">
        <v>100</v>
      </c>
      <c r="P257" s="30">
        <v>112.5</v>
      </c>
      <c r="Q257" s="30">
        <v>125</v>
      </c>
      <c r="R257" s="209">
        <v>137.5</v>
      </c>
      <c r="S257" s="2"/>
      <c r="AC257" s="8">
        <f t="shared" si="0"/>
        <v>44</v>
      </c>
    </row>
    <row r="258" spans="1:29" ht="15" customHeight="1">
      <c r="A258" s="177">
        <v>46</v>
      </c>
      <c r="B258" s="178">
        <v>1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AC258" s="8">
        <f t="shared" si="0"/>
        <v>45</v>
      </c>
    </row>
    <row r="259" spans="1:29" ht="15" customHeight="1">
      <c r="A259" s="174">
        <v>46</v>
      </c>
      <c r="B259" s="179">
        <v>2</v>
      </c>
      <c r="AC259" s="8">
        <f t="shared" si="0"/>
        <v>45</v>
      </c>
    </row>
    <row r="260" spans="1:29" ht="15" customHeight="1">
      <c r="A260" s="174">
        <v>46</v>
      </c>
      <c r="B260" s="179">
        <v>3</v>
      </c>
      <c r="AC260" s="8">
        <f t="shared" si="0"/>
        <v>45</v>
      </c>
    </row>
    <row r="261" spans="1:29" ht="15" customHeight="1">
      <c r="A261" s="174">
        <v>46</v>
      </c>
      <c r="B261" s="179">
        <v>4</v>
      </c>
      <c r="AC261" s="8">
        <f t="shared" si="0"/>
        <v>45</v>
      </c>
    </row>
    <row r="262" spans="1:29" ht="15" customHeight="1">
      <c r="A262" s="174">
        <v>46</v>
      </c>
      <c r="B262" s="179">
        <v>5</v>
      </c>
      <c r="AC262" s="8">
        <f t="shared" si="0"/>
        <v>45</v>
      </c>
    </row>
    <row r="263" spans="1:29" ht="15" customHeight="1">
      <c r="A263" s="174">
        <v>46</v>
      </c>
      <c r="B263" s="179">
        <v>6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AC263" s="8">
        <f t="shared" si="0"/>
        <v>45</v>
      </c>
    </row>
    <row r="264" spans="1:29" ht="15" customHeight="1">
      <c r="A264" s="177">
        <v>47</v>
      </c>
      <c r="B264" s="178" t="s">
        <v>220</v>
      </c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7"/>
      <c r="P264" s="2"/>
      <c r="AC264" s="8">
        <f t="shared" si="0"/>
        <v>46</v>
      </c>
    </row>
    <row r="265" spans="1:29" ht="15" customHeight="1">
      <c r="A265" s="174">
        <v>47</v>
      </c>
      <c r="B265" s="179">
        <v>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08"/>
      <c r="P265" s="2"/>
      <c r="AC265" s="8">
        <f t="shared" si="0"/>
        <v>46</v>
      </c>
    </row>
    <row r="266" spans="1:29" ht="15" customHeight="1">
      <c r="A266" s="174">
        <v>47</v>
      </c>
      <c r="B266" s="179">
        <v>3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08"/>
      <c r="P266" s="2"/>
      <c r="AC266" s="8">
        <f t="shared" si="0"/>
        <v>46</v>
      </c>
    </row>
    <row r="267" spans="1:29" ht="15" customHeight="1">
      <c r="A267" s="174">
        <v>47</v>
      </c>
      <c r="B267" s="179" t="s">
        <v>223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08"/>
      <c r="P267" s="2"/>
      <c r="AC267" s="8">
        <f t="shared" si="0"/>
        <v>46</v>
      </c>
    </row>
    <row r="268" spans="1:29" ht="15" customHeight="1">
      <c r="A268" s="174">
        <v>47</v>
      </c>
      <c r="B268" s="179">
        <v>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08"/>
      <c r="P268" s="2"/>
      <c r="AC268" s="8">
        <f t="shared" si="0"/>
        <v>46</v>
      </c>
    </row>
    <row r="269" spans="1:29" ht="15" customHeight="1">
      <c r="A269" s="174">
        <v>47</v>
      </c>
      <c r="B269" s="179" t="s">
        <v>224</v>
      </c>
      <c r="C269" s="12">
        <v>-70</v>
      </c>
      <c r="D269" s="12">
        <v>-55</v>
      </c>
      <c r="E269" s="12">
        <v>-40</v>
      </c>
      <c r="F269" s="12">
        <v>-25</v>
      </c>
      <c r="G269" s="12">
        <v>-10</v>
      </c>
      <c r="H269" s="12">
        <v>5</v>
      </c>
      <c r="I269" s="12">
        <v>20</v>
      </c>
      <c r="J269" s="12">
        <v>35</v>
      </c>
      <c r="K269" s="12">
        <v>50</v>
      </c>
      <c r="L269" s="12">
        <v>65</v>
      </c>
      <c r="M269" s="12">
        <v>80</v>
      </c>
      <c r="N269" s="12">
        <v>95</v>
      </c>
      <c r="O269" s="192">
        <v>110</v>
      </c>
      <c r="P269" s="2"/>
      <c r="AC269" s="8">
        <f t="shared" si="0"/>
        <v>46</v>
      </c>
    </row>
    <row r="270" spans="1:29" ht="15" customHeight="1">
      <c r="A270" s="175">
        <v>47</v>
      </c>
      <c r="B270" s="180" t="s">
        <v>227</v>
      </c>
      <c r="C270" s="24">
        <v>-70</v>
      </c>
      <c r="D270" s="24">
        <v>-55</v>
      </c>
      <c r="E270" s="24">
        <v>-40</v>
      </c>
      <c r="F270" s="24">
        <v>-25</v>
      </c>
      <c r="G270" s="24">
        <v>-10</v>
      </c>
      <c r="H270" s="24">
        <v>5</v>
      </c>
      <c r="I270" s="24">
        <v>20</v>
      </c>
      <c r="J270" s="24">
        <v>35</v>
      </c>
      <c r="K270" s="24">
        <v>50</v>
      </c>
      <c r="L270" s="24">
        <v>65</v>
      </c>
      <c r="M270" s="24">
        <v>80</v>
      </c>
      <c r="N270" s="24">
        <v>95</v>
      </c>
      <c r="O270" s="193">
        <v>110</v>
      </c>
      <c r="P270" s="2"/>
      <c r="AC270" s="8">
        <f t="shared" si="0"/>
        <v>46</v>
      </c>
    </row>
    <row r="271" spans="1:29" ht="15" customHeight="1">
      <c r="A271" s="177">
        <v>48</v>
      </c>
      <c r="B271" s="178">
        <v>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AC271" s="8">
        <f t="shared" si="0"/>
        <v>47</v>
      </c>
    </row>
    <row r="272" spans="1:29" ht="15" customHeight="1">
      <c r="A272" s="174">
        <v>48</v>
      </c>
      <c r="B272" s="179">
        <v>2</v>
      </c>
      <c r="AC272" s="8">
        <f t="shared" si="0"/>
        <v>47</v>
      </c>
    </row>
    <row r="273" spans="1:29" ht="15" customHeight="1">
      <c r="A273" s="174">
        <v>48</v>
      </c>
      <c r="B273" s="179">
        <v>3</v>
      </c>
      <c r="AC273" s="8">
        <f t="shared" si="0"/>
        <v>47</v>
      </c>
    </row>
    <row r="274" spans="1:29" ht="15" customHeight="1">
      <c r="A274" s="174">
        <v>48</v>
      </c>
      <c r="B274" s="179">
        <v>4</v>
      </c>
      <c r="AC274" s="8">
        <f t="shared" si="0"/>
        <v>47</v>
      </c>
    </row>
    <row r="275" spans="1:29" ht="15" customHeight="1">
      <c r="A275" s="174">
        <v>48</v>
      </c>
      <c r="B275" s="179">
        <v>5</v>
      </c>
      <c r="AC275" s="8">
        <f t="shared" si="0"/>
        <v>47</v>
      </c>
    </row>
    <row r="276" spans="1:29" ht="15" customHeight="1">
      <c r="A276" s="174">
        <v>48</v>
      </c>
      <c r="B276" s="179">
        <v>6</v>
      </c>
      <c r="AC276" s="8">
        <f t="shared" si="0"/>
        <v>47</v>
      </c>
    </row>
    <row r="277" spans="1:29" ht="15" customHeight="1">
      <c r="A277" s="174">
        <v>48</v>
      </c>
      <c r="B277" s="179">
        <v>7</v>
      </c>
      <c r="AC277" s="8">
        <f t="shared" si="0"/>
        <v>47</v>
      </c>
    </row>
    <row r="278" spans="1:29" ht="15" customHeight="1">
      <c r="A278" s="174">
        <v>48</v>
      </c>
      <c r="B278" s="179">
        <v>8</v>
      </c>
      <c r="AC278" s="8">
        <f t="shared" si="0"/>
        <v>47</v>
      </c>
    </row>
    <row r="279" spans="1:29" ht="15" customHeight="1">
      <c r="A279" s="174">
        <v>48</v>
      </c>
      <c r="B279" s="179">
        <v>9</v>
      </c>
      <c r="AC279" s="8">
        <f t="shared" si="0"/>
        <v>47</v>
      </c>
    </row>
    <row r="280" spans="1:29" ht="15" customHeight="1">
      <c r="A280" s="174">
        <v>48</v>
      </c>
      <c r="B280" s="179">
        <v>10</v>
      </c>
      <c r="AC280" s="8">
        <f t="shared" si="0"/>
        <v>47</v>
      </c>
    </row>
    <row r="281" spans="1:29" ht="15" customHeight="1">
      <c r="A281" s="174">
        <v>48</v>
      </c>
      <c r="B281" s="179">
        <v>11</v>
      </c>
      <c r="AC281" s="8">
        <f t="shared" si="0"/>
        <v>47</v>
      </c>
    </row>
    <row r="282" spans="1:29" ht="15" customHeight="1">
      <c r="A282" s="174">
        <v>48</v>
      </c>
      <c r="B282" s="179">
        <v>12</v>
      </c>
      <c r="AC282" s="8">
        <f t="shared" si="0"/>
        <v>47</v>
      </c>
    </row>
    <row r="283" spans="1:29" ht="15" customHeight="1">
      <c r="A283" s="201">
        <v>49</v>
      </c>
      <c r="B283" s="58">
        <v>1</v>
      </c>
      <c r="AC283" s="8">
        <f t="shared" si="0"/>
        <v>48</v>
      </c>
    </row>
    <row r="284" spans="1:29" ht="15" customHeight="1">
      <c r="A284" s="200">
        <v>49</v>
      </c>
      <c r="B284" s="59">
        <v>2</v>
      </c>
      <c r="AC284" s="8">
        <f t="shared" si="0"/>
        <v>48</v>
      </c>
    </row>
    <row r="285" spans="1:29" ht="15" customHeight="1">
      <c r="A285" s="200">
        <v>49</v>
      </c>
      <c r="B285" s="59">
        <v>3</v>
      </c>
      <c r="AC285" s="8">
        <f t="shared" si="0"/>
        <v>48</v>
      </c>
    </row>
    <row r="286" spans="1:29" ht="15" customHeight="1">
      <c r="A286" s="201">
        <v>50</v>
      </c>
      <c r="B286" s="58">
        <v>1</v>
      </c>
      <c r="C286" s="194">
        <v>-19.765999999999998</v>
      </c>
      <c r="D286" s="194">
        <v>-13.808</v>
      </c>
      <c r="E286" s="194">
        <v>-7.0330000000000004</v>
      </c>
      <c r="F286" s="194">
        <v>-0.374</v>
      </c>
      <c r="G286" s="194">
        <v>5.8179999999999996</v>
      </c>
      <c r="H286" s="194">
        <v>13.061</v>
      </c>
      <c r="I286" s="194">
        <v>19.135999999999999</v>
      </c>
      <c r="J286" s="194">
        <v>24.86</v>
      </c>
      <c r="K286" s="194">
        <v>31.751999999999999</v>
      </c>
      <c r="L286" s="194">
        <v>38.878999999999998</v>
      </c>
      <c r="M286" s="194">
        <v>46.354999999999997</v>
      </c>
      <c r="N286" s="194">
        <v>51.963000000000001</v>
      </c>
      <c r="O286" s="194">
        <v>58.154000000000003</v>
      </c>
      <c r="P286" s="194">
        <v>63.994999999999997</v>
      </c>
      <c r="Q286" s="194">
        <v>70.186999999999998</v>
      </c>
      <c r="R286" s="197">
        <v>78.131</v>
      </c>
      <c r="S286" s="2"/>
      <c r="AC286" s="8">
        <f t="shared" ref="AC286:AC337" si="1">A286 - 1</f>
        <v>49</v>
      </c>
    </row>
    <row r="287" spans="1:29" ht="15" customHeight="1">
      <c r="A287" s="200">
        <v>50</v>
      </c>
      <c r="B287" s="59">
        <v>2</v>
      </c>
      <c r="C287" s="20">
        <v>-19.765999999999998</v>
      </c>
      <c r="D287" s="20">
        <v>-13.808</v>
      </c>
      <c r="E287" s="20">
        <v>-7.0330000000000004</v>
      </c>
      <c r="F287" s="20">
        <v>-0.374</v>
      </c>
      <c r="G287" s="20">
        <v>5.8179999999999996</v>
      </c>
      <c r="H287" s="20">
        <v>13.061</v>
      </c>
      <c r="I287" s="20">
        <v>19.135999999999999</v>
      </c>
      <c r="J287" s="20">
        <v>24.86</v>
      </c>
      <c r="K287" s="20">
        <v>31.751999999999999</v>
      </c>
      <c r="L287" s="20">
        <v>38.878999999999998</v>
      </c>
      <c r="M287" s="20">
        <v>46.354999999999997</v>
      </c>
      <c r="N287" s="20">
        <v>51.963000000000001</v>
      </c>
      <c r="O287" s="20">
        <v>58.154000000000003</v>
      </c>
      <c r="P287" s="20">
        <v>63.994999999999997</v>
      </c>
      <c r="Q287" s="20">
        <v>70.186999999999998</v>
      </c>
      <c r="R287" s="198">
        <v>78.131</v>
      </c>
      <c r="S287" s="2"/>
      <c r="AC287" s="8">
        <f t="shared" si="1"/>
        <v>49</v>
      </c>
    </row>
    <row r="288" spans="1:29" ht="15" customHeight="1">
      <c r="A288" s="200">
        <v>50</v>
      </c>
      <c r="B288" s="59">
        <v>3</v>
      </c>
      <c r="C288" s="20">
        <v>-19.765999999999998</v>
      </c>
      <c r="D288" s="20">
        <v>-13.808</v>
      </c>
      <c r="E288" s="20">
        <v>-7.0330000000000004</v>
      </c>
      <c r="F288" s="20">
        <v>-0.374</v>
      </c>
      <c r="G288" s="20">
        <v>5.8179999999999996</v>
      </c>
      <c r="H288" s="20">
        <v>13.061</v>
      </c>
      <c r="I288" s="20">
        <v>19.135999999999999</v>
      </c>
      <c r="J288" s="20">
        <v>24.86</v>
      </c>
      <c r="K288" s="20">
        <v>31.751999999999999</v>
      </c>
      <c r="L288" s="20">
        <v>38.878999999999998</v>
      </c>
      <c r="M288" s="20">
        <v>46.354999999999997</v>
      </c>
      <c r="N288" s="20">
        <v>51.963000000000001</v>
      </c>
      <c r="O288" s="20">
        <v>58.154000000000003</v>
      </c>
      <c r="P288" s="20">
        <v>63.994999999999997</v>
      </c>
      <c r="Q288" s="20">
        <v>70.186999999999998</v>
      </c>
      <c r="R288" s="198">
        <v>78.131</v>
      </c>
      <c r="S288" s="2"/>
      <c r="AC288" s="8">
        <f t="shared" si="1"/>
        <v>49</v>
      </c>
    </row>
    <row r="289" spans="1:29" ht="15" customHeight="1">
      <c r="A289" s="202">
        <v>50</v>
      </c>
      <c r="B289" s="203">
        <v>4</v>
      </c>
      <c r="C289" s="26">
        <v>-19.765999999999998</v>
      </c>
      <c r="D289" s="26">
        <v>-13.808</v>
      </c>
      <c r="E289" s="26">
        <v>-7.0330000000000004</v>
      </c>
      <c r="F289" s="26">
        <v>-0.374</v>
      </c>
      <c r="G289" s="26">
        <v>5.8179999999999996</v>
      </c>
      <c r="H289" s="26">
        <v>13.061</v>
      </c>
      <c r="I289" s="26">
        <v>19.135999999999999</v>
      </c>
      <c r="J289" s="26">
        <v>24.86</v>
      </c>
      <c r="K289" s="26">
        <v>31.751999999999999</v>
      </c>
      <c r="L289" s="26">
        <v>38.878999999999998</v>
      </c>
      <c r="M289" s="26">
        <v>46.354999999999997</v>
      </c>
      <c r="N289" s="26">
        <v>51.963000000000001</v>
      </c>
      <c r="O289" s="26">
        <v>58.154000000000003</v>
      </c>
      <c r="P289" s="26">
        <v>63.994999999999997</v>
      </c>
      <c r="Q289" s="26">
        <v>70.186999999999998</v>
      </c>
      <c r="R289" s="204">
        <v>78.131</v>
      </c>
      <c r="S289" s="2"/>
      <c r="AC289" s="8">
        <f t="shared" si="1"/>
        <v>49</v>
      </c>
    </row>
    <row r="290" spans="1:29" ht="15" customHeight="1">
      <c r="A290" s="200">
        <v>51</v>
      </c>
      <c r="B290" s="59">
        <v>1</v>
      </c>
      <c r="C290" s="20">
        <v>-50</v>
      </c>
      <c r="D290" s="20">
        <v>-25</v>
      </c>
      <c r="E290" s="20">
        <f t="shared" ref="E290:E296" si="2">-F290</f>
        <v>-25</v>
      </c>
      <c r="F290" s="20">
        <v>25</v>
      </c>
      <c r="G290" s="20">
        <v>50</v>
      </c>
      <c r="H290" s="20">
        <v>75</v>
      </c>
      <c r="I290" s="198">
        <v>100</v>
      </c>
      <c r="J290" s="2"/>
      <c r="K290" s="2"/>
      <c r="L290" s="2"/>
      <c r="M290" s="2"/>
      <c r="N290" s="2"/>
      <c r="O290" s="2"/>
      <c r="P290" s="2"/>
      <c r="Q290" s="2"/>
      <c r="R290" s="2"/>
      <c r="AC290" s="8">
        <f t="shared" si="1"/>
        <v>50</v>
      </c>
    </row>
    <row r="291" spans="1:29" ht="15" customHeight="1">
      <c r="A291" s="200">
        <v>51</v>
      </c>
      <c r="B291" s="59">
        <v>2</v>
      </c>
      <c r="C291" s="20">
        <v>-50</v>
      </c>
      <c r="D291" s="20">
        <v>-25</v>
      </c>
      <c r="E291" s="20">
        <f t="shared" si="2"/>
        <v>-25</v>
      </c>
      <c r="F291" s="20">
        <v>25</v>
      </c>
      <c r="G291" s="20">
        <v>50</v>
      </c>
      <c r="H291" s="20">
        <v>75</v>
      </c>
      <c r="I291" s="198">
        <v>100</v>
      </c>
      <c r="J291" s="2"/>
      <c r="AC291" s="8">
        <f t="shared" si="1"/>
        <v>50</v>
      </c>
    </row>
    <row r="292" spans="1:29" ht="15" customHeight="1">
      <c r="A292" s="200">
        <v>51</v>
      </c>
      <c r="B292" s="59">
        <v>3</v>
      </c>
      <c r="C292" s="20">
        <v>-50</v>
      </c>
      <c r="D292" s="20">
        <v>-25</v>
      </c>
      <c r="E292" s="20">
        <f t="shared" si="2"/>
        <v>-25</v>
      </c>
      <c r="F292" s="20">
        <v>25</v>
      </c>
      <c r="G292" s="20">
        <v>50</v>
      </c>
      <c r="H292" s="20">
        <v>75</v>
      </c>
      <c r="I292" s="198">
        <v>100</v>
      </c>
      <c r="J292" s="2"/>
      <c r="AC292" s="8">
        <f t="shared" si="1"/>
        <v>50</v>
      </c>
    </row>
    <row r="293" spans="1:29" ht="15" customHeight="1">
      <c r="A293" s="200">
        <v>51</v>
      </c>
      <c r="B293" s="59">
        <v>4</v>
      </c>
      <c r="C293" s="20">
        <v>-50</v>
      </c>
      <c r="D293" s="20">
        <v>-25</v>
      </c>
      <c r="E293" s="20">
        <f t="shared" si="2"/>
        <v>-25</v>
      </c>
      <c r="F293" s="20">
        <v>25</v>
      </c>
      <c r="G293" s="20">
        <v>50</v>
      </c>
      <c r="H293" s="20">
        <v>75</v>
      </c>
      <c r="I293" s="198">
        <v>100</v>
      </c>
      <c r="J293" s="2"/>
      <c r="AC293" s="8">
        <f t="shared" si="1"/>
        <v>50</v>
      </c>
    </row>
    <row r="294" spans="1:29" ht="15" customHeight="1">
      <c r="A294" s="200">
        <v>51</v>
      </c>
      <c r="B294" s="59">
        <v>5</v>
      </c>
      <c r="C294" s="20">
        <v>-50</v>
      </c>
      <c r="D294" s="20">
        <v>-25</v>
      </c>
      <c r="E294" s="20">
        <f t="shared" si="2"/>
        <v>-25</v>
      </c>
      <c r="F294" s="20">
        <v>25</v>
      </c>
      <c r="G294" s="20">
        <v>50</v>
      </c>
      <c r="H294" s="20">
        <v>75</v>
      </c>
      <c r="I294" s="198">
        <v>100</v>
      </c>
      <c r="J294" s="2"/>
      <c r="AC294" s="8">
        <f t="shared" si="1"/>
        <v>50</v>
      </c>
    </row>
    <row r="295" spans="1:29" ht="15" customHeight="1">
      <c r="A295" s="200">
        <v>51</v>
      </c>
      <c r="B295" s="59">
        <v>6</v>
      </c>
      <c r="C295" s="20">
        <v>-50</v>
      </c>
      <c r="D295" s="20">
        <v>-25</v>
      </c>
      <c r="E295" s="20">
        <f t="shared" si="2"/>
        <v>-25</v>
      </c>
      <c r="F295" s="20">
        <v>25</v>
      </c>
      <c r="G295" s="20">
        <v>50</v>
      </c>
      <c r="H295" s="20">
        <v>75</v>
      </c>
      <c r="I295" s="198">
        <v>100</v>
      </c>
      <c r="J295" s="2"/>
      <c r="AC295" s="8">
        <f t="shared" si="1"/>
        <v>50</v>
      </c>
    </row>
    <row r="296" spans="1:29" ht="15" customHeight="1">
      <c r="A296" s="200">
        <v>51</v>
      </c>
      <c r="B296" s="59">
        <v>7</v>
      </c>
      <c r="C296" s="20">
        <v>-50</v>
      </c>
      <c r="D296" s="20">
        <v>-25</v>
      </c>
      <c r="E296" s="20">
        <f t="shared" si="2"/>
        <v>-25</v>
      </c>
      <c r="F296" s="20">
        <v>25</v>
      </c>
      <c r="G296" s="20">
        <v>50</v>
      </c>
      <c r="H296" s="20">
        <v>75</v>
      </c>
      <c r="I296" s="198">
        <v>100</v>
      </c>
      <c r="J296" s="2"/>
      <c r="K296" s="2"/>
      <c r="L296" s="2"/>
      <c r="M296" s="2"/>
      <c r="N296" s="2"/>
      <c r="O296" s="2"/>
      <c r="AC296" s="8">
        <f t="shared" si="1"/>
        <v>50</v>
      </c>
    </row>
    <row r="297" spans="1:29" ht="15" customHeight="1">
      <c r="A297" s="201">
        <v>52</v>
      </c>
      <c r="B297" s="178">
        <v>1</v>
      </c>
      <c r="C297" s="199">
        <v>-35</v>
      </c>
      <c r="D297" s="199">
        <v>-25</v>
      </c>
      <c r="E297" s="199">
        <v>-15</v>
      </c>
      <c r="F297" s="199">
        <v>-5</v>
      </c>
      <c r="G297" s="199">
        <v>5</v>
      </c>
      <c r="H297" s="199">
        <v>15</v>
      </c>
      <c r="I297" s="199">
        <v>25</v>
      </c>
      <c r="J297" s="199">
        <v>35</v>
      </c>
      <c r="K297" s="199">
        <v>45</v>
      </c>
      <c r="L297" s="199">
        <v>55</v>
      </c>
      <c r="M297" s="199">
        <v>65</v>
      </c>
      <c r="N297" s="199">
        <v>75</v>
      </c>
      <c r="O297" s="189">
        <v>90</v>
      </c>
      <c r="P297" s="2"/>
      <c r="AC297" s="8">
        <f t="shared" si="1"/>
        <v>51</v>
      </c>
    </row>
    <row r="298" spans="1:29" ht="15" customHeight="1">
      <c r="A298" s="200">
        <v>52</v>
      </c>
      <c r="B298" s="179">
        <v>2</v>
      </c>
      <c r="C298" s="12">
        <v>-35</v>
      </c>
      <c r="D298" s="12">
        <v>-25</v>
      </c>
      <c r="E298" s="12">
        <v>-15</v>
      </c>
      <c r="F298" s="12">
        <v>-5</v>
      </c>
      <c r="G298" s="12">
        <v>5</v>
      </c>
      <c r="H298" s="12">
        <v>15</v>
      </c>
      <c r="I298" s="12">
        <v>25</v>
      </c>
      <c r="J298" s="12">
        <v>35</v>
      </c>
      <c r="K298" s="12">
        <v>45</v>
      </c>
      <c r="L298" s="12">
        <v>55</v>
      </c>
      <c r="M298" s="12">
        <v>65</v>
      </c>
      <c r="N298" s="12">
        <v>75</v>
      </c>
      <c r="O298" s="192">
        <v>90</v>
      </c>
      <c r="P298" s="2"/>
      <c r="AC298" s="8">
        <f t="shared" si="1"/>
        <v>51</v>
      </c>
    </row>
    <row r="299" spans="1:29" ht="15" customHeight="1">
      <c r="A299" s="200">
        <v>52</v>
      </c>
      <c r="B299" s="179">
        <v>3</v>
      </c>
      <c r="C299" s="12"/>
      <c r="D299" s="12">
        <v>-25</v>
      </c>
      <c r="E299" s="12">
        <v>-15</v>
      </c>
      <c r="F299" s="12">
        <v>-5</v>
      </c>
      <c r="G299" s="12">
        <v>5</v>
      </c>
      <c r="H299" s="12">
        <v>15</v>
      </c>
      <c r="I299" s="12">
        <v>25</v>
      </c>
      <c r="J299" s="12">
        <v>35</v>
      </c>
      <c r="K299" s="12">
        <v>45</v>
      </c>
      <c r="L299" s="12">
        <v>55</v>
      </c>
      <c r="M299" s="12">
        <v>65</v>
      </c>
      <c r="N299" s="12">
        <v>75</v>
      </c>
      <c r="O299" s="192">
        <v>90</v>
      </c>
      <c r="P299" s="2"/>
      <c r="AC299" s="8">
        <f t="shared" si="1"/>
        <v>51</v>
      </c>
    </row>
    <row r="300" spans="1:29" ht="15" customHeight="1">
      <c r="A300" s="200">
        <v>52</v>
      </c>
      <c r="B300" s="179">
        <v>4</v>
      </c>
      <c r="C300" s="12">
        <v>-35</v>
      </c>
      <c r="D300" s="12">
        <v>-25</v>
      </c>
      <c r="E300" s="12">
        <v>-15</v>
      </c>
      <c r="F300" s="12">
        <v>-5</v>
      </c>
      <c r="G300" s="12">
        <v>5</v>
      </c>
      <c r="H300" s="12">
        <v>15</v>
      </c>
      <c r="I300" s="24">
        <v>25</v>
      </c>
      <c r="J300" s="24">
        <v>35</v>
      </c>
      <c r="K300" s="24">
        <v>45</v>
      </c>
      <c r="L300" s="24">
        <v>55</v>
      </c>
      <c r="M300" s="24">
        <v>65</v>
      </c>
      <c r="N300" s="24">
        <v>75</v>
      </c>
      <c r="O300" s="193">
        <v>90</v>
      </c>
      <c r="P300" s="2"/>
      <c r="AC300" s="8">
        <f t="shared" si="1"/>
        <v>51</v>
      </c>
    </row>
    <row r="301" spans="1:29" ht="15" customHeight="1">
      <c r="A301" s="201">
        <v>53</v>
      </c>
      <c r="B301" s="178">
        <v>1</v>
      </c>
      <c r="C301" s="199">
        <v>160</v>
      </c>
      <c r="D301" s="199">
        <v>150</v>
      </c>
      <c r="E301" s="199">
        <v>140</v>
      </c>
      <c r="F301" s="199">
        <v>130</v>
      </c>
      <c r="G301" s="199">
        <v>120</v>
      </c>
      <c r="H301" s="189">
        <v>110</v>
      </c>
      <c r="I301" s="2"/>
      <c r="J301" s="2"/>
      <c r="K301" s="2"/>
      <c r="L301" s="2"/>
      <c r="M301" s="2"/>
      <c r="N301" s="2"/>
      <c r="O301" s="2"/>
      <c r="AC301" s="8">
        <f t="shared" si="1"/>
        <v>52</v>
      </c>
    </row>
    <row r="302" spans="1:29" ht="15" customHeight="1">
      <c r="A302" s="200">
        <v>53</v>
      </c>
      <c r="B302" s="179">
        <v>2</v>
      </c>
      <c r="C302" s="12">
        <v>160</v>
      </c>
      <c r="D302" s="12">
        <v>150</v>
      </c>
      <c r="E302" s="12">
        <v>140</v>
      </c>
      <c r="F302" s="12">
        <v>130</v>
      </c>
      <c r="G302" s="12">
        <v>120</v>
      </c>
      <c r="H302" s="192">
        <v>110</v>
      </c>
      <c r="I302" s="2"/>
      <c r="AC302" s="8">
        <f t="shared" si="1"/>
        <v>52</v>
      </c>
    </row>
    <row r="303" spans="1:29" ht="15" customHeight="1">
      <c r="A303" s="200">
        <v>53</v>
      </c>
      <c r="B303" s="179">
        <v>3</v>
      </c>
      <c r="C303" s="12">
        <v>160</v>
      </c>
      <c r="D303" s="12">
        <v>150</v>
      </c>
      <c r="E303" s="12">
        <v>140</v>
      </c>
      <c r="F303" s="12">
        <v>130</v>
      </c>
      <c r="G303" s="12">
        <v>120</v>
      </c>
      <c r="H303" s="192">
        <v>110</v>
      </c>
      <c r="I303" s="2"/>
      <c r="AC303" s="8">
        <f t="shared" si="1"/>
        <v>52</v>
      </c>
    </row>
    <row r="304" spans="1:29" ht="15" customHeight="1">
      <c r="A304" s="200">
        <v>53</v>
      </c>
      <c r="B304" s="179">
        <v>4</v>
      </c>
      <c r="C304" s="12">
        <v>160</v>
      </c>
      <c r="D304" s="12">
        <v>150</v>
      </c>
      <c r="E304" s="12">
        <v>140</v>
      </c>
      <c r="F304" s="12">
        <v>130</v>
      </c>
      <c r="G304" s="12">
        <v>120</v>
      </c>
      <c r="H304" s="192">
        <v>110</v>
      </c>
      <c r="I304" s="2"/>
      <c r="AC304" s="8">
        <f t="shared" si="1"/>
        <v>52</v>
      </c>
    </row>
    <row r="305" spans="1:29" ht="15" customHeight="1">
      <c r="A305" s="202">
        <v>53</v>
      </c>
      <c r="B305" s="179">
        <v>5</v>
      </c>
      <c r="C305" s="12">
        <v>160</v>
      </c>
      <c r="D305" s="12">
        <v>150</v>
      </c>
      <c r="E305" s="12">
        <v>140</v>
      </c>
      <c r="F305" s="12">
        <v>130</v>
      </c>
      <c r="G305" s="12">
        <v>120</v>
      </c>
      <c r="H305" s="192">
        <v>110</v>
      </c>
      <c r="I305" s="2"/>
      <c r="J305" s="2"/>
      <c r="AC305" s="8">
        <f t="shared" si="1"/>
        <v>52</v>
      </c>
    </row>
    <row r="306" spans="1:29" ht="15" customHeight="1">
      <c r="A306" s="201">
        <v>54</v>
      </c>
      <c r="B306" s="178">
        <v>1</v>
      </c>
      <c r="C306" s="194">
        <v>-20</v>
      </c>
      <c r="D306" s="194">
        <v>0</v>
      </c>
      <c r="E306" s="194">
        <v>20</v>
      </c>
      <c r="F306" s="194">
        <v>40</v>
      </c>
      <c r="G306" s="194">
        <v>60</v>
      </c>
      <c r="H306" s="194">
        <v>80</v>
      </c>
      <c r="I306" s="194">
        <v>100</v>
      </c>
      <c r="J306" s="197">
        <v>120</v>
      </c>
      <c r="K306" s="2"/>
      <c r="AC306" s="8">
        <f t="shared" si="1"/>
        <v>53</v>
      </c>
    </row>
    <row r="307" spans="1:29" ht="15" customHeight="1">
      <c r="A307" s="200">
        <v>54</v>
      </c>
      <c r="B307" s="179">
        <v>3</v>
      </c>
      <c r="C307" s="20">
        <v>-20</v>
      </c>
      <c r="D307" s="20">
        <v>0</v>
      </c>
      <c r="E307" s="20">
        <v>20</v>
      </c>
      <c r="F307" s="20">
        <v>40</v>
      </c>
      <c r="G307" s="20">
        <v>60</v>
      </c>
      <c r="H307" s="20">
        <v>80</v>
      </c>
      <c r="I307" s="20">
        <v>100</v>
      </c>
      <c r="J307" s="198">
        <v>120</v>
      </c>
      <c r="K307" s="2"/>
      <c r="AC307" s="8">
        <f t="shared" si="1"/>
        <v>53</v>
      </c>
    </row>
    <row r="308" spans="1:29" ht="15" customHeight="1">
      <c r="A308" s="200">
        <v>54</v>
      </c>
      <c r="B308" s="179">
        <v>4</v>
      </c>
      <c r="C308" s="20">
        <v>-20</v>
      </c>
      <c r="D308" s="20">
        <v>0</v>
      </c>
      <c r="E308" s="20">
        <v>20</v>
      </c>
      <c r="F308" s="20">
        <v>40</v>
      </c>
      <c r="G308" s="20">
        <v>60</v>
      </c>
      <c r="H308" s="20">
        <v>80</v>
      </c>
      <c r="I308" s="20">
        <v>100</v>
      </c>
      <c r="J308" s="198">
        <v>120</v>
      </c>
      <c r="K308" s="2"/>
      <c r="AC308" s="8">
        <f t="shared" si="1"/>
        <v>53</v>
      </c>
    </row>
    <row r="309" spans="1:29" ht="15" customHeight="1">
      <c r="A309" s="202">
        <v>54</v>
      </c>
      <c r="B309" s="180">
        <v>5</v>
      </c>
      <c r="C309" s="26">
        <v>-20</v>
      </c>
      <c r="D309" s="26">
        <v>0</v>
      </c>
      <c r="E309" s="26">
        <v>20</v>
      </c>
      <c r="F309" s="26">
        <v>40</v>
      </c>
      <c r="G309" s="26">
        <v>60</v>
      </c>
      <c r="H309" s="26">
        <v>80</v>
      </c>
      <c r="I309" s="26">
        <v>100</v>
      </c>
      <c r="J309" s="204">
        <v>120</v>
      </c>
      <c r="K309" s="2"/>
      <c r="AC309" s="8">
        <f t="shared" si="1"/>
        <v>53</v>
      </c>
    </row>
    <row r="310" spans="1:29" ht="15" customHeight="1">
      <c r="A310" s="200">
        <v>55</v>
      </c>
      <c r="B310" s="179" t="s">
        <v>220</v>
      </c>
      <c r="C310" s="2"/>
      <c r="D310" s="2"/>
      <c r="E310" s="2"/>
      <c r="F310" s="2"/>
      <c r="G310" s="2"/>
      <c r="H310" s="2"/>
      <c r="I310" s="2"/>
      <c r="J310" s="2"/>
      <c r="AC310" s="8">
        <f t="shared" si="1"/>
        <v>54</v>
      </c>
    </row>
    <row r="311" spans="1:29" ht="15" customHeight="1">
      <c r="A311" s="200">
        <v>55</v>
      </c>
      <c r="B311" s="179" t="s">
        <v>221</v>
      </c>
      <c r="AC311" s="8">
        <f t="shared" si="1"/>
        <v>54</v>
      </c>
    </row>
    <row r="312" spans="1:29" ht="15" customHeight="1">
      <c r="A312" s="200">
        <v>55</v>
      </c>
      <c r="B312" s="179" t="s">
        <v>222</v>
      </c>
      <c r="AC312" s="8">
        <f t="shared" si="1"/>
        <v>54</v>
      </c>
    </row>
    <row r="313" spans="1:29" ht="15" customHeight="1">
      <c r="A313" s="200">
        <v>55</v>
      </c>
      <c r="B313" s="179" t="s">
        <v>224</v>
      </c>
      <c r="AC313" s="8">
        <f t="shared" si="1"/>
        <v>54</v>
      </c>
    </row>
    <row r="314" spans="1:29" ht="15" customHeight="1">
      <c r="A314" s="200">
        <v>55</v>
      </c>
      <c r="B314" s="179" t="s">
        <v>225</v>
      </c>
      <c r="AC314" s="8">
        <f t="shared" si="1"/>
        <v>54</v>
      </c>
    </row>
    <row r="315" spans="1:29" ht="15" customHeight="1">
      <c r="A315" s="200">
        <v>55</v>
      </c>
      <c r="B315" s="179" t="s">
        <v>226</v>
      </c>
      <c r="AC315" s="8">
        <f t="shared" si="1"/>
        <v>54</v>
      </c>
    </row>
    <row r="316" spans="1:29" ht="15" customHeight="1">
      <c r="A316" s="200">
        <v>55</v>
      </c>
      <c r="B316" s="179" t="s">
        <v>230</v>
      </c>
      <c r="AC316" s="8">
        <f t="shared" si="1"/>
        <v>54</v>
      </c>
    </row>
    <row r="317" spans="1:29" ht="15" customHeight="1">
      <c r="A317" s="200">
        <v>55</v>
      </c>
      <c r="B317" s="179" t="s">
        <v>231</v>
      </c>
      <c r="AC317" s="8">
        <f t="shared" si="1"/>
        <v>54</v>
      </c>
    </row>
    <row r="318" spans="1:29" ht="15" customHeight="1">
      <c r="A318" s="200">
        <v>55</v>
      </c>
      <c r="B318" s="179" t="s">
        <v>232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AC318" s="8">
        <f t="shared" si="1"/>
        <v>54</v>
      </c>
    </row>
    <row r="319" spans="1:29" ht="15" customHeight="1">
      <c r="A319" s="177">
        <v>56</v>
      </c>
      <c r="B319" s="178" t="s">
        <v>220</v>
      </c>
      <c r="C319" s="199">
        <v>-20</v>
      </c>
      <c r="D319" s="199">
        <v>-10</v>
      </c>
      <c r="E319" s="199">
        <v>0</v>
      </c>
      <c r="F319" s="199">
        <v>10</v>
      </c>
      <c r="G319" s="199">
        <v>20</v>
      </c>
      <c r="H319" s="199">
        <v>30</v>
      </c>
      <c r="I319" s="199">
        <v>40</v>
      </c>
      <c r="J319" s="199">
        <v>50</v>
      </c>
      <c r="K319" s="199">
        <v>60</v>
      </c>
      <c r="L319" s="199">
        <v>70</v>
      </c>
      <c r="M319" s="199">
        <v>80</v>
      </c>
      <c r="N319" s="199">
        <v>90</v>
      </c>
      <c r="O319" s="199">
        <v>100</v>
      </c>
      <c r="P319" s="199">
        <v>110</v>
      </c>
      <c r="Q319" s="189">
        <v>120</v>
      </c>
      <c r="R319" s="2"/>
      <c r="AC319" s="8">
        <f t="shared" si="1"/>
        <v>55</v>
      </c>
    </row>
    <row r="320" spans="1:29" ht="15" customHeight="1">
      <c r="A320" s="175">
        <v>56</v>
      </c>
      <c r="B320" s="180" t="s">
        <v>224</v>
      </c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193"/>
      <c r="R320" s="2"/>
      <c r="AC320" s="8">
        <f t="shared" si="1"/>
        <v>55</v>
      </c>
    </row>
    <row r="321" spans="1:31" ht="15" customHeight="1">
      <c r="A321" s="177">
        <v>57</v>
      </c>
      <c r="B321" s="178">
        <v>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AC321" s="8">
        <f t="shared" si="1"/>
        <v>56</v>
      </c>
    </row>
    <row r="322" spans="1:31" ht="15" customHeight="1">
      <c r="A322" s="175">
        <v>57</v>
      </c>
      <c r="B322" s="180">
        <v>2</v>
      </c>
      <c r="AC322" s="8">
        <f t="shared" si="1"/>
        <v>56</v>
      </c>
    </row>
    <row r="323" spans="1:31" ht="15" customHeight="1">
      <c r="A323" s="177">
        <v>58</v>
      </c>
      <c r="B323" s="178">
        <v>1</v>
      </c>
      <c r="AC323" s="8">
        <f t="shared" si="1"/>
        <v>57</v>
      </c>
    </row>
    <row r="324" spans="1:31" ht="15" customHeight="1">
      <c r="A324" s="174">
        <v>58</v>
      </c>
      <c r="B324" s="179">
        <v>2</v>
      </c>
      <c r="AC324" s="8">
        <f t="shared" si="1"/>
        <v>57</v>
      </c>
    </row>
    <row r="325" spans="1:31" ht="15" customHeight="1">
      <c r="A325" s="174">
        <v>58</v>
      </c>
      <c r="B325" s="179">
        <v>3</v>
      </c>
      <c r="AC325" s="8">
        <f t="shared" si="1"/>
        <v>57</v>
      </c>
    </row>
    <row r="326" spans="1:31" ht="15" customHeight="1">
      <c r="A326" s="177">
        <v>59</v>
      </c>
      <c r="B326" s="178">
        <v>1</v>
      </c>
      <c r="C326" s="199">
        <v>-50</v>
      </c>
      <c r="D326" s="199">
        <v>-40</v>
      </c>
      <c r="E326" s="199">
        <v>-30</v>
      </c>
      <c r="F326" s="199">
        <v>-20</v>
      </c>
      <c r="G326" s="199">
        <v>-10</v>
      </c>
      <c r="H326" s="199">
        <v>0</v>
      </c>
      <c r="I326" s="199">
        <v>10</v>
      </c>
      <c r="J326" s="199">
        <v>20</v>
      </c>
      <c r="K326" s="199">
        <v>30</v>
      </c>
      <c r="L326" s="199">
        <v>40</v>
      </c>
      <c r="M326" s="199">
        <v>50</v>
      </c>
      <c r="N326" s="199">
        <v>60</v>
      </c>
      <c r="O326" s="199">
        <v>70</v>
      </c>
      <c r="P326" s="199">
        <v>80</v>
      </c>
      <c r="Q326" s="199">
        <v>90</v>
      </c>
      <c r="R326" s="199">
        <v>100</v>
      </c>
      <c r="S326" s="189">
        <v>110</v>
      </c>
      <c r="T326" s="2"/>
      <c r="AC326" s="8">
        <f t="shared" si="1"/>
        <v>58</v>
      </c>
    </row>
    <row r="327" spans="1:31" ht="15" customHeight="1">
      <c r="A327" s="174">
        <v>59</v>
      </c>
      <c r="B327" s="179">
        <v>2</v>
      </c>
      <c r="C327" s="12">
        <v>-50</v>
      </c>
      <c r="D327" s="12">
        <v>-40</v>
      </c>
      <c r="E327" s="12">
        <v>-30</v>
      </c>
      <c r="F327" s="12">
        <v>-20</v>
      </c>
      <c r="G327" s="12">
        <v>-10</v>
      </c>
      <c r="H327" s="12">
        <v>0</v>
      </c>
      <c r="I327" s="12">
        <v>10</v>
      </c>
      <c r="J327" s="12">
        <v>20</v>
      </c>
      <c r="K327" s="12">
        <v>30</v>
      </c>
      <c r="L327" s="12">
        <v>40</v>
      </c>
      <c r="M327" s="12">
        <v>50</v>
      </c>
      <c r="N327" s="12">
        <v>60</v>
      </c>
      <c r="O327" s="12">
        <v>70</v>
      </c>
      <c r="P327" s="12">
        <v>80</v>
      </c>
      <c r="Q327" s="12">
        <v>90</v>
      </c>
      <c r="R327" s="12">
        <v>100</v>
      </c>
      <c r="S327" s="192">
        <v>110</v>
      </c>
      <c r="T327" s="2"/>
      <c r="AC327" s="8">
        <f t="shared" si="1"/>
        <v>58</v>
      </c>
    </row>
    <row r="328" spans="1:31" ht="15" customHeight="1">
      <c r="A328" s="174">
        <v>59</v>
      </c>
      <c r="B328" s="179">
        <v>3</v>
      </c>
      <c r="C328" s="12">
        <v>-50</v>
      </c>
      <c r="D328" s="12">
        <v>-40</v>
      </c>
      <c r="E328" s="12">
        <v>-30</v>
      </c>
      <c r="F328" s="12">
        <v>-20</v>
      </c>
      <c r="G328" s="12">
        <v>-10</v>
      </c>
      <c r="H328" s="12">
        <v>0</v>
      </c>
      <c r="I328" s="12">
        <v>10</v>
      </c>
      <c r="J328" s="12">
        <v>20</v>
      </c>
      <c r="K328" s="12">
        <v>30</v>
      </c>
      <c r="L328" s="12">
        <v>40</v>
      </c>
      <c r="M328" s="12">
        <v>50</v>
      </c>
      <c r="N328" s="12">
        <v>60</v>
      </c>
      <c r="O328" s="12">
        <v>70</v>
      </c>
      <c r="P328" s="12">
        <v>80</v>
      </c>
      <c r="Q328" s="12">
        <v>90</v>
      </c>
      <c r="R328" s="12">
        <v>100</v>
      </c>
      <c r="S328" s="192">
        <v>110</v>
      </c>
      <c r="T328" s="2"/>
      <c r="AC328" s="8">
        <f t="shared" si="1"/>
        <v>58</v>
      </c>
      <c r="AE328" s="8"/>
    </row>
    <row r="329" spans="1:31" ht="15" customHeight="1">
      <c r="A329" s="174">
        <v>59</v>
      </c>
      <c r="B329" s="179">
        <v>4</v>
      </c>
      <c r="C329" s="12">
        <v>-50</v>
      </c>
      <c r="D329" s="12">
        <v>-40</v>
      </c>
      <c r="E329" s="12">
        <v>-30</v>
      </c>
      <c r="F329" s="12">
        <v>-20</v>
      </c>
      <c r="G329" s="12">
        <v>-10</v>
      </c>
      <c r="H329" s="12">
        <v>0</v>
      </c>
      <c r="I329" s="12">
        <v>10</v>
      </c>
      <c r="J329" s="12">
        <v>20</v>
      </c>
      <c r="K329" s="12">
        <v>30</v>
      </c>
      <c r="L329" s="12">
        <v>40</v>
      </c>
      <c r="M329" s="12">
        <v>50</v>
      </c>
      <c r="N329" s="12">
        <v>60</v>
      </c>
      <c r="O329" s="12">
        <v>70</v>
      </c>
      <c r="P329" s="12">
        <v>80</v>
      </c>
      <c r="Q329" s="12">
        <v>90</v>
      </c>
      <c r="R329" s="12">
        <v>100</v>
      </c>
      <c r="S329" s="192">
        <v>110</v>
      </c>
      <c r="T329" s="2"/>
      <c r="AC329" s="8">
        <f t="shared" si="1"/>
        <v>58</v>
      </c>
      <c r="AE329" s="8"/>
    </row>
    <row r="330" spans="1:31" ht="15" customHeight="1">
      <c r="A330" s="174">
        <v>59</v>
      </c>
      <c r="B330" s="179">
        <v>5</v>
      </c>
      <c r="C330" s="12">
        <v>-50</v>
      </c>
      <c r="D330" s="12">
        <v>-40</v>
      </c>
      <c r="E330" s="12">
        <v>-30</v>
      </c>
      <c r="F330" s="12">
        <v>-20</v>
      </c>
      <c r="G330" s="12">
        <v>-10</v>
      </c>
      <c r="H330" s="12">
        <v>0</v>
      </c>
      <c r="I330" s="12">
        <v>10</v>
      </c>
      <c r="J330" s="12">
        <v>20</v>
      </c>
      <c r="K330" s="12">
        <v>30</v>
      </c>
      <c r="L330" s="12">
        <v>40</v>
      </c>
      <c r="M330" s="12">
        <v>50</v>
      </c>
      <c r="N330" s="12">
        <v>60</v>
      </c>
      <c r="O330" s="12">
        <v>70</v>
      </c>
      <c r="P330" s="12">
        <v>80</v>
      </c>
      <c r="Q330" s="12">
        <v>90</v>
      </c>
      <c r="R330" s="12">
        <v>100</v>
      </c>
      <c r="S330" s="192">
        <v>110</v>
      </c>
      <c r="T330" s="2"/>
      <c r="AC330" s="8">
        <f t="shared" si="1"/>
        <v>58</v>
      </c>
      <c r="AE330" s="8"/>
    </row>
    <row r="331" spans="1:31" ht="15" customHeight="1">
      <c r="A331" s="174">
        <v>59</v>
      </c>
      <c r="B331" s="180">
        <v>6</v>
      </c>
      <c r="C331" s="12">
        <v>-50</v>
      </c>
      <c r="D331" s="12">
        <v>-40</v>
      </c>
      <c r="E331" s="12">
        <v>-30</v>
      </c>
      <c r="F331" s="12">
        <v>-20</v>
      </c>
      <c r="G331" s="12">
        <v>-10</v>
      </c>
      <c r="H331" s="12">
        <v>0</v>
      </c>
      <c r="I331" s="12">
        <v>10</v>
      </c>
      <c r="J331" s="12">
        <v>20</v>
      </c>
      <c r="K331" s="12">
        <v>30</v>
      </c>
      <c r="L331" s="12">
        <v>40</v>
      </c>
      <c r="M331" s="12">
        <v>50</v>
      </c>
      <c r="N331" s="24">
        <v>60</v>
      </c>
      <c r="O331" s="24">
        <v>70</v>
      </c>
      <c r="P331" s="24">
        <v>80</v>
      </c>
      <c r="Q331" s="24">
        <v>90</v>
      </c>
      <c r="R331" s="24">
        <v>100</v>
      </c>
      <c r="S331" s="193">
        <v>110</v>
      </c>
      <c r="T331" s="2"/>
      <c r="AC331" s="8">
        <f t="shared" si="1"/>
        <v>58</v>
      </c>
      <c r="AE331" s="8"/>
    </row>
    <row r="332" spans="1:31" ht="15" customHeight="1">
      <c r="A332" s="177">
        <v>60</v>
      </c>
      <c r="B332" s="179">
        <v>1</v>
      </c>
      <c r="C332" s="199">
        <v>-98</v>
      </c>
      <c r="D332" s="199">
        <v>-70</v>
      </c>
      <c r="E332" s="199">
        <v>-50</v>
      </c>
      <c r="F332" s="199">
        <v>-30</v>
      </c>
      <c r="G332" s="199">
        <v>0</v>
      </c>
      <c r="H332" s="199">
        <v>30</v>
      </c>
      <c r="I332" s="199">
        <v>50</v>
      </c>
      <c r="J332" s="199">
        <v>70</v>
      </c>
      <c r="K332" s="199">
        <v>100</v>
      </c>
      <c r="L332" s="199">
        <v>130</v>
      </c>
      <c r="M332" s="189">
        <v>170</v>
      </c>
      <c r="N332" s="2"/>
      <c r="O332" s="2"/>
      <c r="P332" s="2"/>
      <c r="Q332" s="2"/>
      <c r="R332" s="2"/>
      <c r="S332" s="2"/>
      <c r="AC332" s="8">
        <f t="shared" si="1"/>
        <v>59</v>
      </c>
      <c r="AE332" s="8"/>
    </row>
    <row r="333" spans="1:31" ht="15" customHeight="1">
      <c r="A333" s="174">
        <v>60</v>
      </c>
      <c r="B333" s="179">
        <v>2</v>
      </c>
      <c r="C333" s="12">
        <v>-98</v>
      </c>
      <c r="D333" s="12">
        <v>-70</v>
      </c>
      <c r="E333" s="12">
        <v>-50</v>
      </c>
      <c r="F333" s="12">
        <v>-30</v>
      </c>
      <c r="G333" s="12">
        <v>0</v>
      </c>
      <c r="H333" s="12">
        <v>30</v>
      </c>
      <c r="I333" s="12">
        <v>50</v>
      </c>
      <c r="J333" s="12">
        <v>70</v>
      </c>
      <c r="K333" s="12">
        <v>100</v>
      </c>
      <c r="L333" s="12">
        <v>130</v>
      </c>
      <c r="M333" s="192">
        <v>170</v>
      </c>
      <c r="N333" s="2"/>
      <c r="AC333" s="8">
        <f t="shared" si="1"/>
        <v>59</v>
      </c>
      <c r="AE333" s="8"/>
    </row>
    <row r="334" spans="1:31" ht="15" customHeight="1">
      <c r="A334" s="174">
        <v>60</v>
      </c>
      <c r="B334" s="179">
        <v>3</v>
      </c>
      <c r="C334" s="12">
        <v>-98</v>
      </c>
      <c r="D334" s="12">
        <v>-70</v>
      </c>
      <c r="E334" s="12">
        <v>-50</v>
      </c>
      <c r="F334" s="12">
        <v>-30</v>
      </c>
      <c r="G334" s="12">
        <v>0</v>
      </c>
      <c r="H334" s="12">
        <v>30</v>
      </c>
      <c r="I334" s="12">
        <v>50</v>
      </c>
      <c r="J334" s="12">
        <v>70</v>
      </c>
      <c r="K334" s="12">
        <v>100</v>
      </c>
      <c r="L334" s="12">
        <v>130</v>
      </c>
      <c r="M334" s="192">
        <v>170</v>
      </c>
      <c r="N334" s="2"/>
      <c r="AC334" s="8">
        <f t="shared" si="1"/>
        <v>59</v>
      </c>
      <c r="AE334" s="8"/>
    </row>
    <row r="335" spans="1:31" ht="15" customHeight="1">
      <c r="A335" s="174">
        <v>60</v>
      </c>
      <c r="B335" s="179">
        <v>4</v>
      </c>
      <c r="C335" s="12">
        <v>-98</v>
      </c>
      <c r="D335" s="12">
        <v>-70</v>
      </c>
      <c r="E335" s="12">
        <v>-50</v>
      </c>
      <c r="F335" s="12">
        <v>-30</v>
      </c>
      <c r="G335" s="12">
        <v>0</v>
      </c>
      <c r="H335" s="12">
        <v>30</v>
      </c>
      <c r="I335" s="12">
        <v>50</v>
      </c>
      <c r="J335" s="12">
        <v>70</v>
      </c>
      <c r="K335" s="12">
        <v>100</v>
      </c>
      <c r="L335" s="12">
        <v>130</v>
      </c>
      <c r="M335" s="192">
        <v>170</v>
      </c>
      <c r="N335" s="2"/>
      <c r="AC335" s="8">
        <f t="shared" si="1"/>
        <v>59</v>
      </c>
      <c r="AE335" s="8"/>
    </row>
    <row r="336" spans="1:31" ht="15" customHeight="1">
      <c r="A336" s="174">
        <v>60</v>
      </c>
      <c r="B336" s="179">
        <v>5</v>
      </c>
      <c r="C336" s="12">
        <v>-98</v>
      </c>
      <c r="D336" s="12">
        <v>-70</v>
      </c>
      <c r="E336" s="12">
        <v>-50</v>
      </c>
      <c r="F336" s="12">
        <v>-30</v>
      </c>
      <c r="G336" s="12">
        <v>0</v>
      </c>
      <c r="H336" s="12">
        <v>30</v>
      </c>
      <c r="I336" s="12">
        <v>50</v>
      </c>
      <c r="J336" s="12">
        <v>70</v>
      </c>
      <c r="K336" s="12">
        <v>100</v>
      </c>
      <c r="L336" s="12">
        <v>130</v>
      </c>
      <c r="M336" s="192">
        <v>170</v>
      </c>
      <c r="N336" s="2"/>
      <c r="AC336" s="8">
        <f t="shared" si="1"/>
        <v>59</v>
      </c>
      <c r="AE336" s="8"/>
    </row>
    <row r="337" spans="1:31" ht="15" customHeight="1">
      <c r="A337" s="202">
        <v>61</v>
      </c>
      <c r="B337" s="203">
        <v>1</v>
      </c>
      <c r="C337" s="24">
        <v>100</v>
      </c>
      <c r="D337" s="24">
        <v>110</v>
      </c>
      <c r="E337" s="24">
        <v>120</v>
      </c>
      <c r="F337" s="24">
        <v>130</v>
      </c>
      <c r="G337" s="24">
        <v>140</v>
      </c>
      <c r="H337" s="24">
        <v>150</v>
      </c>
      <c r="I337" s="24">
        <v>160</v>
      </c>
      <c r="J337" s="24">
        <v>170</v>
      </c>
      <c r="K337" s="24">
        <v>180</v>
      </c>
      <c r="L337" s="24">
        <v>190</v>
      </c>
      <c r="M337" s="193">
        <v>200</v>
      </c>
      <c r="N337" s="2"/>
      <c r="AC337" s="8">
        <f t="shared" si="1"/>
        <v>60</v>
      </c>
      <c r="AE337" s="8"/>
    </row>
    <row r="338" spans="1:31" ht="1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AE338" s="8"/>
    </row>
    <row r="339" spans="1:31" ht="15" customHeight="1">
      <c r="AE339" s="8"/>
    </row>
    <row r="340" spans="1:31" ht="15" customHeight="1">
      <c r="AE340" s="8"/>
    </row>
    <row r="341" spans="1:31" ht="15" customHeight="1">
      <c r="AE341" s="8"/>
    </row>
    <row r="342" spans="1:31" ht="15" customHeight="1">
      <c r="AE342" s="8"/>
    </row>
    <row r="343" spans="1:31" ht="15" customHeight="1">
      <c r="AE343" s="8"/>
    </row>
    <row r="344" spans="1:31" ht="15" customHeight="1">
      <c r="AE344" s="8"/>
    </row>
    <row r="345" spans="1:31" ht="15" customHeight="1">
      <c r="AE345" s="8"/>
    </row>
    <row r="346" spans="1:31" ht="15" customHeight="1">
      <c r="AE346" s="8"/>
    </row>
    <row r="347" spans="1:31" ht="15" customHeight="1">
      <c r="AE347" s="8"/>
    </row>
    <row r="348" spans="1:31" ht="15" customHeight="1">
      <c r="AE348" s="8"/>
    </row>
    <row r="349" spans="1:31" ht="15" customHeight="1">
      <c r="AE349" s="8"/>
    </row>
    <row r="350" spans="1:31" ht="15" customHeight="1">
      <c r="AE350" s="8"/>
    </row>
    <row r="351" spans="1:31" ht="15" customHeight="1">
      <c r="AE351" s="8"/>
    </row>
    <row r="352" spans="1:31" ht="15" customHeight="1">
      <c r="AE352" s="8"/>
    </row>
    <row r="353" spans="31:31" ht="15" customHeight="1">
      <c r="AE353" s="8"/>
    </row>
    <row r="354" spans="31:31" ht="15" customHeight="1">
      <c r="AE354" s="8"/>
    </row>
    <row r="355" spans="31:31" ht="15" customHeight="1">
      <c r="AE355" s="8"/>
    </row>
    <row r="356" spans="31:31" ht="15" customHeight="1">
      <c r="AE356" s="8"/>
    </row>
    <row r="357" spans="31:31" ht="15" customHeight="1">
      <c r="AE357" s="8"/>
    </row>
    <row r="358" spans="31:31" ht="15" customHeight="1">
      <c r="AE358" s="8"/>
    </row>
    <row r="359" spans="31:31" ht="15" customHeight="1">
      <c r="AE359" s="8"/>
    </row>
    <row r="360" spans="31:31" ht="15" customHeight="1">
      <c r="AE360" s="8"/>
    </row>
    <row r="361" spans="31:31" ht="15" customHeight="1">
      <c r="AE361" s="8"/>
    </row>
    <row r="362" spans="31:31" ht="15" customHeight="1">
      <c r="AE362" s="8"/>
    </row>
    <row r="363" spans="31:31" ht="15" customHeight="1">
      <c r="AE363" s="8"/>
    </row>
    <row r="364" spans="31:31" ht="15" customHeight="1">
      <c r="AE364" s="8"/>
    </row>
    <row r="365" spans="31:31" ht="15" customHeight="1">
      <c r="AE365" s="8"/>
    </row>
    <row r="366" spans="31:31" ht="15" customHeight="1">
      <c r="AE366" s="8"/>
    </row>
    <row r="367" spans="31:31" ht="15" customHeight="1">
      <c r="AE367" s="8"/>
    </row>
    <row r="368" spans="31:31" ht="15" customHeight="1">
      <c r="AE368" s="8"/>
    </row>
    <row r="369" spans="31:31" ht="15" customHeight="1">
      <c r="AE369" s="8"/>
    </row>
    <row r="370" spans="31:31" ht="15" customHeight="1">
      <c r="AE370" s="8"/>
    </row>
    <row r="371" spans="31:31" ht="15" customHeight="1">
      <c r="AE371" s="8"/>
    </row>
    <row r="372" spans="31:31" ht="15" customHeight="1">
      <c r="AE372" s="8"/>
    </row>
    <row r="373" spans="31:31" ht="15" customHeight="1">
      <c r="AE373" s="8"/>
    </row>
    <row r="374" spans="31:31" ht="15" customHeight="1">
      <c r="AE374" s="8"/>
    </row>
    <row r="375" spans="31:31" ht="15" customHeight="1">
      <c r="AE375" s="8"/>
    </row>
    <row r="376" spans="31:31" ht="15" customHeight="1">
      <c r="AE376" s="8"/>
    </row>
    <row r="377" spans="31:31" ht="15" customHeight="1">
      <c r="AE377" s="8"/>
    </row>
    <row r="378" spans="31:31" ht="15" customHeight="1">
      <c r="AE378" s="8"/>
    </row>
    <row r="379" spans="31:31" ht="15" customHeight="1">
      <c r="AE379" s="8"/>
    </row>
    <row r="380" spans="31:31" ht="15" customHeight="1">
      <c r="AE380" s="8"/>
    </row>
    <row r="381" spans="31:31" ht="15" customHeight="1">
      <c r="AE381" s="8"/>
    </row>
    <row r="382" spans="31:31" ht="15" customHeight="1">
      <c r="AE382" s="8"/>
    </row>
    <row r="383" spans="31:31" ht="15" customHeight="1">
      <c r="AE383" s="8"/>
    </row>
    <row r="384" spans="31:31" ht="15" customHeight="1">
      <c r="AE384" s="8"/>
    </row>
    <row r="385" spans="31:31" ht="15" customHeight="1">
      <c r="AE385" s="8"/>
    </row>
    <row r="386" spans="31:31" ht="15" customHeight="1">
      <c r="AE386" s="8"/>
    </row>
    <row r="387" spans="31:31" ht="15" customHeight="1">
      <c r="AE387" s="8"/>
    </row>
    <row r="388" spans="31:31" ht="15" customHeight="1">
      <c r="AE388" s="8"/>
    </row>
    <row r="389" spans="31:31" ht="15" customHeight="1">
      <c r="AE389" s="8"/>
    </row>
    <row r="390" spans="31:31" ht="15" customHeight="1">
      <c r="AE390" s="8"/>
    </row>
    <row r="391" spans="31:31" ht="15" customHeight="1">
      <c r="AE391" s="8"/>
    </row>
    <row r="392" spans="31:31" ht="15" customHeight="1">
      <c r="AE392" s="8"/>
    </row>
    <row r="393" spans="31:31" ht="15" customHeight="1">
      <c r="AE393" s="8"/>
    </row>
    <row r="394" spans="31:31" ht="15" customHeight="1">
      <c r="AE394" s="8"/>
    </row>
    <row r="395" spans="31:31" ht="15" customHeight="1">
      <c r="AE395" s="8"/>
    </row>
    <row r="396" spans="31:31" ht="15" customHeight="1">
      <c r="AE396" s="8"/>
    </row>
    <row r="397" spans="31:31" ht="15" customHeight="1">
      <c r="AE397" s="8"/>
    </row>
    <row r="398" spans="31:31" ht="15" customHeight="1">
      <c r="AE398" s="8"/>
    </row>
    <row r="399" spans="31:31" ht="15" customHeight="1">
      <c r="AE399" s="8"/>
    </row>
    <row r="400" spans="31:31" ht="15" customHeight="1">
      <c r="AE400" s="8"/>
    </row>
    <row r="401" spans="31:31" ht="15" customHeight="1">
      <c r="AE401" s="8"/>
    </row>
    <row r="402" spans="31:31" ht="15" customHeight="1">
      <c r="AE402" s="8"/>
    </row>
    <row r="403" spans="31:31" ht="15" customHeight="1">
      <c r="AE403" s="8"/>
    </row>
    <row r="404" spans="31:31" ht="15" customHeight="1">
      <c r="AE404" s="8"/>
    </row>
    <row r="405" spans="31:31" ht="15" customHeight="1">
      <c r="AE405" s="8"/>
    </row>
    <row r="406" spans="31:31" ht="15" customHeight="1">
      <c r="AE406" s="8"/>
    </row>
    <row r="407" spans="31:31" ht="15" customHeight="1">
      <c r="AE407" s="8"/>
    </row>
    <row r="408" spans="31:31" ht="15" customHeight="1">
      <c r="AE408" s="8"/>
    </row>
    <row r="409" spans="31:31" ht="15" customHeight="1">
      <c r="AE409" s="8"/>
    </row>
    <row r="410" spans="31:31" ht="15" customHeight="1">
      <c r="AE410" s="8"/>
    </row>
    <row r="411" spans="31:31" ht="15" customHeight="1">
      <c r="AE411" s="8"/>
    </row>
    <row r="412" spans="31:31" ht="15" customHeight="1">
      <c r="AE412" s="8"/>
    </row>
    <row r="413" spans="31:31" ht="15" customHeight="1">
      <c r="AE413" s="8"/>
    </row>
    <row r="414" spans="31:31" ht="15" customHeight="1">
      <c r="AE414" s="8"/>
    </row>
    <row r="415" spans="31:31" ht="15" customHeight="1">
      <c r="AE415" s="8"/>
    </row>
    <row r="416" spans="31:31" ht="15" customHeight="1">
      <c r="AE416" s="8"/>
    </row>
    <row r="417" spans="31:31" ht="15" customHeight="1">
      <c r="AE417" s="8"/>
    </row>
    <row r="418" spans="31:31" ht="15" customHeight="1">
      <c r="AE418" s="8"/>
    </row>
    <row r="419" spans="31:31" ht="15" customHeight="1">
      <c r="AE419" s="8"/>
    </row>
    <row r="420" spans="31:31" ht="15" customHeight="1">
      <c r="AE420" s="8"/>
    </row>
    <row r="421" spans="31:31" ht="15" customHeight="1">
      <c r="AE421" s="8"/>
    </row>
    <row r="422" spans="31:31" ht="15" customHeight="1">
      <c r="AE422" s="8"/>
    </row>
    <row r="423" spans="31:31" ht="15" customHeight="1">
      <c r="AE423" s="8"/>
    </row>
    <row r="424" spans="31:31" ht="15" customHeight="1">
      <c r="AE424" s="8"/>
    </row>
    <row r="425" spans="31:31" ht="15" customHeight="1">
      <c r="AE425" s="8"/>
    </row>
    <row r="426" spans="31:31" ht="15" customHeight="1">
      <c r="AE426" s="8"/>
    </row>
    <row r="427" spans="31:31" ht="15" customHeight="1">
      <c r="AE427" s="8"/>
    </row>
    <row r="428" spans="31:31" ht="15" customHeight="1">
      <c r="AE428" s="8"/>
    </row>
    <row r="429" spans="31:31" ht="15" customHeight="1">
      <c r="AE429" s="8"/>
    </row>
    <row r="430" spans="31:31" ht="15" customHeight="1">
      <c r="AE430" s="8"/>
    </row>
    <row r="431" spans="31:31" ht="15" customHeight="1">
      <c r="AE431" s="8"/>
    </row>
    <row r="432" spans="31:31" ht="15" customHeight="1">
      <c r="AE432" s="8"/>
    </row>
    <row r="433" spans="31:31" ht="15" customHeight="1">
      <c r="AE433" s="8"/>
    </row>
    <row r="434" spans="31:31" ht="15" customHeight="1">
      <c r="AE434" s="8"/>
    </row>
    <row r="435" spans="31:31" ht="15" customHeight="1">
      <c r="AE435" s="8"/>
    </row>
    <row r="436" spans="31:31" ht="15" customHeight="1">
      <c r="AE436" s="8"/>
    </row>
    <row r="437" spans="31:31" ht="15" customHeight="1">
      <c r="AE437" s="8"/>
    </row>
    <row r="438" spans="31:31" ht="15" customHeight="1">
      <c r="AE438" s="8"/>
    </row>
    <row r="439" spans="31:31" ht="15" customHeight="1">
      <c r="AE439" s="8"/>
    </row>
    <row r="440" spans="31:31" ht="15" customHeight="1">
      <c r="AE440" s="8"/>
    </row>
    <row r="441" spans="31:31" ht="15" customHeight="1">
      <c r="AE441" s="8"/>
    </row>
    <row r="442" spans="31:31" ht="15" customHeight="1">
      <c r="AE442" s="8"/>
    </row>
    <row r="443" spans="31:31" ht="15" customHeight="1">
      <c r="AE443" s="8"/>
    </row>
    <row r="444" spans="31:31" ht="15" customHeight="1">
      <c r="AE444" s="8"/>
    </row>
    <row r="445" spans="31:31" ht="15" customHeight="1">
      <c r="AE445" s="8"/>
    </row>
    <row r="446" spans="31:31" ht="15" customHeight="1">
      <c r="AE446" s="8"/>
    </row>
    <row r="447" spans="31:31" ht="15" customHeight="1">
      <c r="AE447" s="8"/>
    </row>
    <row r="448" spans="31:31" ht="15" customHeight="1">
      <c r="AE448" s="8"/>
    </row>
    <row r="449" spans="31:31" ht="15" customHeight="1">
      <c r="AE449" s="8"/>
    </row>
    <row r="450" spans="31:31" ht="15" customHeight="1">
      <c r="AE450" s="8"/>
    </row>
    <row r="451" spans="31:31" ht="15" customHeight="1">
      <c r="AE451" s="8"/>
    </row>
    <row r="452" spans="31:31" ht="15" customHeight="1">
      <c r="AE452" s="8"/>
    </row>
    <row r="453" spans="31:31" ht="15" customHeight="1">
      <c r="AE453" s="8"/>
    </row>
    <row r="454" spans="31:31" ht="15" customHeight="1">
      <c r="AE454" s="8"/>
    </row>
    <row r="455" spans="31:31" ht="15" customHeight="1">
      <c r="AE455" s="8"/>
    </row>
    <row r="456" spans="31:31" ht="15" customHeight="1">
      <c r="AE456" s="8"/>
    </row>
    <row r="457" spans="31:31" ht="15" customHeight="1">
      <c r="AE457" s="8"/>
    </row>
    <row r="458" spans="31:31" ht="15" customHeight="1">
      <c r="AE458" s="8"/>
    </row>
    <row r="459" spans="31:31" ht="15" customHeight="1">
      <c r="AE459" s="8"/>
    </row>
    <row r="460" spans="31:31" ht="15" customHeight="1">
      <c r="AE460" s="8"/>
    </row>
    <row r="461" spans="31:31" ht="15" customHeight="1">
      <c r="AE461" s="8"/>
    </row>
    <row r="462" spans="31:31" ht="15" customHeight="1">
      <c r="AE462" s="8"/>
    </row>
    <row r="463" spans="31:31" ht="15" customHeight="1">
      <c r="AE463" s="8"/>
    </row>
    <row r="464" spans="31:31" ht="15" customHeight="1">
      <c r="AE464" s="8"/>
    </row>
    <row r="465" spans="31:31" ht="15" customHeight="1">
      <c r="AE465" s="8"/>
    </row>
    <row r="466" spans="31:31" ht="15" customHeight="1">
      <c r="AE466" s="8"/>
    </row>
    <row r="467" spans="31:31" ht="15" customHeight="1">
      <c r="AE467" s="8"/>
    </row>
    <row r="468" spans="31:31" ht="15" customHeight="1">
      <c r="AE468" s="8"/>
    </row>
    <row r="469" spans="31:31" ht="15" customHeight="1">
      <c r="AE469" s="8"/>
    </row>
    <row r="470" spans="31:31" ht="15" customHeight="1">
      <c r="AE470" s="8"/>
    </row>
    <row r="471" spans="31:31" ht="15" customHeight="1">
      <c r="AE471" s="8"/>
    </row>
    <row r="472" spans="31:31" ht="15" customHeight="1">
      <c r="AE472" s="8"/>
    </row>
    <row r="473" spans="31:31" ht="15" customHeight="1">
      <c r="AE473" s="8"/>
    </row>
    <row r="474" spans="31:31" ht="15" customHeight="1">
      <c r="AE474" s="8"/>
    </row>
    <row r="475" spans="31:31" ht="15" customHeight="1">
      <c r="AE475" s="8"/>
    </row>
    <row r="476" spans="31:31" ht="15" customHeight="1">
      <c r="AE476" s="8"/>
    </row>
    <row r="477" spans="31:31" ht="15" customHeight="1">
      <c r="AE477" s="8"/>
    </row>
    <row r="478" spans="31:31" ht="15" customHeight="1">
      <c r="AE478" s="8"/>
    </row>
    <row r="479" spans="31:31" ht="15" customHeight="1">
      <c r="AE479" s="8"/>
    </row>
    <row r="480" spans="31:31" ht="15" customHeight="1">
      <c r="AE480" s="8"/>
    </row>
    <row r="481" spans="31:31" ht="15" customHeight="1">
      <c r="AE481" s="8"/>
    </row>
    <row r="482" spans="31:31" ht="15" customHeight="1">
      <c r="AE482" s="8"/>
    </row>
    <row r="483" spans="31:31" ht="15" customHeight="1">
      <c r="AE483" s="8"/>
    </row>
    <row r="484" spans="31:31" ht="15" customHeight="1">
      <c r="AE484" s="8"/>
    </row>
    <row r="485" spans="31:31" ht="15" customHeight="1">
      <c r="AE485" s="8"/>
    </row>
    <row r="486" spans="31:31" ht="15" customHeight="1">
      <c r="AE486" s="8"/>
    </row>
    <row r="487" spans="31:31" ht="15" customHeight="1">
      <c r="AE487" s="8"/>
    </row>
    <row r="488" spans="31:31" ht="15" customHeight="1">
      <c r="AE488" s="8"/>
    </row>
    <row r="489" spans="31:31" ht="15" customHeight="1">
      <c r="AE489" s="8"/>
    </row>
    <row r="490" spans="31:31" ht="15" customHeight="1">
      <c r="AE490" s="8"/>
    </row>
    <row r="491" spans="31:31" ht="15" customHeight="1">
      <c r="AE491" s="8"/>
    </row>
    <row r="492" spans="31:31" ht="15" customHeight="1">
      <c r="AE492" s="8"/>
    </row>
    <row r="493" spans="31:31" ht="15" customHeight="1">
      <c r="AE493" s="8"/>
    </row>
    <row r="494" spans="31:31" ht="15" customHeight="1">
      <c r="AE494" s="8"/>
    </row>
    <row r="495" spans="31:31" ht="15" customHeight="1">
      <c r="AE495" s="8"/>
    </row>
    <row r="496" spans="31:31" ht="15" customHeight="1">
      <c r="AE496" s="8"/>
    </row>
    <row r="497" spans="31:31" ht="15" customHeight="1">
      <c r="AE497" s="8"/>
    </row>
    <row r="498" spans="31:31" ht="15" customHeight="1">
      <c r="AE498" s="8"/>
    </row>
    <row r="499" spans="31:31" ht="15" customHeight="1">
      <c r="AE499" s="8"/>
    </row>
    <row r="500" spans="31:31" ht="15" customHeight="1">
      <c r="AE500" s="8"/>
    </row>
    <row r="501" spans="31:31" ht="15" customHeight="1">
      <c r="AE501" s="8"/>
    </row>
    <row r="502" spans="31:31" ht="15" customHeight="1">
      <c r="AE502" s="8"/>
    </row>
    <row r="503" spans="31:31" ht="15" customHeight="1">
      <c r="AE503" s="8"/>
    </row>
    <row r="504" spans="31:31" ht="15" customHeight="1">
      <c r="AE504" s="8"/>
    </row>
    <row r="505" spans="31:31" ht="15" customHeight="1">
      <c r="AE505" s="8"/>
    </row>
    <row r="506" spans="31:31" ht="15" customHeight="1">
      <c r="AE506" s="8"/>
    </row>
    <row r="507" spans="31:31" ht="15" customHeight="1">
      <c r="AE507" s="8"/>
    </row>
    <row r="508" spans="31:31" ht="15" customHeight="1">
      <c r="AE508" s="8"/>
    </row>
    <row r="509" spans="31:31" ht="15" customHeight="1">
      <c r="AE509" s="8"/>
    </row>
    <row r="510" spans="31:31" ht="15" customHeight="1">
      <c r="AE510" s="8"/>
    </row>
    <row r="511" spans="31:31" ht="15" customHeight="1">
      <c r="AE511" s="8"/>
    </row>
    <row r="512" spans="31:31" ht="15" customHeight="1">
      <c r="AE512" s="8"/>
    </row>
    <row r="513" spans="31:31" ht="15" customHeight="1">
      <c r="AE513" s="8"/>
    </row>
    <row r="514" spans="31:31" ht="15" customHeight="1">
      <c r="AE514" s="8"/>
    </row>
    <row r="515" spans="31:31" ht="15" customHeight="1">
      <c r="AE515" s="8"/>
    </row>
    <row r="516" spans="31:31" ht="15" customHeight="1">
      <c r="AE516" s="8"/>
    </row>
    <row r="517" spans="31:31" ht="15" customHeight="1">
      <c r="AE517" s="8"/>
    </row>
    <row r="518" spans="31:31" ht="15" customHeight="1">
      <c r="AE518" s="8"/>
    </row>
    <row r="519" spans="31:31" ht="15" customHeight="1">
      <c r="AE519" s="8"/>
    </row>
    <row r="520" spans="31:31" ht="15" customHeight="1">
      <c r="AE520" s="8"/>
    </row>
    <row r="521" spans="31:31" ht="15" customHeight="1">
      <c r="AE521" s="8"/>
    </row>
    <row r="522" spans="31:31" ht="15" customHeight="1">
      <c r="AE522" s="8"/>
    </row>
    <row r="523" spans="31:31" ht="15" customHeight="1">
      <c r="AE523" s="8"/>
    </row>
    <row r="524" spans="31:31" ht="15" customHeight="1">
      <c r="AE524" s="8"/>
    </row>
    <row r="525" spans="31:31" ht="15" customHeight="1">
      <c r="AE525" s="8"/>
    </row>
    <row r="526" spans="31:31" ht="15" customHeight="1">
      <c r="AE526" s="8"/>
    </row>
    <row r="527" spans="31:31" ht="15" customHeight="1">
      <c r="AE527" s="8"/>
    </row>
    <row r="528" spans="31:31" ht="15" customHeight="1">
      <c r="AE528" s="8"/>
    </row>
    <row r="529" spans="31:31" ht="15" customHeight="1">
      <c r="AE529" s="8"/>
    </row>
    <row r="530" spans="31:31" ht="15" customHeight="1">
      <c r="AE530" s="8"/>
    </row>
    <row r="531" spans="31:31" ht="15" customHeight="1">
      <c r="AE531" s="8"/>
    </row>
    <row r="532" spans="31:31" ht="15" customHeight="1">
      <c r="AE532" s="8"/>
    </row>
    <row r="533" spans="31:31" ht="15" customHeight="1">
      <c r="AE533" s="8"/>
    </row>
    <row r="534" spans="31:31" ht="15" customHeight="1">
      <c r="AE534" s="8"/>
    </row>
    <row r="535" spans="31:31" ht="15" customHeight="1">
      <c r="AE535" s="8"/>
    </row>
    <row r="536" spans="31:31" ht="15" customHeight="1">
      <c r="AE536" s="8"/>
    </row>
    <row r="537" spans="31:31" ht="15" customHeight="1">
      <c r="AE537" s="8"/>
    </row>
    <row r="538" spans="31:31" ht="15" customHeight="1">
      <c r="AE538" s="8"/>
    </row>
    <row r="539" spans="31:31" ht="15" customHeight="1">
      <c r="AE539" s="8"/>
    </row>
    <row r="540" spans="31:31" ht="15" customHeight="1">
      <c r="AE540" s="8"/>
    </row>
    <row r="541" spans="31:31" ht="15" customHeight="1">
      <c r="AE541" s="8"/>
    </row>
    <row r="542" spans="31:31" ht="15" customHeight="1">
      <c r="AE542" s="8"/>
    </row>
    <row r="543" spans="31:31" ht="15" customHeight="1">
      <c r="AE543" s="8"/>
    </row>
    <row r="544" spans="31:31" ht="15" customHeight="1">
      <c r="AE544" s="8"/>
    </row>
    <row r="545" spans="31:31" ht="15" customHeight="1">
      <c r="AE545" s="8"/>
    </row>
    <row r="546" spans="31:31" ht="15" customHeight="1">
      <c r="AE546" s="8"/>
    </row>
    <row r="547" spans="31:31" ht="15" customHeight="1">
      <c r="AE547" s="8"/>
    </row>
    <row r="548" spans="31:31" ht="15" customHeight="1">
      <c r="AE548" s="8"/>
    </row>
    <row r="549" spans="31:31" ht="15" customHeight="1">
      <c r="AE549" s="8"/>
    </row>
    <row r="550" spans="31:31" ht="15" customHeight="1">
      <c r="AE550" s="8"/>
    </row>
    <row r="551" spans="31:31" ht="15" customHeight="1">
      <c r="AE551" s="8"/>
    </row>
    <row r="552" spans="31:31" ht="15" customHeight="1">
      <c r="AE552" s="8"/>
    </row>
    <row r="553" spans="31:31" ht="15" customHeight="1">
      <c r="AE553" s="8"/>
    </row>
    <row r="554" spans="31:31" ht="15" customHeight="1">
      <c r="AE554" s="8"/>
    </row>
    <row r="555" spans="31:31" ht="15" customHeight="1">
      <c r="AE555" s="8"/>
    </row>
    <row r="556" spans="31:31" ht="15" customHeight="1">
      <c r="AE556" s="8"/>
    </row>
    <row r="557" spans="31:31" ht="15" customHeight="1">
      <c r="AE557" s="8"/>
    </row>
    <row r="558" spans="31:31" ht="15" customHeight="1">
      <c r="AE558" s="8"/>
    </row>
    <row r="559" spans="31:31" ht="15" customHeight="1">
      <c r="AE559" s="8"/>
    </row>
    <row r="560" spans="31:31" ht="15" customHeight="1">
      <c r="AE560" s="8"/>
    </row>
    <row r="561" spans="31:31" ht="15" customHeight="1">
      <c r="AE561" s="8"/>
    </row>
    <row r="562" spans="31:31" ht="15" customHeight="1">
      <c r="AE562" s="8"/>
    </row>
    <row r="563" spans="31:31" ht="15" customHeight="1">
      <c r="AE563" s="8"/>
    </row>
    <row r="564" spans="31:31" ht="15" customHeight="1">
      <c r="AE564" s="8"/>
    </row>
    <row r="565" spans="31:31" ht="15" customHeight="1">
      <c r="AE565" s="8"/>
    </row>
    <row r="566" spans="31:31" ht="15" customHeight="1">
      <c r="AE566" s="8"/>
    </row>
    <row r="567" spans="31:31" ht="15" customHeight="1">
      <c r="AE567" s="8"/>
    </row>
    <row r="568" spans="31:31" ht="15" customHeight="1">
      <c r="AE568" s="8"/>
    </row>
    <row r="569" spans="31:31" ht="15" customHeight="1">
      <c r="AE569" s="8"/>
    </row>
    <row r="570" spans="31:31" ht="15" customHeight="1">
      <c r="AE570" s="8"/>
    </row>
    <row r="571" spans="31:31" ht="15" customHeight="1">
      <c r="AE571" s="8"/>
    </row>
    <row r="572" spans="31:31" ht="15" customHeight="1">
      <c r="AE572" s="8"/>
    </row>
    <row r="573" spans="31:31" ht="15" customHeight="1">
      <c r="AE573" s="8"/>
    </row>
    <row r="574" spans="31:31" ht="15" customHeight="1">
      <c r="AE574" s="8"/>
    </row>
    <row r="575" spans="31:31" ht="15" customHeight="1">
      <c r="AE575" s="8"/>
    </row>
    <row r="576" spans="31:31" ht="15" customHeight="1">
      <c r="AE576" s="8"/>
    </row>
    <row r="577" spans="31:31" ht="15" customHeight="1">
      <c r="AE577" s="8"/>
    </row>
    <row r="578" spans="31:31" ht="15" customHeight="1">
      <c r="AE578" s="8"/>
    </row>
    <row r="579" spans="31:31" ht="15" customHeight="1">
      <c r="AE579" s="8"/>
    </row>
    <row r="580" spans="31:31" ht="15" customHeight="1">
      <c r="AE580" s="8"/>
    </row>
    <row r="581" spans="31:31" ht="15" customHeight="1">
      <c r="AE581" s="8"/>
    </row>
    <row r="582" spans="31:31" ht="15" customHeight="1">
      <c r="AE582" s="8"/>
    </row>
    <row r="583" spans="31:31" ht="15" customHeight="1">
      <c r="AE583" s="8"/>
    </row>
    <row r="584" spans="31:31" ht="15" customHeight="1">
      <c r="AE584" s="8"/>
    </row>
    <row r="585" spans="31:31" ht="15" customHeight="1">
      <c r="AE585" s="8"/>
    </row>
    <row r="586" spans="31:31" ht="15" customHeight="1">
      <c r="AE586" s="8"/>
    </row>
    <row r="587" spans="31:31" ht="15" customHeight="1">
      <c r="AE587" s="8"/>
    </row>
    <row r="588" spans="31:31" ht="15" customHeight="1">
      <c r="AE588" s="8"/>
    </row>
    <row r="589" spans="31:31" ht="15" customHeight="1">
      <c r="AE589" s="8"/>
    </row>
    <row r="590" spans="31:31" ht="15" customHeight="1">
      <c r="AE590" s="8"/>
    </row>
    <row r="591" spans="31:31" ht="15" customHeight="1">
      <c r="AE591" s="8"/>
    </row>
    <row r="592" spans="31:31" ht="15" customHeight="1">
      <c r="AE592" s="8"/>
    </row>
    <row r="593" spans="31:31" ht="15" customHeight="1">
      <c r="AE593" s="8"/>
    </row>
    <row r="594" spans="31:31" ht="15" customHeight="1">
      <c r="AE594" s="8"/>
    </row>
    <row r="595" spans="31:31" ht="15" customHeight="1">
      <c r="AE595" s="8"/>
    </row>
    <row r="596" spans="31:31" ht="15" customHeight="1">
      <c r="AE596" s="8"/>
    </row>
    <row r="597" spans="31:31" ht="15" customHeight="1">
      <c r="AE597" s="8"/>
    </row>
    <row r="598" spans="31:31" ht="15" customHeight="1">
      <c r="AE598" s="8"/>
    </row>
    <row r="599" spans="31:31" ht="15" customHeight="1">
      <c r="AE599" s="8"/>
    </row>
    <row r="600" spans="31:31" ht="15" customHeight="1">
      <c r="AE600" s="8"/>
    </row>
    <row r="601" spans="31:31" ht="15" customHeight="1">
      <c r="AE601" s="8"/>
    </row>
    <row r="602" spans="31:31" ht="15" customHeight="1">
      <c r="AE602" s="8"/>
    </row>
    <row r="603" spans="31:31" ht="15" customHeight="1">
      <c r="AE603" s="8"/>
    </row>
    <row r="604" spans="31:31" ht="15" customHeight="1">
      <c r="AE604" s="8"/>
    </row>
    <row r="605" spans="31:31" ht="15" customHeight="1">
      <c r="AE605" s="8"/>
    </row>
    <row r="606" spans="31:31" ht="15" customHeight="1">
      <c r="AE606" s="8"/>
    </row>
    <row r="607" spans="31:31" ht="15" customHeight="1">
      <c r="AE607" s="8"/>
    </row>
    <row r="608" spans="31:31" ht="15" customHeight="1">
      <c r="AE608" s="8"/>
    </row>
    <row r="609" spans="31:31" ht="15" customHeight="1">
      <c r="AE609" s="8"/>
    </row>
    <row r="610" spans="31:31" ht="15" customHeight="1">
      <c r="AE610" s="8"/>
    </row>
    <row r="611" spans="31:31" ht="15" customHeight="1">
      <c r="AE611" s="8"/>
    </row>
    <row r="612" spans="31:31" ht="15" customHeight="1">
      <c r="AE612" s="8"/>
    </row>
    <row r="613" spans="31:31" ht="15" customHeight="1">
      <c r="AE613" s="8"/>
    </row>
    <row r="614" spans="31:31" ht="15" customHeight="1">
      <c r="AE614" s="8"/>
    </row>
    <row r="615" spans="31:31" ht="15" customHeight="1">
      <c r="AE615" s="8"/>
    </row>
    <row r="616" spans="31:31" ht="15" customHeight="1">
      <c r="AE616" s="8"/>
    </row>
    <row r="617" spans="31:31" ht="15" customHeight="1">
      <c r="AE617" s="8"/>
    </row>
    <row r="618" spans="31:31" ht="15" customHeight="1">
      <c r="AE618" s="8"/>
    </row>
    <row r="619" spans="31:31" ht="15" customHeight="1">
      <c r="AE619" s="8"/>
    </row>
    <row r="620" spans="31:31" ht="15" customHeight="1">
      <c r="AE620" s="8"/>
    </row>
    <row r="621" spans="31:31" ht="15" customHeight="1">
      <c r="AE621" s="8"/>
    </row>
    <row r="622" spans="31:31" ht="15" customHeight="1">
      <c r="AE622" s="8"/>
    </row>
    <row r="623" spans="31:31" ht="15" customHeight="1">
      <c r="AE623" s="8"/>
    </row>
    <row r="624" spans="31:31" ht="15" customHeight="1">
      <c r="AE624" s="8"/>
    </row>
    <row r="625" spans="31:31" ht="15" customHeight="1">
      <c r="AE625" s="8"/>
    </row>
    <row r="626" spans="31:31" ht="15" customHeight="1">
      <c r="AE626" s="8"/>
    </row>
    <row r="627" spans="31:31" ht="15" customHeight="1">
      <c r="AE627" s="8"/>
    </row>
    <row r="628" spans="31:31" ht="15" customHeight="1">
      <c r="AE628" s="8"/>
    </row>
    <row r="629" spans="31:31" ht="15" customHeight="1">
      <c r="AE629" s="8"/>
    </row>
    <row r="630" spans="31:31" ht="15" customHeight="1">
      <c r="AE630" s="8"/>
    </row>
    <row r="631" spans="31:31" ht="15" customHeight="1">
      <c r="AE631" s="8"/>
    </row>
    <row r="632" spans="31:31" ht="15" customHeight="1">
      <c r="AE632" s="8"/>
    </row>
    <row r="633" spans="31:31" ht="15" customHeight="1">
      <c r="AE633" s="8"/>
    </row>
    <row r="634" spans="31:31" ht="15" customHeight="1">
      <c r="AE634" s="8"/>
    </row>
    <row r="635" spans="31:31" ht="15" customHeight="1">
      <c r="AE635" s="8"/>
    </row>
    <row r="636" spans="31:31" ht="15" customHeight="1">
      <c r="AE636" s="8"/>
    </row>
  </sheetData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S337"/>
  <sheetViews>
    <sheetView topLeftCell="A136" zoomScale="50" zoomScaleNormal="50" workbookViewId="0">
      <selection activeCell="Z168" sqref="Z168"/>
    </sheetView>
  </sheetViews>
  <sheetFormatPr defaultColWidth="12.5703125" defaultRowHeight="15" customHeight="1"/>
  <cols>
    <col min="3" max="3" width="14.85546875" customWidth="1"/>
    <col min="4" max="9" width="13.85546875" customWidth="1"/>
    <col min="30" max="32" width="8.28515625" customWidth="1"/>
    <col min="33" max="33" width="12.85546875" customWidth="1"/>
  </cols>
  <sheetData>
    <row r="1" spans="1:71">
      <c r="A1" s="16" t="s">
        <v>218</v>
      </c>
      <c r="B1" s="15" t="s">
        <v>219</v>
      </c>
    </row>
    <row r="2" spans="1:71">
      <c r="A2" s="251">
        <v>1</v>
      </c>
      <c r="B2" s="252">
        <v>1</v>
      </c>
      <c r="C2" s="195">
        <v>1334.6153801166299</v>
      </c>
      <c r="D2" s="195">
        <v>1300.0501746411001</v>
      </c>
      <c r="E2" s="195">
        <v>1249.87360557337</v>
      </c>
      <c r="F2" s="195">
        <v>1217.5031274276</v>
      </c>
      <c r="G2" s="195">
        <v>1170.5125335604</v>
      </c>
      <c r="H2" s="195">
        <v>1125.3355826007601</v>
      </c>
      <c r="I2" s="195">
        <v>1110.66745324518</v>
      </c>
      <c r="J2" s="195">
        <v>1053.8820869742401</v>
      </c>
      <c r="K2" s="195">
        <v>1026.58759342505</v>
      </c>
      <c r="L2" s="195">
        <v>993.46139880442195</v>
      </c>
      <c r="M2" s="195">
        <v>942.66845511788495</v>
      </c>
      <c r="N2" s="195">
        <v>906.28534485889395</v>
      </c>
      <c r="O2" s="195">
        <v>871.30647243657995</v>
      </c>
      <c r="P2" s="195">
        <v>821.35312630600504</v>
      </c>
      <c r="Q2" s="195">
        <v>784.48906546308399</v>
      </c>
      <c r="R2" s="195">
        <v>734.67771418725101</v>
      </c>
      <c r="S2" s="195">
        <v>697.11566717729704</v>
      </c>
      <c r="T2" s="195">
        <v>635.94389635534401</v>
      </c>
      <c r="U2" s="195">
        <v>591.67030338056304</v>
      </c>
      <c r="V2" s="195">
        <v>546.87961826359196</v>
      </c>
      <c r="W2" s="195">
        <v>498.89103293875598</v>
      </c>
      <c r="X2" s="195">
        <v>464.15888336127801</v>
      </c>
      <c r="Y2" s="195">
        <v>412.46263829013498</v>
      </c>
      <c r="Z2" s="195">
        <v>378.74558442069599</v>
      </c>
      <c r="AA2" s="195">
        <v>338.77747744402501</v>
      </c>
      <c r="AB2" s="195">
        <v>297.12176957046199</v>
      </c>
      <c r="AC2" s="195">
        <v>255.50970903525001</v>
      </c>
      <c r="AD2" s="253">
        <v>207.12824062701199</v>
      </c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</row>
    <row r="3" spans="1:71">
      <c r="A3" s="254">
        <v>1</v>
      </c>
      <c r="B3" s="255">
        <v>2</v>
      </c>
      <c r="C3" s="19">
        <v>1635.59288882331</v>
      </c>
      <c r="D3" s="19">
        <v>1635.59288882331</v>
      </c>
      <c r="E3" s="19">
        <v>1593.2326664560601</v>
      </c>
      <c r="F3" s="19">
        <v>1551.96953154332</v>
      </c>
      <c r="G3" s="19">
        <v>1541.8218217088699</v>
      </c>
      <c r="H3" s="19">
        <v>1492.0699154289</v>
      </c>
      <c r="I3" s="19">
        <v>1462.9927206899699</v>
      </c>
      <c r="J3" s="19">
        <v>1415.7844922791301</v>
      </c>
      <c r="K3" s="19">
        <v>1361.14105639677</v>
      </c>
      <c r="L3" s="19">
        <v>1300.0501746411001</v>
      </c>
      <c r="M3" s="19">
        <v>1249.87360557337</v>
      </c>
      <c r="N3" s="19">
        <v>1193.7766417144301</v>
      </c>
      <c r="O3" s="19">
        <v>1140.1974279225001</v>
      </c>
      <c r="P3" s="19">
        <v>1074.8281479090899</v>
      </c>
      <c r="Q3" s="19">
        <v>1000</v>
      </c>
      <c r="R3" s="19">
        <v>942.66845511788495</v>
      </c>
      <c r="S3" s="19">
        <v>888.62381627434002</v>
      </c>
      <c r="T3" s="19">
        <v>810.64724079990299</v>
      </c>
      <c r="U3" s="19">
        <v>744.38030132516803</v>
      </c>
      <c r="V3" s="19">
        <v>688.02914850672801</v>
      </c>
      <c r="W3" s="19">
        <v>631.78571283431495</v>
      </c>
      <c r="X3" s="19">
        <v>565.11489211565902</v>
      </c>
      <c r="Y3" s="19">
        <v>508.80656533554401</v>
      </c>
      <c r="Z3" s="19">
        <v>455.113437097842</v>
      </c>
      <c r="AA3" s="19">
        <v>401.78026788149299</v>
      </c>
      <c r="AB3" s="19">
        <v>357.031514948579</v>
      </c>
      <c r="AC3" s="19">
        <v>299.07731687213197</v>
      </c>
      <c r="AD3" s="185">
        <v>240.86094268388001</v>
      </c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</row>
    <row r="4" spans="1:71">
      <c r="A4" s="256">
        <v>1</v>
      </c>
      <c r="B4" s="255">
        <v>3</v>
      </c>
      <c r="C4" s="19">
        <v>1965.3834445719499</v>
      </c>
      <c r="D4" s="19">
        <v>1939.76575413008</v>
      </c>
      <c r="E4" s="19">
        <v>1927.0823994509799</v>
      </c>
      <c r="F4" s="19">
        <v>1864.89880496468</v>
      </c>
      <c r="G4" s="19">
        <v>1816.59978837532</v>
      </c>
      <c r="H4" s="19">
        <v>1792.9214109249001</v>
      </c>
      <c r="I4" s="19">
        <v>1735.06695799932</v>
      </c>
      <c r="J4" s="19">
        <v>1690.13045658436</v>
      </c>
      <c r="K4" s="19">
        <v>1624.89839920497</v>
      </c>
      <c r="L4" s="19">
        <v>1562.1840299089899</v>
      </c>
      <c r="M4" s="19">
        <v>1492.0699154289</v>
      </c>
      <c r="N4" s="19">
        <v>1425.10267030299</v>
      </c>
      <c r="O4" s="19">
        <v>1352.2410978580599</v>
      </c>
      <c r="P4" s="19">
        <v>1266.3801734674</v>
      </c>
      <c r="Q4" s="19">
        <v>1193.7766417144301</v>
      </c>
      <c r="R4" s="19">
        <v>1103.4052417075</v>
      </c>
      <c r="S4" s="19">
        <v>1019.87514655931</v>
      </c>
      <c r="T4" s="19">
        <v>936.50472203021695</v>
      </c>
      <c r="U4" s="19">
        <v>854.32660593411401</v>
      </c>
      <c r="V4" s="19">
        <v>789.65228684997203</v>
      </c>
      <c r="W4" s="19">
        <v>710.97094323124304</v>
      </c>
      <c r="X4" s="19">
        <v>635.94389635534401</v>
      </c>
      <c r="Y4" s="19">
        <v>572.57813263296896</v>
      </c>
      <c r="Z4" s="19">
        <v>502.17455206527899</v>
      </c>
      <c r="AA4" s="19">
        <v>443.32645359508501</v>
      </c>
      <c r="AB4" s="19">
        <v>383.74752195735999</v>
      </c>
      <c r="AC4" s="19">
        <v>325.70206556597799</v>
      </c>
      <c r="AD4" s="185">
        <v>257.19138090593401</v>
      </c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</row>
    <row r="5" spans="1:71">
      <c r="A5" s="256">
        <v>1</v>
      </c>
      <c r="B5" s="255">
        <v>4</v>
      </c>
      <c r="C5" s="19">
        <v>2346.2288481422602</v>
      </c>
      <c r="D5" s="19">
        <v>2361.6708721303298</v>
      </c>
      <c r="E5" s="19">
        <v>2330.8877933907002</v>
      </c>
      <c r="F5" s="19">
        <v>2285.4638641349902</v>
      </c>
      <c r="G5" s="19">
        <v>2240.92514838242</v>
      </c>
      <c r="H5" s="19">
        <v>2211.71592363128</v>
      </c>
      <c r="I5" s="19">
        <v>2154.4346900318801</v>
      </c>
      <c r="J5" s="19">
        <v>2071.2824062701102</v>
      </c>
      <c r="K5" s="19">
        <v>2044.28438120377</v>
      </c>
      <c r="L5" s="19">
        <v>1927.0823994509799</v>
      </c>
      <c r="M5" s="19">
        <v>1852.7049754089101</v>
      </c>
      <c r="N5" s="19">
        <v>1757.98127542725</v>
      </c>
      <c r="O5" s="19">
        <v>1690.13045658436</v>
      </c>
      <c r="P5" s="19">
        <v>1572.4657563836899</v>
      </c>
      <c r="Q5" s="19">
        <v>1482.3138652959899</v>
      </c>
      <c r="R5" s="19">
        <v>1379.1170878615201</v>
      </c>
      <c r="S5" s="19">
        <v>1274.71502666477</v>
      </c>
      <c r="T5" s="19">
        <v>1185.9710123376699</v>
      </c>
      <c r="U5" s="19">
        <v>1060.81835513944</v>
      </c>
      <c r="V5" s="19">
        <v>980.51217678323599</v>
      </c>
      <c r="W5" s="19">
        <v>882.81345952682898</v>
      </c>
      <c r="X5" s="19">
        <v>784.48906546308399</v>
      </c>
      <c r="Y5" s="19">
        <v>710.97094323124304</v>
      </c>
      <c r="Z5" s="19">
        <v>615.423093831144</v>
      </c>
      <c r="AA5" s="19">
        <v>543.30379053777699</v>
      </c>
      <c r="AB5" s="19">
        <v>482.79268774399401</v>
      </c>
      <c r="AC5" s="19">
        <v>396.54328343620801</v>
      </c>
      <c r="AD5" s="185">
        <v>315.19222687185999</v>
      </c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</row>
    <row r="6" spans="1:71">
      <c r="A6" s="257">
        <v>1</v>
      </c>
      <c r="B6" s="258">
        <v>5</v>
      </c>
      <c r="C6" s="21">
        <v>2990.77316872132</v>
      </c>
      <c r="D6" s="21">
        <v>2951.7900881271698</v>
      </c>
      <c r="E6" s="21">
        <v>2971.2176957046199</v>
      </c>
      <c r="F6" s="21">
        <v>2913.3151305122101</v>
      </c>
      <c r="G6" s="21">
        <v>2875.3416727733502</v>
      </c>
      <c r="H6" s="21">
        <v>2856.5409602740601</v>
      </c>
      <c r="I6" s="21">
        <v>2800.8731950288002</v>
      </c>
      <c r="J6" s="21">
        <v>2746.2902733515002</v>
      </c>
      <c r="K6" s="21">
        <v>2640.2948077388901</v>
      </c>
      <c r="L6" s="21">
        <v>2571.9138090593401</v>
      </c>
      <c r="M6" s="21">
        <v>2440.41894330271</v>
      </c>
      <c r="N6" s="21">
        <v>2361.6708721303298</v>
      </c>
      <c r="O6" s="21">
        <v>2226.27263252801</v>
      </c>
      <c r="P6" s="21">
        <v>2084.9148328891201</v>
      </c>
      <c r="Q6" s="21">
        <v>1978.31888278416</v>
      </c>
      <c r="R6" s="21">
        <v>1864.89880496468</v>
      </c>
      <c r="S6" s="21">
        <v>1746.48653695794</v>
      </c>
      <c r="T6" s="21">
        <v>1603.7187437513301</v>
      </c>
      <c r="U6" s="21">
        <v>1462.9927206899699</v>
      </c>
      <c r="V6" s="21">
        <v>1334.6153801166299</v>
      </c>
      <c r="W6" s="21">
        <v>1209.5423600229799</v>
      </c>
      <c r="X6" s="21">
        <v>1089.0229622637301</v>
      </c>
      <c r="Y6" s="21">
        <v>974.10099869184296</v>
      </c>
      <c r="Z6" s="21">
        <v>859.94947258368597</v>
      </c>
      <c r="AA6" s="21">
        <v>769.20108123985597</v>
      </c>
      <c r="AB6" s="21">
        <v>670.20988068950101</v>
      </c>
      <c r="AC6" s="21">
        <v>565.11489211565902</v>
      </c>
      <c r="AD6" s="186">
        <v>446.244266892106</v>
      </c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</row>
    <row r="7" spans="1:71">
      <c r="A7" s="177">
        <v>2</v>
      </c>
      <c r="B7" s="178">
        <v>1</v>
      </c>
      <c r="C7" s="479">
        <v>322.45905452963899</v>
      </c>
      <c r="D7" s="479">
        <v>275.85316176291798</v>
      </c>
      <c r="E7" s="479">
        <v>248.588037617776</v>
      </c>
      <c r="F7" s="479">
        <v>212.658925807896</v>
      </c>
      <c r="G7" s="479">
        <v>175.71995860248299</v>
      </c>
      <c r="H7" s="479">
        <v>145.19730941908</v>
      </c>
      <c r="I7" s="479">
        <v>111.934565672283</v>
      </c>
      <c r="J7" s="479">
        <v>84.808017572252894</v>
      </c>
      <c r="K7" s="479">
        <v>62.064561471341499</v>
      </c>
      <c r="L7" s="479">
        <v>42.375871606040597</v>
      </c>
      <c r="M7" s="479">
        <v>13.9639863687353</v>
      </c>
      <c r="N7" s="295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spans="1:71">
      <c r="A8" s="174">
        <v>2</v>
      </c>
      <c r="B8" s="179">
        <v>2</v>
      </c>
      <c r="C8" s="480">
        <v>34.413049869757302</v>
      </c>
      <c r="D8" s="480">
        <v>29.439237258586498</v>
      </c>
      <c r="E8" s="480">
        <v>26.073291306760702</v>
      </c>
      <c r="F8" s="480">
        <v>23.496226321142601</v>
      </c>
      <c r="G8" s="480">
        <v>21.1738765481903</v>
      </c>
      <c r="H8" s="480">
        <v>19.414919457438799</v>
      </c>
      <c r="I8" s="480">
        <v>18.430483272485699</v>
      </c>
      <c r="J8" s="480">
        <v>16.899425453935802</v>
      </c>
      <c r="K8" s="480">
        <v>16.042537741460801</v>
      </c>
      <c r="L8" s="480">
        <v>15.229098639341901</v>
      </c>
      <c r="M8" s="315">
        <v>15.229098639341901</v>
      </c>
      <c r="N8" s="297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71">
      <c r="A9" s="174">
        <v>2</v>
      </c>
      <c r="B9" s="179">
        <v>3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233"/>
      <c r="N9" s="462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</row>
    <row r="10" spans="1:71">
      <c r="A10" s="181">
        <v>3</v>
      </c>
      <c r="B10" s="178">
        <v>1</v>
      </c>
      <c r="C10" s="299">
        <v>656.66394802535899</v>
      </c>
      <c r="D10" s="299">
        <v>774.99498642276706</v>
      </c>
      <c r="E10" s="299">
        <v>1093.3152036615299</v>
      </c>
      <c r="F10" s="299">
        <v>1428.8332559273099</v>
      </c>
      <c r="G10" s="299">
        <v>3108.99430276779</v>
      </c>
      <c r="H10" s="299">
        <v>3861.1428297596899</v>
      </c>
      <c r="I10" s="299">
        <v>4674.5703212744202</v>
      </c>
      <c r="J10" s="299">
        <v>4919.0577226982195</v>
      </c>
      <c r="K10" s="299">
        <v>5309.9722434590403</v>
      </c>
      <c r="L10" s="299">
        <v>5176.33220086851</v>
      </c>
      <c r="M10" s="299">
        <v>4919.0577226982195</v>
      </c>
      <c r="N10" s="299">
        <v>4856.7624649102499</v>
      </c>
      <c r="O10" s="299">
        <v>4499.21276702656</v>
      </c>
      <c r="P10" s="299">
        <v>4167.9854984114199</v>
      </c>
      <c r="Q10" s="299">
        <v>3622.7685626683401</v>
      </c>
      <c r="R10" s="299">
        <v>3030.7479180437599</v>
      </c>
      <c r="S10" s="299">
        <v>2535.4732944798102</v>
      </c>
      <c r="T10" s="299">
        <v>2015.70997176795</v>
      </c>
      <c r="U10" s="299">
        <v>1582.20223122281</v>
      </c>
      <c r="V10" s="299">
        <v>1290.3309279661401</v>
      </c>
      <c r="W10" s="299">
        <v>974.83225213556295</v>
      </c>
      <c r="X10" s="299">
        <v>755.49010800827602</v>
      </c>
      <c r="Y10" s="108">
        <v>515.43881723124798</v>
      </c>
    </row>
    <row r="11" spans="1:71">
      <c r="A11" s="182">
        <v>3</v>
      </c>
      <c r="B11" s="179">
        <v>2</v>
      </c>
      <c r="C11" s="443">
        <v>35017.121479422</v>
      </c>
      <c r="D11" s="443">
        <v>21574.87754818</v>
      </c>
      <c r="E11" s="443">
        <v>14533.2124967295</v>
      </c>
      <c r="F11" s="443">
        <v>13124.452058658</v>
      </c>
      <c r="G11" s="443">
        <v>13635.9797265016</v>
      </c>
      <c r="H11" s="443">
        <v>14349.162975457701</v>
      </c>
      <c r="I11" s="443">
        <v>14908.4239518047</v>
      </c>
      <c r="J11" s="443">
        <v>14908.4239518047</v>
      </c>
      <c r="K11" s="443">
        <v>14719.622728959799</v>
      </c>
      <c r="L11" s="443">
        <v>13988.026859625599</v>
      </c>
      <c r="M11" s="443">
        <v>13124.452058658</v>
      </c>
      <c r="N11" s="443">
        <v>12314.1915274118</v>
      </c>
      <c r="O11" s="443">
        <v>11263.166821582099</v>
      </c>
      <c r="P11" s="443">
        <v>10042.5734884964</v>
      </c>
      <c r="Q11" s="443">
        <v>9069.1080396011494</v>
      </c>
      <c r="R11" s="443">
        <v>7587.0649295052499</v>
      </c>
      <c r="S11" s="443">
        <v>6594.5959552908998</v>
      </c>
      <c r="T11" s="443">
        <v>5587.6921676898401</v>
      </c>
      <c r="U11" s="443">
        <v>4556.9219140539999</v>
      </c>
      <c r="V11" s="443">
        <v>3669.2359991855901</v>
      </c>
      <c r="W11" s="443">
        <v>2917.0552134905302</v>
      </c>
      <c r="X11" s="443">
        <v>2260.70316557355</v>
      </c>
      <c r="Y11" s="109">
        <v>1797.2667761775499</v>
      </c>
    </row>
    <row r="12" spans="1:71">
      <c r="A12" s="182">
        <v>3</v>
      </c>
      <c r="B12" s="179">
        <v>3</v>
      </c>
      <c r="C12" s="444">
        <v>1465722.1822494699</v>
      </c>
      <c r="D12" s="444">
        <v>974832.25213556294</v>
      </c>
      <c r="E12" s="444">
        <v>673617.38041268697</v>
      </c>
      <c r="F12" s="444">
        <v>489820.43580093101</v>
      </c>
      <c r="G12" s="444">
        <v>342811.47486522997</v>
      </c>
      <c r="H12" s="444">
        <v>252472.46608492601</v>
      </c>
      <c r="I12" s="444">
        <v>190740.45067161601</v>
      </c>
      <c r="J12" s="444">
        <v>144102.52367944701</v>
      </c>
      <c r="K12" s="444">
        <v>110264.426846984</v>
      </c>
      <c r="L12" s="444">
        <v>89923.776750816498</v>
      </c>
      <c r="M12" s="444">
        <v>71489.711167651898</v>
      </c>
      <c r="N12" s="444">
        <v>59049.702262542298</v>
      </c>
      <c r="O12" s="444">
        <v>46944.715978542998</v>
      </c>
      <c r="P12" s="444">
        <v>38775.810617443</v>
      </c>
      <c r="Q12" s="444">
        <v>31222.3037608624</v>
      </c>
      <c r="R12" s="444">
        <v>24197.128879237</v>
      </c>
      <c r="S12" s="444">
        <v>19733.446929051501</v>
      </c>
      <c r="T12" s="444">
        <v>16093.1873217336</v>
      </c>
      <c r="U12" s="444">
        <v>12158.243827893901</v>
      </c>
      <c r="V12" s="444">
        <v>9789.8245310279108</v>
      </c>
      <c r="W12" s="444">
        <v>7490.9818598846796</v>
      </c>
      <c r="X12" s="444">
        <v>5587.6921676898401</v>
      </c>
      <c r="Y12" s="110">
        <v>4221.4461592849902</v>
      </c>
    </row>
    <row r="13" spans="1:71">
      <c r="A13" s="182">
        <v>3</v>
      </c>
      <c r="B13" s="179">
        <v>4</v>
      </c>
      <c r="C13" s="300">
        <v>7782.9441043669603</v>
      </c>
      <c r="D13" s="300">
        <v>21301.651935801801</v>
      </c>
      <c r="E13" s="300">
        <v>41327.217166581802</v>
      </c>
      <c r="F13" s="300">
        <v>48156.711963213398</v>
      </c>
      <c r="G13" s="300">
        <v>61351.174076391799</v>
      </c>
      <c r="H13" s="300">
        <v>71489.711167651898</v>
      </c>
      <c r="I13" s="300">
        <v>71489.711167651898</v>
      </c>
      <c r="J13" s="300">
        <v>67076.171380204396</v>
      </c>
      <c r="K13" s="300">
        <v>60574.218931700503</v>
      </c>
      <c r="L13" s="300">
        <v>53325.786476813999</v>
      </c>
      <c r="M13" s="300">
        <v>48774.393970032397</v>
      </c>
      <c r="N13" s="300">
        <v>42394.183282350699</v>
      </c>
      <c r="O13" s="300">
        <v>35466.268545047198</v>
      </c>
      <c r="P13" s="300">
        <v>28923.750896153699</v>
      </c>
      <c r="Q13" s="300">
        <v>23588.141640561102</v>
      </c>
      <c r="R13" s="300">
        <v>18752.6535672342</v>
      </c>
      <c r="S13" s="300">
        <v>15099.6468333024</v>
      </c>
      <c r="T13" s="300">
        <v>10979.6982788614</v>
      </c>
      <c r="U13" s="300">
        <v>8954.2562823983408</v>
      </c>
      <c r="V13" s="300">
        <v>6594.5959552908998</v>
      </c>
      <c r="W13" s="300">
        <v>4674.5703212744202</v>
      </c>
      <c r="X13" s="300">
        <v>3313.5627772627799</v>
      </c>
      <c r="Y13" s="109">
        <v>2175.89721534725</v>
      </c>
    </row>
    <row r="14" spans="1:71">
      <c r="A14" s="181">
        <v>4</v>
      </c>
      <c r="B14" s="178">
        <v>1</v>
      </c>
      <c r="C14" s="299">
        <v>193.755099576981</v>
      </c>
      <c r="D14" s="299">
        <v>244.22591280463701</v>
      </c>
      <c r="E14" s="299">
        <v>276.472350983306</v>
      </c>
      <c r="F14" s="299">
        <v>302.79521830225201</v>
      </c>
      <c r="G14" s="299">
        <v>331.62427960922702</v>
      </c>
      <c r="H14" s="299">
        <v>337.15348110081698</v>
      </c>
      <c r="I14" s="299">
        <v>331.62427960922702</v>
      </c>
      <c r="J14" s="299">
        <v>339.95255720319801</v>
      </c>
      <c r="K14" s="299">
        <v>342.77487146702902</v>
      </c>
      <c r="L14" s="299">
        <v>334.37745182323698</v>
      </c>
      <c r="M14" s="299">
        <v>337.15348110081698</v>
      </c>
      <c r="N14" s="299">
        <v>334.37745182323698</v>
      </c>
      <c r="O14" s="299">
        <v>351.38318050030898</v>
      </c>
      <c r="P14" s="299">
        <v>342.77487146702902</v>
      </c>
      <c r="Q14" s="299">
        <v>328.89377625999401</v>
      </c>
      <c r="R14" s="299">
        <v>305.30904926344499</v>
      </c>
      <c r="S14" s="299">
        <v>278.76764732157898</v>
      </c>
      <c r="T14" s="299">
        <v>242.21502363310699</v>
      </c>
      <c r="U14" s="299">
        <v>210.455259917262</v>
      </c>
      <c r="V14" s="299">
        <v>176.91140631415399</v>
      </c>
      <c r="W14" s="299">
        <v>141.51676734397901</v>
      </c>
      <c r="X14" s="349"/>
      <c r="Y14" s="221"/>
    </row>
    <row r="15" spans="1:71">
      <c r="A15" s="182">
        <v>4</v>
      </c>
      <c r="B15" s="179">
        <v>2</v>
      </c>
      <c r="C15" s="443">
        <v>1037.9059203438501</v>
      </c>
      <c r="D15" s="443">
        <v>1046.5227011899799</v>
      </c>
      <c r="E15" s="443">
        <v>1072.8046476571401</v>
      </c>
      <c r="F15" s="443">
        <v>1081.7111606255901</v>
      </c>
      <c r="G15" s="443">
        <v>971.47734008912005</v>
      </c>
      <c r="H15" s="443">
        <v>987.67486930560494</v>
      </c>
      <c r="I15" s="443">
        <v>939.87482712755298</v>
      </c>
      <c r="J15" s="443">
        <v>939.87482712755298</v>
      </c>
      <c r="K15" s="443">
        <v>865.29336825123596</v>
      </c>
      <c r="L15" s="443">
        <v>837.14505870527296</v>
      </c>
      <c r="M15" s="443">
        <v>783.56567677185603</v>
      </c>
      <c r="N15" s="443">
        <v>745.64381243880803</v>
      </c>
      <c r="O15" s="443">
        <v>697.92073960034998</v>
      </c>
      <c r="P15" s="443">
        <v>653.25206303414802</v>
      </c>
      <c r="Q15" s="443">
        <v>606.407845603856</v>
      </c>
      <c r="R15" s="443">
        <v>558.28784015865995</v>
      </c>
      <c r="S15" s="443">
        <v>505.55708082163898</v>
      </c>
      <c r="T15" s="443">
        <v>450.29891203359199</v>
      </c>
      <c r="U15" s="443">
        <v>388.033249560613</v>
      </c>
      <c r="V15" s="443">
        <v>331.62427960922702</v>
      </c>
      <c r="W15" s="300">
        <v>265.27625889613898</v>
      </c>
      <c r="X15" s="297"/>
      <c r="Y15" s="41"/>
    </row>
    <row r="16" spans="1:71">
      <c r="A16" s="182">
        <v>4</v>
      </c>
      <c r="B16" s="179">
        <v>3</v>
      </c>
      <c r="C16" s="301">
        <v>3168.82069765083</v>
      </c>
      <c r="D16" s="301">
        <v>2620.0669433512398</v>
      </c>
      <c r="E16" s="301">
        <v>2534.8352080131499</v>
      </c>
      <c r="F16" s="301">
        <v>2130.81517468623</v>
      </c>
      <c r="G16" s="301">
        <v>1994.4376629434</v>
      </c>
      <c r="H16" s="301">
        <v>1761.8158091826999</v>
      </c>
      <c r="I16" s="301">
        <v>1676.5500272882</v>
      </c>
      <c r="J16" s="301">
        <v>1530.80266651637</v>
      </c>
      <c r="K16" s="301">
        <v>1409.32958007414</v>
      </c>
      <c r="L16" s="301">
        <v>1286.8124684996501</v>
      </c>
      <c r="M16" s="301">
        <v>1194.53610769273</v>
      </c>
      <c r="N16" s="301">
        <v>1081.7111606255901</v>
      </c>
      <c r="O16" s="301">
        <v>979.54262536445106</v>
      </c>
      <c r="P16" s="301">
        <v>872.47710540475202</v>
      </c>
      <c r="Q16" s="301">
        <v>790.07090386705795</v>
      </c>
      <c r="R16" s="301">
        <v>709.55723497082397</v>
      </c>
      <c r="S16" s="301">
        <v>632.00153465094104</v>
      </c>
      <c r="T16" s="301">
        <v>540.12653265633503</v>
      </c>
      <c r="U16" s="301">
        <v>450.29891203359199</v>
      </c>
      <c r="V16" s="301">
        <v>384.83829022655101</v>
      </c>
      <c r="W16" s="301">
        <v>305.30904926344499</v>
      </c>
      <c r="X16" s="295"/>
      <c r="Y16" s="39"/>
    </row>
    <row r="17" spans="1:71">
      <c r="A17" s="181">
        <v>5</v>
      </c>
      <c r="B17" s="178">
        <v>1</v>
      </c>
      <c r="C17" s="311"/>
      <c r="D17" s="311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41"/>
      <c r="Y17" s="41"/>
    </row>
    <row r="18" spans="1:71">
      <c r="A18" s="182">
        <v>5</v>
      </c>
      <c r="B18" s="179">
        <v>2</v>
      </c>
      <c r="C18" s="457"/>
      <c r="D18" s="444"/>
      <c r="E18" s="444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71">
      <c r="A19" s="182">
        <v>5</v>
      </c>
      <c r="B19" s="179">
        <v>3</v>
      </c>
      <c r="C19" s="480"/>
      <c r="D19" s="443"/>
      <c r="E19" s="443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spans="1:71">
      <c r="A20" s="182">
        <v>5</v>
      </c>
      <c r="B20" s="179">
        <v>4</v>
      </c>
      <c r="C20" s="457"/>
      <c r="D20" s="444"/>
      <c r="E20" s="444"/>
      <c r="F20" s="444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71">
      <c r="A21" s="182">
        <v>5</v>
      </c>
      <c r="B21" s="179">
        <v>5</v>
      </c>
      <c r="C21" s="480"/>
      <c r="D21" s="443"/>
      <c r="E21" s="443"/>
      <c r="F21" s="443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71">
      <c r="A22" s="182">
        <v>5</v>
      </c>
      <c r="B22" s="179">
        <v>6</v>
      </c>
      <c r="C22" s="457"/>
      <c r="D22" s="444"/>
      <c r="E22" s="444"/>
      <c r="F22" s="444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71">
      <c r="A23" s="181">
        <v>6</v>
      </c>
      <c r="B23" s="178">
        <v>1</v>
      </c>
      <c r="C23" s="306">
        <v>762.85232849610304</v>
      </c>
      <c r="D23" s="306">
        <v>600.16934560327502</v>
      </c>
      <c r="E23" s="306">
        <v>560.41777917297202</v>
      </c>
      <c r="F23" s="306">
        <v>497.08261164373801</v>
      </c>
      <c r="G23" s="306">
        <v>426.05364554309</v>
      </c>
      <c r="H23" s="306">
        <v>418.816525457296</v>
      </c>
      <c r="I23" s="306">
        <v>384.43367967576899</v>
      </c>
      <c r="J23" s="306">
        <v>352.87350208467501</v>
      </c>
      <c r="K23" s="306">
        <v>312.99378519892298</v>
      </c>
      <c r="L23" s="306">
        <v>312.99378519892298</v>
      </c>
      <c r="M23" s="306">
        <v>292.262980908842</v>
      </c>
      <c r="N23" s="306">
        <v>297.31326465101301</v>
      </c>
      <c r="O23" s="306">
        <v>297.31326465101301</v>
      </c>
      <c r="P23" s="306">
        <v>272.90525898281101</v>
      </c>
      <c r="Q23" s="306">
        <v>272.90525898281101</v>
      </c>
      <c r="R23" s="306">
        <v>259.23311364486801</v>
      </c>
      <c r="S23" s="306">
        <v>254.82967479793399</v>
      </c>
      <c r="T23" s="306">
        <v>254.82967479793399</v>
      </c>
      <c r="U23" s="306">
        <v>246.24592234129801</v>
      </c>
      <c r="V23" s="306">
        <v>237.95130734989201</v>
      </c>
      <c r="W23" s="306">
        <v>226.03030271419101</v>
      </c>
      <c r="X23" s="306">
        <v>222.19086028509099</v>
      </c>
      <c r="Y23" s="306">
        <v>218.41663618286799</v>
      </c>
      <c r="Z23" s="195">
        <v>207.47428935801199</v>
      </c>
      <c r="AA23" s="195">
        <v>193.73245456352601</v>
      </c>
      <c r="AB23" s="195">
        <v>184.02674832194799</v>
      </c>
      <c r="AC23" s="195">
        <v>171.83793600678499</v>
      </c>
      <c r="AD23" s="195">
        <v>157.73085833909701</v>
      </c>
      <c r="AE23" s="195">
        <v>155.05157798326201</v>
      </c>
      <c r="AF23" s="195">
        <v>142.32258051077699</v>
      </c>
      <c r="AG23" s="195">
        <v>124.09377607517099</v>
      </c>
      <c r="AH23" s="195">
        <v>111.971408907037</v>
      </c>
      <c r="AI23" s="195">
        <v>101.03324122421699</v>
      </c>
      <c r="AJ23" s="195">
        <v>85.125470201606404</v>
      </c>
      <c r="AK23" s="253">
        <v>71.722391454938602</v>
      </c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</row>
    <row r="24" spans="1:71">
      <c r="A24" s="182">
        <v>6</v>
      </c>
      <c r="B24" s="179">
        <v>2</v>
      </c>
      <c r="C24" s="444">
        <v>13335.214321633201</v>
      </c>
      <c r="D24" s="444">
        <v>13335.214321633201</v>
      </c>
      <c r="E24" s="444">
        <v>11828.145730152601</v>
      </c>
      <c r="F24" s="444">
        <v>10138.0021958166</v>
      </c>
      <c r="G24" s="444">
        <v>8689.3660990644694</v>
      </c>
      <c r="H24" s="444">
        <v>7196.8567300115101</v>
      </c>
      <c r="I24" s="444">
        <v>6168.4858300179803</v>
      </c>
      <c r="J24" s="444">
        <v>5108.9697745069197</v>
      </c>
      <c r="K24" s="444">
        <v>4231.4391045215698</v>
      </c>
      <c r="L24" s="444">
        <v>3626.8016907964102</v>
      </c>
      <c r="M24" s="444">
        <v>3162.2776601683699</v>
      </c>
      <c r="N24" s="444">
        <v>2619.1161704187002</v>
      </c>
      <c r="O24" s="444">
        <v>2363.2621793645299</v>
      </c>
      <c r="P24" s="444">
        <v>1991.1645097243199</v>
      </c>
      <c r="Q24" s="444">
        <v>1766.13464363449</v>
      </c>
      <c r="R24" s="444">
        <v>1539.92652605949</v>
      </c>
      <c r="S24" s="444">
        <v>1342.6913481418601</v>
      </c>
      <c r="T24" s="444">
        <v>1232.46277130873</v>
      </c>
      <c r="U24" s="444">
        <v>1074.6078283213101</v>
      </c>
      <c r="V24" s="444">
        <v>969.63245349855504</v>
      </c>
      <c r="W24" s="444">
        <v>860.05021652038499</v>
      </c>
      <c r="X24" s="444">
        <v>762.85232849610304</v>
      </c>
      <c r="Y24" s="444">
        <v>712.32563093169597</v>
      </c>
      <c r="Z24" s="19">
        <v>621.090321860416</v>
      </c>
      <c r="AA24" s="19">
        <v>579.95307723184203</v>
      </c>
      <c r="AB24" s="19">
        <v>505.67216419087799</v>
      </c>
      <c r="AC24" s="19">
        <v>456.274492245479</v>
      </c>
      <c r="AD24" s="19">
        <v>418.816525457296</v>
      </c>
      <c r="AE24" s="19">
        <v>384.43367967576899</v>
      </c>
      <c r="AF24" s="19">
        <v>329.50130794917999</v>
      </c>
      <c r="AG24" s="19">
        <v>292.262980908842</v>
      </c>
      <c r="AH24" s="19">
        <v>250.50103454986001</v>
      </c>
      <c r="AI24" s="19">
        <v>222.19086028509099</v>
      </c>
      <c r="AJ24" s="19">
        <v>197.08013774451101</v>
      </c>
      <c r="AK24" s="192">
        <v>155</v>
      </c>
    </row>
    <row r="25" spans="1:71">
      <c r="A25" s="182">
        <v>6</v>
      </c>
      <c r="B25" s="179">
        <v>3</v>
      </c>
      <c r="C25" s="443">
        <v>89308.512749914298</v>
      </c>
      <c r="D25" s="443">
        <v>71477.057679418402</v>
      </c>
      <c r="E25" s="443">
        <v>57205.854371500798</v>
      </c>
      <c r="F25" s="443">
        <v>46575.203583555704</v>
      </c>
      <c r="G25" s="443">
        <v>38575.318790867503</v>
      </c>
      <c r="H25" s="443">
        <v>31406.8087213166</v>
      </c>
      <c r="I25" s="443">
        <v>25136.0840011543</v>
      </c>
      <c r="J25" s="443">
        <v>22680.611623180299</v>
      </c>
      <c r="K25" s="443">
        <v>18784.9275240729</v>
      </c>
      <c r="L25" s="443">
        <v>16378.9370695406</v>
      </c>
      <c r="M25" s="443">
        <v>13335.214321633201</v>
      </c>
      <c r="N25" s="443">
        <v>11828.145730152601</v>
      </c>
      <c r="O25" s="443">
        <v>9796.5109573149603</v>
      </c>
      <c r="P25" s="443">
        <v>8396.6711150183601</v>
      </c>
      <c r="Q25" s="443">
        <v>7196.8567300115101</v>
      </c>
      <c r="R25" s="443">
        <v>6063.70542697166</v>
      </c>
      <c r="S25" s="443">
        <v>5287.0605686034996</v>
      </c>
      <c r="T25" s="443">
        <v>4689.5476429003502</v>
      </c>
      <c r="U25" s="443">
        <v>4019.4503336151201</v>
      </c>
      <c r="V25" s="443">
        <v>3565.1953657755398</v>
      </c>
      <c r="W25" s="443">
        <v>3003.8522786645499</v>
      </c>
      <c r="X25" s="443">
        <v>2619.1161704187002</v>
      </c>
      <c r="Y25" s="443">
        <v>2323.11884914029</v>
      </c>
      <c r="Z25" s="19">
        <v>1991.1645097243199</v>
      </c>
      <c r="AA25" s="19">
        <v>1736.13436400452</v>
      </c>
      <c r="AB25" s="19">
        <v>1539.92652605949</v>
      </c>
      <c r="AC25" s="19">
        <v>1297.4637655722199</v>
      </c>
      <c r="AD25" s="19">
        <v>1170.7182296471201</v>
      </c>
      <c r="AE25" s="19">
        <v>1020.77158322709</v>
      </c>
      <c r="AF25" s="19">
        <v>874.91182373603897</v>
      </c>
      <c r="AG25" s="19">
        <v>762.85232849610304</v>
      </c>
      <c r="AH25" s="19">
        <v>631.82271891308801</v>
      </c>
      <c r="AI25" s="19">
        <v>550.89829539782704</v>
      </c>
      <c r="AJ25" s="19">
        <v>472.17951620069499</v>
      </c>
      <c r="AK25" s="185">
        <v>358.97113136731298</v>
      </c>
    </row>
    <row r="26" spans="1:71">
      <c r="A26" s="182">
        <v>6</v>
      </c>
      <c r="B26" s="179">
        <v>4</v>
      </c>
      <c r="C26" s="301">
        <v>249644.17014069701</v>
      </c>
      <c r="D26" s="301">
        <v>186566.35785769101</v>
      </c>
      <c r="E26" s="301">
        <v>141835.75156781799</v>
      </c>
      <c r="F26" s="301">
        <v>117473.65361173901</v>
      </c>
      <c r="G26" s="301">
        <v>97296.056462129302</v>
      </c>
      <c r="H26" s="301">
        <v>79215.382540609105</v>
      </c>
      <c r="I26" s="301">
        <v>65609.131029615397</v>
      </c>
      <c r="J26" s="301">
        <v>53416.886579476697</v>
      </c>
      <c r="K26" s="301">
        <v>45006.351688674498</v>
      </c>
      <c r="L26" s="301">
        <v>37920.062774735001</v>
      </c>
      <c r="M26" s="301">
        <v>30873.319925702599</v>
      </c>
      <c r="N26" s="301">
        <v>26012.289059673301</v>
      </c>
      <c r="O26" s="301">
        <v>21544.3469003188</v>
      </c>
      <c r="P26" s="301">
        <v>17843.830748477201</v>
      </c>
      <c r="Q26" s="301">
        <v>15294.0959163771</v>
      </c>
      <c r="R26" s="301">
        <v>12032.535255966901</v>
      </c>
      <c r="S26" s="301">
        <v>10313.1861603009</v>
      </c>
      <c r="T26" s="301">
        <v>8839.5177337443492</v>
      </c>
      <c r="U26" s="301">
        <v>7196.8567300115101</v>
      </c>
      <c r="V26" s="301">
        <v>6168.4858300179803</v>
      </c>
      <c r="W26" s="301">
        <v>5022.1867410566001</v>
      </c>
      <c r="X26" s="301">
        <v>4304.5580744612398</v>
      </c>
      <c r="Y26" s="301">
        <v>3565.1953657755398</v>
      </c>
      <c r="Z26" s="21">
        <v>3003.8522786645499</v>
      </c>
      <c r="AA26" s="21">
        <v>2530.8931450592099</v>
      </c>
      <c r="AB26" s="21">
        <v>2206.7340690845899</v>
      </c>
      <c r="AC26" s="21">
        <v>1924.0935798357</v>
      </c>
      <c r="AD26" s="21">
        <v>1621.1433851945501</v>
      </c>
      <c r="AE26" s="21">
        <v>1319.88384813262</v>
      </c>
      <c r="AF26" s="21">
        <v>1150.8319348032301</v>
      </c>
      <c r="AG26" s="21">
        <v>953.16188323478696</v>
      </c>
      <c r="AH26" s="21">
        <v>803.08572213915102</v>
      </c>
      <c r="AI26" s="21">
        <v>676.63918212400404</v>
      </c>
      <c r="AJ26" s="21">
        <v>514.41014360154497</v>
      </c>
      <c r="AK26" s="186">
        <v>433.41582255465698</v>
      </c>
    </row>
    <row r="27" spans="1:71">
      <c r="A27" s="181">
        <v>7</v>
      </c>
      <c r="B27" s="178">
        <v>1</v>
      </c>
      <c r="C27" s="216"/>
      <c r="D27" s="306"/>
      <c r="E27" s="306"/>
      <c r="F27" s="30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</row>
    <row r="28" spans="1:71">
      <c r="A28" s="182">
        <v>7</v>
      </c>
      <c r="B28" s="179">
        <v>2</v>
      </c>
      <c r="C28" s="39"/>
      <c r="D28" s="444"/>
      <c r="E28" s="444"/>
      <c r="F28" s="444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71">
      <c r="A29" s="181">
        <v>8</v>
      </c>
      <c r="B29" s="178">
        <v>1</v>
      </c>
      <c r="C29" s="41"/>
      <c r="D29" s="443"/>
      <c r="E29" s="443"/>
      <c r="F29" s="443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71">
      <c r="A30" s="182">
        <v>8</v>
      </c>
      <c r="B30" s="179">
        <v>2</v>
      </c>
      <c r="C30" s="39"/>
      <c r="D30" s="444"/>
      <c r="E30" s="444"/>
      <c r="F30" s="444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71">
      <c r="A31" s="182">
        <v>8</v>
      </c>
      <c r="B31" s="179">
        <v>3</v>
      </c>
      <c r="C31" s="41"/>
      <c r="D31" s="443"/>
      <c r="E31" s="443"/>
      <c r="F31" s="443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71">
      <c r="A32" s="182">
        <v>8</v>
      </c>
      <c r="B32" s="179">
        <v>4</v>
      </c>
      <c r="C32" s="39"/>
      <c r="D32" s="444"/>
      <c r="E32" s="444"/>
      <c r="F32" s="444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spans="1:27">
      <c r="A33" s="181">
        <v>9</v>
      </c>
      <c r="B33" s="178">
        <v>1</v>
      </c>
      <c r="C33" s="41"/>
      <c r="D33" s="443"/>
      <c r="E33" s="443"/>
      <c r="F33" s="443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7">
      <c r="A34" s="182">
        <v>9</v>
      </c>
      <c r="B34" s="179">
        <v>2</v>
      </c>
      <c r="C34" s="39"/>
      <c r="D34" s="444"/>
      <c r="E34" s="444"/>
      <c r="F34" s="444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7">
      <c r="A35" s="182">
        <v>9</v>
      </c>
      <c r="B35" s="179">
        <v>3</v>
      </c>
      <c r="C35" s="41"/>
      <c r="D35" s="443"/>
      <c r="E35" s="443"/>
      <c r="F35" s="443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7">
      <c r="A36" s="182">
        <v>9</v>
      </c>
      <c r="B36" s="179">
        <v>4</v>
      </c>
      <c r="C36" s="39"/>
      <c r="D36" s="444"/>
      <c r="E36" s="444"/>
      <c r="F36" s="444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7">
      <c r="A37" s="181">
        <v>11</v>
      </c>
      <c r="B37" s="178" t="s">
        <v>220</v>
      </c>
      <c r="C37" s="306">
        <v>655.64184941797805</v>
      </c>
      <c r="D37" s="306">
        <v>419.00791057866599</v>
      </c>
      <c r="E37" s="306">
        <v>334.96543915782701</v>
      </c>
      <c r="F37" s="306">
        <v>276.48187540100997</v>
      </c>
      <c r="G37" s="306">
        <v>241.73154808040999</v>
      </c>
      <c r="H37" s="306">
        <v>221.02654979706301</v>
      </c>
      <c r="I37" s="306">
        <v>200.80650517628499</v>
      </c>
      <c r="J37" s="306">
        <v>185.970665173849</v>
      </c>
      <c r="K37" s="306">
        <v>168.95761786607699</v>
      </c>
      <c r="L37" s="306">
        <v>161.55980984398701</v>
      </c>
      <c r="M37" s="306">
        <v>152.52229565390101</v>
      </c>
      <c r="N37" s="297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7">
      <c r="A38" s="182">
        <v>11</v>
      </c>
      <c r="B38" s="179" t="s">
        <v>221</v>
      </c>
      <c r="C38" s="444">
        <v>318.25686305580098</v>
      </c>
      <c r="D38" s="444">
        <v>221.02654979706301</v>
      </c>
      <c r="E38" s="444">
        <v>172.23091590006999</v>
      </c>
      <c r="F38" s="444">
        <v>144.91425587942101</v>
      </c>
      <c r="G38" s="444">
        <v>133.352143216332</v>
      </c>
      <c r="H38" s="444">
        <v>117.339557049307</v>
      </c>
      <c r="I38" s="444">
        <v>106.605049898479</v>
      </c>
      <c r="J38" s="444">
        <v>100</v>
      </c>
      <c r="K38" s="444">
        <v>93.206123214305194</v>
      </c>
      <c r="L38" s="444">
        <v>85.769589859089393</v>
      </c>
      <c r="M38" s="301">
        <v>77.923179843419405</v>
      </c>
      <c r="N38" s="295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7">
      <c r="A39" s="182">
        <v>11</v>
      </c>
      <c r="B39" s="179" t="s">
        <v>222</v>
      </c>
      <c r="C39" s="470">
        <v>240.19035030788001</v>
      </c>
      <c r="D39" s="470">
        <v>183.60685383587801</v>
      </c>
      <c r="E39" s="470">
        <v>157.47884548821</v>
      </c>
      <c r="F39" s="470">
        <v>138.56918628031201</v>
      </c>
      <c r="G39" s="470">
        <v>124.29236291513099</v>
      </c>
      <c r="H39" s="470">
        <v>113.646366638572</v>
      </c>
      <c r="I39" s="470">
        <v>106.605049898479</v>
      </c>
      <c r="J39" s="470">
        <v>100</v>
      </c>
      <c r="K39" s="470">
        <v>93.206123214305194</v>
      </c>
      <c r="L39" s="470">
        <v>87.992254356910706</v>
      </c>
      <c r="M39" s="323">
        <v>84.139514164519497</v>
      </c>
      <c r="N39" s="297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7">
      <c r="A40" s="357">
        <v>11</v>
      </c>
      <c r="B40" s="179" t="s">
        <v>223</v>
      </c>
      <c r="C40" s="301">
        <v>285.46676634979298</v>
      </c>
      <c r="D40" s="301">
        <v>243.282635053614</v>
      </c>
      <c r="E40" s="301">
        <v>208.66251828387001</v>
      </c>
      <c r="F40" s="301">
        <v>190.78997695786501</v>
      </c>
      <c r="G40" s="301">
        <v>171.132830416178</v>
      </c>
      <c r="H40" s="301">
        <v>159.50627677783001</v>
      </c>
      <c r="I40" s="301">
        <v>151.549865600027</v>
      </c>
      <c r="J40" s="301">
        <v>144.91425587942101</v>
      </c>
      <c r="K40" s="301">
        <v>134.20780634278</v>
      </c>
      <c r="L40" s="301">
        <v>128.331518555765</v>
      </c>
      <c r="M40" s="301">
        <v>123.499917268758</v>
      </c>
      <c r="N40" s="295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7">
      <c r="A41" s="181">
        <v>11</v>
      </c>
      <c r="B41" s="178" t="s">
        <v>224</v>
      </c>
      <c r="C41" s="216"/>
      <c r="D41" s="306"/>
      <c r="E41" s="306"/>
      <c r="F41" s="306"/>
      <c r="G41" s="216"/>
      <c r="H41" s="216"/>
      <c r="I41" s="216"/>
      <c r="J41" s="216"/>
      <c r="K41" s="216"/>
      <c r="L41" s="216"/>
      <c r="M41" s="216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7">
      <c r="A42" s="182">
        <v>11</v>
      </c>
      <c r="B42" s="179" t="s">
        <v>225</v>
      </c>
      <c r="C42" s="39"/>
      <c r="D42" s="444"/>
      <c r="E42" s="444"/>
      <c r="F42" s="444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 spans="1:27">
      <c r="A43" s="182">
        <v>11</v>
      </c>
      <c r="B43" s="179" t="s">
        <v>226</v>
      </c>
      <c r="C43" s="41"/>
      <c r="D43" s="443"/>
      <c r="E43" s="443"/>
      <c r="F43" s="443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7">
      <c r="A44" s="182">
        <v>11</v>
      </c>
      <c r="B44" s="179" t="s">
        <v>227</v>
      </c>
      <c r="C44" s="39"/>
      <c r="D44" s="444"/>
      <c r="E44" s="444"/>
      <c r="F44" s="444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spans="1:27">
      <c r="A45" s="181">
        <v>12</v>
      </c>
      <c r="B45" s="178" t="s">
        <v>220</v>
      </c>
      <c r="C45" s="307">
        <v>562700.78473477904</v>
      </c>
      <c r="D45" s="307">
        <v>388458.95512550999</v>
      </c>
      <c r="E45" s="307">
        <v>227128.08429550001</v>
      </c>
      <c r="F45" s="307">
        <v>156797.29298772701</v>
      </c>
      <c r="G45" s="307">
        <v>108244.58442728101</v>
      </c>
      <c r="H45" s="307">
        <v>79656.431763423505</v>
      </c>
      <c r="I45" s="307">
        <v>59372.444421993001</v>
      </c>
      <c r="J45" s="307">
        <v>44822.7312003548</v>
      </c>
      <c r="K45" s="307">
        <v>34714.468792597203</v>
      </c>
      <c r="L45" s="307">
        <v>28295.695616641799</v>
      </c>
      <c r="M45" s="307">
        <v>22481.805842048299</v>
      </c>
      <c r="N45" s="307">
        <v>17190.7211559961</v>
      </c>
      <c r="O45" s="307">
        <v>14012.1231918248</v>
      </c>
      <c r="P45" s="307">
        <v>11568.1284651479</v>
      </c>
      <c r="Q45" s="307">
        <v>9429.1542903016798</v>
      </c>
      <c r="R45" s="307">
        <v>7685.6852200377998</v>
      </c>
      <c r="S45" s="307">
        <v>6677.8887643450498</v>
      </c>
      <c r="T45" s="307">
        <v>5106.2501146551904</v>
      </c>
      <c r="U45" s="307">
        <v>4215.61378721664</v>
      </c>
      <c r="V45" s="307">
        <v>3570.4192644024101</v>
      </c>
      <c r="W45" s="307">
        <v>2800.7911790926</v>
      </c>
      <c r="X45" s="307">
        <v>2225.3141839322798</v>
      </c>
      <c r="Y45" s="307">
        <v>1768.0835720415</v>
      </c>
      <c r="Z45" s="196">
        <v>1301.12000363077</v>
      </c>
      <c r="AA45" s="261">
        <v>933.32588084151905</v>
      </c>
    </row>
    <row r="46" spans="1:27">
      <c r="A46" s="182">
        <v>12</v>
      </c>
      <c r="B46" s="179" t="s">
        <v>221</v>
      </c>
      <c r="C46" s="469">
        <v>5238.4271083747899</v>
      </c>
      <c r="D46" s="469">
        <v>4162.09448140933</v>
      </c>
      <c r="E46" s="469">
        <v>3954.7029531118301</v>
      </c>
      <c r="F46" s="469">
        <v>3349.44051364399</v>
      </c>
      <c r="G46" s="469">
        <v>2947.6666854558998</v>
      </c>
      <c r="H46" s="469">
        <v>2695.4555855527101</v>
      </c>
      <c r="I46" s="469">
        <v>2561.1496797345199</v>
      </c>
      <c r="J46" s="469">
        <v>2496.52747855589</v>
      </c>
      <c r="K46" s="469">
        <v>2402.6361789880498</v>
      </c>
      <c r="L46" s="469">
        <v>2464.8292208504399</v>
      </c>
      <c r="M46" s="469">
        <v>2433.5346201983998</v>
      </c>
      <c r="N46" s="469">
        <v>2342.0135454316501</v>
      </c>
      <c r="O46" s="469">
        <v>2087.5860595875802</v>
      </c>
      <c r="P46" s="469">
        <v>1908.96972975215</v>
      </c>
      <c r="Q46" s="469">
        <v>1723.46926934318</v>
      </c>
      <c r="R46" s="469">
        <v>1596.27500910189</v>
      </c>
      <c r="S46" s="469">
        <v>1404.79711535256</v>
      </c>
      <c r="T46" s="469">
        <v>1159.7723824858299</v>
      </c>
      <c r="U46" s="469">
        <v>1007.69606295448</v>
      </c>
      <c r="V46" s="469">
        <v>821.37109001445299</v>
      </c>
      <c r="W46" s="469">
        <v>669.49796899425303</v>
      </c>
      <c r="X46" s="469">
        <v>581.70880769108305</v>
      </c>
      <c r="Y46" s="469">
        <v>468.12968952395602</v>
      </c>
      <c r="Z46" s="22">
        <v>353.41077283562998</v>
      </c>
      <c r="AA46" s="259">
        <v>288.06414889277602</v>
      </c>
    </row>
    <row r="47" spans="1:27">
      <c r="A47" s="182">
        <v>12</v>
      </c>
      <c r="B47" s="179" t="s">
        <v>222</v>
      </c>
      <c r="C47" s="470">
        <v>1745.63432235659</v>
      </c>
      <c r="D47" s="470">
        <v>1236.2881621218201</v>
      </c>
      <c r="E47" s="470">
        <v>800.64570746283596</v>
      </c>
      <c r="F47" s="470">
        <v>538.77742038580698</v>
      </c>
      <c r="G47" s="470">
        <v>376.72698662347301</v>
      </c>
      <c r="H47" s="470">
        <v>273.71083635512701</v>
      </c>
      <c r="I47" s="470">
        <v>214.71060940340399</v>
      </c>
      <c r="J47" s="470">
        <v>172.788019712161</v>
      </c>
      <c r="K47" s="470">
        <v>142.65033085314201</v>
      </c>
      <c r="L47" s="470">
        <v>120.817813679325</v>
      </c>
      <c r="M47" s="470">
        <v>109.07762827131999</v>
      </c>
      <c r="N47" s="470">
        <v>98.478363628808694</v>
      </c>
      <c r="O47" s="470">
        <v>90.052306794767702</v>
      </c>
      <c r="P47" s="470">
        <v>80.269443332108096</v>
      </c>
      <c r="Q47" s="470">
        <v>71.549414373825599</v>
      </c>
      <c r="R47" s="470">
        <v>67.984270282736404</v>
      </c>
      <c r="S47" s="470">
        <v>63.776619022257201</v>
      </c>
      <c r="T47" s="470">
        <v>59.069764499745702</v>
      </c>
      <c r="U47" s="470">
        <v>56.1264528917985</v>
      </c>
      <c r="V47" s="470">
        <v>53.3297997866377</v>
      </c>
      <c r="W47" s="470">
        <v>50.0291362896238</v>
      </c>
      <c r="X47" s="470">
        <v>47.536298560814998</v>
      </c>
      <c r="Y47" s="470">
        <v>46.336876179065399</v>
      </c>
      <c r="Z47" s="22">
        <v>35.431509516214902</v>
      </c>
      <c r="AA47" s="259">
        <v>98.478363628808694</v>
      </c>
    </row>
    <row r="48" spans="1:27">
      <c r="A48" s="182">
        <v>12</v>
      </c>
      <c r="B48" s="179" t="s">
        <v>223</v>
      </c>
      <c r="C48" s="469">
        <v>713.66798014118797</v>
      </c>
      <c r="D48" s="469">
        <v>921.47594800557795</v>
      </c>
      <c r="E48" s="469">
        <v>1020.65476327748</v>
      </c>
      <c r="F48" s="469">
        <v>1060.5403701672401</v>
      </c>
      <c r="G48" s="469">
        <v>1060.5403701672401</v>
      </c>
      <c r="H48" s="469">
        <v>1101.9835704792799</v>
      </c>
      <c r="I48" s="469">
        <v>1074.1786340671099</v>
      </c>
      <c r="J48" s="469">
        <v>1020.65476327748</v>
      </c>
      <c r="K48" s="469">
        <v>969.79786486418004</v>
      </c>
      <c r="L48" s="469">
        <v>957.48486701532602</v>
      </c>
      <c r="M48" s="469">
        <v>909.77558042197802</v>
      </c>
      <c r="N48" s="469">
        <v>886.82038141481803</v>
      </c>
      <c r="O48" s="469">
        <v>810.94258647688901</v>
      </c>
      <c r="P48" s="469">
        <v>751.09251072787401</v>
      </c>
      <c r="Q48" s="469">
        <v>713.66798014118797</v>
      </c>
      <c r="R48" s="469">
        <v>644.31898141777106</v>
      </c>
      <c r="S48" s="469">
        <v>596.766825814041</v>
      </c>
      <c r="T48" s="469">
        <v>518.51517587072703</v>
      </c>
      <c r="U48" s="469">
        <v>462.18610058761601</v>
      </c>
      <c r="V48" s="469">
        <v>401.58148352883001</v>
      </c>
      <c r="W48" s="469">
        <v>335.80112026853402</v>
      </c>
      <c r="X48" s="469">
        <v>284.40675452828702</v>
      </c>
      <c r="Y48" s="469">
        <v>234.80052435297901</v>
      </c>
      <c r="Z48" s="22">
        <v>198.864494974715</v>
      </c>
      <c r="AA48" s="259">
        <v>139.051018227436</v>
      </c>
    </row>
    <row r="49" spans="1:47">
      <c r="A49" s="182">
        <v>12</v>
      </c>
      <c r="B49" s="179" t="s">
        <v>228</v>
      </c>
      <c r="C49" s="323">
        <v>2169.1667459215901</v>
      </c>
      <c r="D49" s="323">
        <v>2627.4458966318598</v>
      </c>
      <c r="E49" s="323">
        <v>2141.6260114613401</v>
      </c>
      <c r="F49" s="323">
        <v>1596.27500910189</v>
      </c>
      <c r="G49" s="323">
        <v>1130.5093351850601</v>
      </c>
      <c r="H49" s="323">
        <v>821.37109001445299</v>
      </c>
      <c r="I49" s="323">
        <v>628.06170790898295</v>
      </c>
      <c r="J49" s="323">
        <v>545.705953093483</v>
      </c>
      <c r="K49" s="323">
        <v>531.93685550257806</v>
      </c>
      <c r="L49" s="323">
        <v>505.43165551143301</v>
      </c>
      <c r="M49" s="323">
        <v>468.12968952395602</v>
      </c>
      <c r="N49" s="323">
        <v>474.14971141533101</v>
      </c>
      <c r="O49" s="323">
        <v>462.18610058761601</v>
      </c>
      <c r="P49" s="323">
        <v>422.64029369206202</v>
      </c>
      <c r="Q49" s="323">
        <v>391.44851199749098</v>
      </c>
      <c r="R49" s="323">
        <v>371.94352566424101</v>
      </c>
      <c r="S49" s="323">
        <v>327.327962686734</v>
      </c>
      <c r="T49" s="323">
        <v>295.520929875376</v>
      </c>
      <c r="U49" s="323">
        <v>273.71083635512701</v>
      </c>
      <c r="V49" s="323">
        <v>250.29144778857599</v>
      </c>
      <c r="W49" s="323">
        <v>214.71060940340399</v>
      </c>
      <c r="X49" s="323">
        <v>188.955530863809</v>
      </c>
      <c r="Y49" s="323">
        <v>160.035884454973</v>
      </c>
      <c r="Z49" s="27">
        <v>146.34295375798999</v>
      </c>
      <c r="AA49" s="262">
        <v>110.48033723156701</v>
      </c>
    </row>
    <row r="50" spans="1:47">
      <c r="A50" s="181">
        <v>12</v>
      </c>
      <c r="B50" s="178" t="s">
        <v>224</v>
      </c>
      <c r="C50" s="481"/>
      <c r="D50" s="481"/>
      <c r="E50" s="481"/>
      <c r="F50" s="481"/>
      <c r="G50" s="481"/>
      <c r="H50" s="481"/>
      <c r="I50" s="481"/>
      <c r="J50" s="481"/>
      <c r="K50" s="481"/>
      <c r="L50" s="481"/>
      <c r="M50" s="481"/>
      <c r="N50" s="481"/>
      <c r="O50" s="481"/>
      <c r="P50" s="481"/>
      <c r="Q50" s="481"/>
      <c r="R50" s="481"/>
      <c r="S50" s="481"/>
      <c r="T50" s="481"/>
      <c r="U50" s="481"/>
      <c r="V50" s="481"/>
      <c r="W50" s="481"/>
      <c r="X50" s="481"/>
      <c r="Y50" s="481"/>
    </row>
    <row r="51" spans="1:47">
      <c r="A51" s="182">
        <v>12</v>
      </c>
      <c r="B51" s="179" t="s">
        <v>225</v>
      </c>
      <c r="C51" s="413"/>
      <c r="D51" s="413"/>
      <c r="E51" s="413"/>
      <c r="F51" s="413"/>
      <c r="G51" s="413"/>
      <c r="H51" s="413"/>
      <c r="I51" s="413"/>
      <c r="J51" s="413"/>
      <c r="K51" s="413"/>
      <c r="L51" s="413"/>
      <c r="M51" s="413"/>
      <c r="N51" s="413"/>
      <c r="O51" s="413"/>
      <c r="P51" s="413"/>
      <c r="Q51" s="413"/>
      <c r="R51" s="413"/>
      <c r="S51" s="413"/>
      <c r="T51" s="413"/>
      <c r="U51" s="413"/>
      <c r="V51" s="413"/>
      <c r="W51" s="413"/>
      <c r="X51" s="413"/>
      <c r="Y51" s="413"/>
    </row>
    <row r="52" spans="1:47">
      <c r="A52" s="182">
        <v>12</v>
      </c>
      <c r="B52" s="179" t="s">
        <v>226</v>
      </c>
      <c r="C52" s="414"/>
      <c r="D52" s="414"/>
      <c r="E52" s="414"/>
      <c r="F52" s="414"/>
      <c r="G52" s="414"/>
      <c r="H52" s="414"/>
      <c r="I52" s="414"/>
      <c r="J52" s="414"/>
      <c r="K52" s="414"/>
      <c r="L52" s="414"/>
      <c r="M52" s="414"/>
      <c r="N52" s="414"/>
      <c r="O52" s="414"/>
      <c r="P52" s="414"/>
      <c r="Q52" s="414"/>
      <c r="R52" s="414"/>
      <c r="S52" s="414"/>
      <c r="T52" s="414"/>
      <c r="U52" s="414"/>
      <c r="V52" s="414"/>
      <c r="W52" s="414"/>
      <c r="X52" s="414"/>
      <c r="Y52" s="414"/>
    </row>
    <row r="53" spans="1:47">
      <c r="A53" s="182">
        <v>12</v>
      </c>
      <c r="B53" s="179" t="s">
        <v>227</v>
      </c>
      <c r="C53" s="413"/>
      <c r="D53" s="413"/>
      <c r="E53" s="413"/>
      <c r="F53" s="413"/>
      <c r="G53" s="413"/>
      <c r="H53" s="413"/>
      <c r="I53" s="413"/>
      <c r="J53" s="413"/>
      <c r="K53" s="413"/>
      <c r="L53" s="413"/>
      <c r="M53" s="413"/>
      <c r="N53" s="413"/>
      <c r="O53" s="413"/>
      <c r="P53" s="413"/>
      <c r="Q53" s="413"/>
      <c r="R53" s="413"/>
      <c r="S53" s="413"/>
      <c r="T53" s="413"/>
      <c r="U53" s="413"/>
      <c r="V53" s="413"/>
      <c r="W53" s="413"/>
      <c r="X53" s="413"/>
      <c r="Y53" s="413"/>
    </row>
    <row r="54" spans="1:47">
      <c r="A54" s="182">
        <v>12</v>
      </c>
      <c r="B54" s="179" t="s">
        <v>229</v>
      </c>
      <c r="C54" s="414"/>
      <c r="D54" s="414"/>
      <c r="E54" s="414"/>
      <c r="F54" s="414"/>
      <c r="G54" s="414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4"/>
      <c r="V54" s="414"/>
      <c r="W54" s="414"/>
      <c r="X54" s="414"/>
      <c r="Y54" s="414"/>
    </row>
    <row r="55" spans="1:47">
      <c r="A55" s="181">
        <v>13</v>
      </c>
      <c r="B55" s="178">
        <v>1</v>
      </c>
      <c r="C55" s="306">
        <v>6.07039264789507</v>
      </c>
      <c r="D55" s="306">
        <v>5.5828127477234402</v>
      </c>
      <c r="E55" s="306">
        <v>5.40588804762056</v>
      </c>
      <c r="F55" s="306">
        <v>5.2683933589457501</v>
      </c>
      <c r="G55" s="306">
        <v>5.0361407517820203</v>
      </c>
      <c r="H55" s="306">
        <v>4.7832177460339604</v>
      </c>
      <c r="I55" s="306">
        <v>4.6316329798085496</v>
      </c>
      <c r="J55" s="306">
        <v>4.5429991686720896</v>
      </c>
      <c r="K55" s="306">
        <v>4.3707853953156599</v>
      </c>
      <c r="L55" s="306">
        <v>4.2050977504401201</v>
      </c>
      <c r="M55" s="306">
        <v>4.0718341623494503</v>
      </c>
      <c r="N55" s="306">
        <v>3.8425137238918201</v>
      </c>
      <c r="O55" s="306">
        <v>3.8425137238918201</v>
      </c>
      <c r="P55" s="306">
        <v>3.64953656765746</v>
      </c>
      <c r="Q55" s="306">
        <v>3.5338792472483802</v>
      </c>
      <c r="R55" s="306">
        <v>3.35640220575615</v>
      </c>
      <c r="S55" s="306">
        <v>3.16737397062291</v>
      </c>
      <c r="T55" s="306">
        <v>3.0277415151837999</v>
      </c>
      <c r="U55" s="306">
        <v>2.8206526469209701</v>
      </c>
      <c r="V55" s="306">
        <v>2.95073319141704</v>
      </c>
      <c r="W55" s="306">
        <v>2.6963065917733799</v>
      </c>
      <c r="X55" s="306">
        <v>2.7845517109716802</v>
      </c>
      <c r="Y55" s="306">
        <v>2.3400798870409498</v>
      </c>
      <c r="Z55" s="195">
        <v>2.1800251092398502</v>
      </c>
      <c r="AA55" s="195">
        <v>2.0178791250281098</v>
      </c>
      <c r="AB55" s="195">
        <v>1.99205173851446</v>
      </c>
      <c r="AC55" s="195">
        <v>1.95393059671949</v>
      </c>
      <c r="AD55" s="195">
        <v>2.0178791250281098</v>
      </c>
      <c r="AE55" s="195">
        <v>1.85580109162762</v>
      </c>
      <c r="AF55" s="195">
        <v>1.6210268552735101</v>
      </c>
      <c r="AG55" s="195">
        <v>1.8920086587165701</v>
      </c>
      <c r="AH55" s="195">
        <v>1.65265305259449</v>
      </c>
      <c r="AI55" s="195">
        <v>1.5199110829529301</v>
      </c>
      <c r="AJ55" s="195">
        <v>1.5495645138405301</v>
      </c>
      <c r="AK55" s="195">
        <v>1.4251026703029901</v>
      </c>
      <c r="AL55" s="195">
        <v>1.6210268552735101</v>
      </c>
      <c r="AM55" s="195">
        <v>1.3448420685615401</v>
      </c>
      <c r="AN55" s="195">
        <v>1.39783033182509</v>
      </c>
      <c r="AO55" s="195">
        <v>1.2855558582567399</v>
      </c>
      <c r="AP55" s="195">
        <v>1.32762971969893</v>
      </c>
      <c r="AQ55" s="195">
        <v>1.5396163060371699</v>
      </c>
      <c r="AR55" s="195">
        <v>1.40686239167033</v>
      </c>
      <c r="AS55" s="253">
        <v>1.3448420685615401</v>
      </c>
    </row>
    <row r="56" spans="1:47">
      <c r="A56" s="182">
        <v>13</v>
      </c>
      <c r="B56" s="179">
        <v>2</v>
      </c>
      <c r="C56" s="444">
        <v>13.2336083953562</v>
      </c>
      <c r="D56" s="444">
        <v>12.6502161080688</v>
      </c>
      <c r="E56" s="444">
        <v>12.170671970221401</v>
      </c>
      <c r="F56" s="444">
        <v>12.4081276026529</v>
      </c>
      <c r="G56" s="444">
        <v>11.411494605623201</v>
      </c>
      <c r="H56" s="444">
        <v>10.9789132925508</v>
      </c>
      <c r="I56" s="444">
        <v>10.8383965061256</v>
      </c>
      <c r="J56" s="444">
        <v>10.4275399133434</v>
      </c>
      <c r="K56" s="444">
        <v>10.360589991577701</v>
      </c>
      <c r="L56" s="444">
        <v>9.7770949510583804</v>
      </c>
      <c r="M56" s="444">
        <v>9.4672494179444797</v>
      </c>
      <c r="N56" s="444">
        <v>10.162323293724301</v>
      </c>
      <c r="O56" s="444">
        <v>10.2279869941505</v>
      </c>
      <c r="P56" s="444">
        <v>9.5899896649675398</v>
      </c>
      <c r="Q56" s="444">
        <v>8.8767050765396505</v>
      </c>
      <c r="R56" s="444">
        <v>8.7630897017950407</v>
      </c>
      <c r="S56" s="444">
        <v>8.7068306454122109</v>
      </c>
      <c r="T56" s="444">
        <v>8.2164691567812795</v>
      </c>
      <c r="U56" s="444">
        <v>8.9340617740261106</v>
      </c>
      <c r="V56" s="444">
        <v>8.6509327723029497</v>
      </c>
      <c r="W56" s="444">
        <v>8.2164691567812795</v>
      </c>
      <c r="X56" s="444">
        <v>7.6544861439444096</v>
      </c>
      <c r="Y56" s="444">
        <v>7.7537244209419098</v>
      </c>
      <c r="Z56" s="19">
        <v>8.1637194055760105</v>
      </c>
      <c r="AA56" s="19">
        <v>8.0592336895874208</v>
      </c>
      <c r="AB56" s="19">
        <v>7.8542531540406104</v>
      </c>
      <c r="AC56" s="19">
        <v>7.8542531540406104</v>
      </c>
      <c r="AD56" s="19">
        <v>7.8038288304201799</v>
      </c>
      <c r="AE56" s="19">
        <v>7.6053443249960697</v>
      </c>
      <c r="AF56" s="19">
        <v>7.0396702981813402</v>
      </c>
      <c r="AG56" s="19">
        <v>7.5080014440401701</v>
      </c>
      <c r="AH56" s="19">
        <v>6.9944755984008804</v>
      </c>
      <c r="AI56" s="19">
        <v>7.0396702981813402</v>
      </c>
      <c r="AJ56" s="19">
        <v>6.8165763825136896</v>
      </c>
      <c r="AK56" s="19">
        <v>6.9495710486987203</v>
      </c>
      <c r="AL56" s="19">
        <v>6.8165763825136896</v>
      </c>
      <c r="AM56" s="19">
        <v>6.4326756089330699</v>
      </c>
      <c r="AN56" s="19">
        <v>6.4742402464589004</v>
      </c>
      <c r="AO56" s="19">
        <v>6.3095728247048397</v>
      </c>
      <c r="AP56" s="19">
        <v>6.1490935947315801</v>
      </c>
      <c r="AQ56" s="19">
        <v>5.9542229104880304</v>
      </c>
      <c r="AR56" s="19">
        <v>5.9926960330373502</v>
      </c>
      <c r="AS56" s="185">
        <v>5.5828127477234402</v>
      </c>
      <c r="AT56" s="19"/>
      <c r="AU56" s="19"/>
    </row>
    <row r="57" spans="1:47">
      <c r="A57" s="182">
        <v>13</v>
      </c>
      <c r="B57" s="179">
        <v>3</v>
      </c>
      <c r="C57" s="443">
        <v>22.441336418153099</v>
      </c>
      <c r="D57" s="443">
        <v>22.297273942597801</v>
      </c>
      <c r="E57" s="443">
        <v>19.856469538689002</v>
      </c>
      <c r="F57" s="443">
        <v>20.374674267205499</v>
      </c>
      <c r="G57" s="443">
        <v>20.638841446555301</v>
      </c>
      <c r="H57" s="443">
        <v>18.144343483120998</v>
      </c>
      <c r="I57" s="443">
        <v>19.856469538689002</v>
      </c>
      <c r="J57" s="443">
        <v>17.5693318045323</v>
      </c>
      <c r="K57" s="443">
        <v>17.9121046701284</v>
      </c>
      <c r="L57" s="443">
        <v>17.682855780000999</v>
      </c>
      <c r="M57" s="443">
        <v>17.4565323642348</v>
      </c>
      <c r="N57" s="443">
        <v>17.0125427985258</v>
      </c>
      <c r="O57" s="443">
        <v>16.158149786380001</v>
      </c>
      <c r="P57" s="443">
        <v>16.7947904863967</v>
      </c>
      <c r="Q57" s="443">
        <v>15.747171685098101</v>
      </c>
      <c r="R57" s="443">
        <v>15.150239384609501</v>
      </c>
      <c r="S57" s="443">
        <v>15.2481324304793</v>
      </c>
      <c r="T57" s="443">
        <v>15.2481324304793</v>
      </c>
      <c r="U57" s="443">
        <v>14.8603149751968</v>
      </c>
      <c r="V57" s="443">
        <v>14.389377315413499</v>
      </c>
      <c r="W57" s="443">
        <v>14.389377315413499</v>
      </c>
      <c r="X57" s="443">
        <v>14.389377315413499</v>
      </c>
      <c r="Y57" s="443">
        <v>14.2969904539361</v>
      </c>
      <c r="Z57" s="19">
        <v>14.2969904539361</v>
      </c>
      <c r="AA57" s="19">
        <v>13.8439050894901</v>
      </c>
      <c r="AB57" s="19">
        <v>13.755027186434001</v>
      </c>
      <c r="AC57" s="19">
        <v>13.319117158669</v>
      </c>
      <c r="AD57" s="19">
        <v>13.064234243746199</v>
      </c>
      <c r="AE57" s="19">
        <v>12.8970215385188</v>
      </c>
      <c r="AF57" s="19">
        <v>12.8970215385188</v>
      </c>
      <c r="AG57" s="19">
        <v>12.6502161080688</v>
      </c>
      <c r="AH57" s="19">
        <v>12.249318604911499</v>
      </c>
      <c r="AI57" s="19">
        <v>12.0149021168379</v>
      </c>
      <c r="AJ57" s="19">
        <v>11.784971681552401</v>
      </c>
      <c r="AK57" s="19">
        <v>11.937766417144299</v>
      </c>
      <c r="AL57" s="19">
        <v>11.634138324490699</v>
      </c>
      <c r="AM57" s="19">
        <v>11.485235451626901</v>
      </c>
      <c r="AN57" s="19">
        <v>11.193117143059</v>
      </c>
      <c r="AO57" s="19">
        <v>10.9084286435324</v>
      </c>
      <c r="AP57" s="19">
        <v>10.768813975204701</v>
      </c>
      <c r="AQ57" s="19">
        <v>10.562730058686</v>
      </c>
      <c r="AR57" s="19">
        <v>10.2940749795979</v>
      </c>
      <c r="AS57" s="185">
        <v>9.8402695042928308</v>
      </c>
    </row>
    <row r="58" spans="1:47">
      <c r="A58" s="182">
        <v>13</v>
      </c>
      <c r="B58" s="179">
        <v>4</v>
      </c>
      <c r="C58" s="444">
        <v>59.350790726368302</v>
      </c>
      <c r="D58" s="444">
        <v>56.734361970147503</v>
      </c>
      <c r="E58" s="444">
        <v>53.5391297065148</v>
      </c>
      <c r="F58" s="444">
        <v>49.877206215656301</v>
      </c>
      <c r="G58" s="444">
        <v>44.417323321485298</v>
      </c>
      <c r="H58" s="444">
        <v>44.704336177511699</v>
      </c>
      <c r="I58" s="444">
        <v>42.459223680513603</v>
      </c>
      <c r="J58" s="444">
        <v>38.549079074858298</v>
      </c>
      <c r="K58" s="444">
        <v>37.811361326902997</v>
      </c>
      <c r="L58" s="444">
        <v>35.452779178418297</v>
      </c>
      <c r="M58" s="444">
        <v>35.452779178418297</v>
      </c>
      <c r="N58" s="444">
        <v>33.672292442842497</v>
      </c>
      <c r="O58" s="444">
        <v>32.605185142019003</v>
      </c>
      <c r="P58" s="444">
        <v>30.967708447619302</v>
      </c>
      <c r="Q58" s="444">
        <v>30.571351793382298</v>
      </c>
      <c r="R58" s="444">
        <v>29.223632763562598</v>
      </c>
      <c r="S58" s="444">
        <v>28.115823880405902</v>
      </c>
      <c r="T58" s="444">
        <v>27.0500363785454</v>
      </c>
      <c r="U58" s="444">
        <v>26.703822129786101</v>
      </c>
      <c r="V58" s="444">
        <v>25.362719903301102</v>
      </c>
      <c r="W58" s="444">
        <v>25.038101670078401</v>
      </c>
      <c r="X58" s="444">
        <v>23.780654188084899</v>
      </c>
      <c r="Y58" s="444">
        <v>23.175799781196201</v>
      </c>
      <c r="Z58" s="19">
        <v>23.175799781196201</v>
      </c>
      <c r="AA58" s="19">
        <v>22.879183248661398</v>
      </c>
      <c r="AB58" s="19">
        <v>22.011890446642902</v>
      </c>
      <c r="AC58" s="19">
        <v>21.1774693494568</v>
      </c>
      <c r="AD58" s="19">
        <v>22.011890446642902</v>
      </c>
      <c r="AE58" s="19">
        <v>19.728981263102899</v>
      </c>
      <c r="AF58" s="19">
        <v>19.227198940339299</v>
      </c>
      <c r="AG58" s="19">
        <v>19.728981263102899</v>
      </c>
      <c r="AH58" s="19">
        <v>19.227198940339299</v>
      </c>
      <c r="AI58" s="19">
        <v>18.498334669539702</v>
      </c>
      <c r="AJ58" s="19">
        <v>18.617870531872502</v>
      </c>
      <c r="AK58" s="19">
        <v>17.682855780000999</v>
      </c>
      <c r="AL58" s="19">
        <v>18.0278523261304</v>
      </c>
      <c r="AM58" s="19">
        <v>17.233109902959399</v>
      </c>
      <c r="AN58" s="19">
        <v>17.233109902959399</v>
      </c>
      <c r="AO58" s="19">
        <v>17.0125427985258</v>
      </c>
      <c r="AP58" s="19">
        <v>16.054410482437</v>
      </c>
      <c r="AQ58" s="19">
        <v>15.5456307887078</v>
      </c>
      <c r="AR58" s="19">
        <v>15.3466655520605</v>
      </c>
      <c r="AS58" s="185">
        <v>14.670113741724199</v>
      </c>
    </row>
    <row r="59" spans="1:47">
      <c r="A59" s="182">
        <v>13</v>
      </c>
      <c r="B59" s="179">
        <v>5</v>
      </c>
      <c r="C59" s="443">
        <v>25.199884990662198</v>
      </c>
      <c r="D59" s="443">
        <v>24.2446201708232</v>
      </c>
      <c r="E59" s="443">
        <v>23.3255613279294</v>
      </c>
      <c r="F59" s="443">
        <v>22.011890446642902</v>
      </c>
      <c r="G59" s="443">
        <v>21.730148904778499</v>
      </c>
      <c r="H59" s="443">
        <v>22.297273942597801</v>
      </c>
      <c r="I59" s="443">
        <v>22.441336418153099</v>
      </c>
      <c r="J59" s="443">
        <v>20.906423403623201</v>
      </c>
      <c r="K59" s="443">
        <v>20.113908067560899</v>
      </c>
      <c r="L59" s="443">
        <v>19.856469538689002</v>
      </c>
      <c r="M59" s="443">
        <v>19.4764789948768</v>
      </c>
      <c r="N59" s="443">
        <v>19.856469538689002</v>
      </c>
      <c r="O59" s="443">
        <v>19.4764789948768</v>
      </c>
      <c r="P59" s="443">
        <v>19.4764789948768</v>
      </c>
      <c r="Q59" s="443">
        <v>19.856469538689002</v>
      </c>
      <c r="R59" s="443">
        <v>18.617870531872502</v>
      </c>
      <c r="S59" s="443">
        <v>18.981114092498402</v>
      </c>
      <c r="T59" s="443">
        <v>18.8592506619663</v>
      </c>
      <c r="U59" s="443">
        <v>18.379584349305201</v>
      </c>
      <c r="V59" s="443">
        <v>18.498334669539702</v>
      </c>
      <c r="W59" s="443">
        <v>18.0278523261304</v>
      </c>
      <c r="X59" s="443">
        <v>18.144343483120998</v>
      </c>
      <c r="Y59" s="443">
        <v>17.9121046701284</v>
      </c>
      <c r="Z59" s="19">
        <v>17.4565323642348</v>
      </c>
      <c r="AA59" s="19">
        <v>17.3444528626652</v>
      </c>
      <c r="AB59" s="19">
        <v>17.4565323642348</v>
      </c>
      <c r="AC59" s="19">
        <v>17.1224690901348</v>
      </c>
      <c r="AD59" s="19">
        <v>17.5693318045323</v>
      </c>
      <c r="AE59" s="19">
        <v>16.903318080872399</v>
      </c>
      <c r="AF59" s="19">
        <v>16.7947904863967</v>
      </c>
      <c r="AG59" s="19">
        <v>16.579841592906199</v>
      </c>
      <c r="AH59" s="19">
        <v>16.579841592906199</v>
      </c>
      <c r="AI59" s="19">
        <v>16.158149786380001</v>
      </c>
      <c r="AJ59" s="19">
        <v>16.054410482437</v>
      </c>
      <c r="AK59" s="19">
        <v>15.6460786502393</v>
      </c>
      <c r="AL59" s="19">
        <v>15.445827802682301</v>
      </c>
      <c r="AM59" s="19">
        <v>15.3466655520605</v>
      </c>
      <c r="AN59" s="19">
        <v>14.956334678818401</v>
      </c>
      <c r="AO59" s="19">
        <v>14.956334678818401</v>
      </c>
      <c r="AP59" s="19">
        <v>14.956334678818401</v>
      </c>
      <c r="AQ59" s="19">
        <v>14.205203741780499</v>
      </c>
      <c r="AR59" s="19">
        <v>14.389377315413499</v>
      </c>
      <c r="AS59" s="185">
        <v>14.0233943470688</v>
      </c>
    </row>
    <row r="60" spans="1:47">
      <c r="A60" s="182">
        <v>13</v>
      </c>
      <c r="B60" s="179">
        <v>6</v>
      </c>
      <c r="C60" s="444">
        <v>15.3466655520605</v>
      </c>
      <c r="D60" s="444">
        <v>14.5759315771882</v>
      </c>
      <c r="E60" s="444">
        <v>13.8439050894901</v>
      </c>
      <c r="F60" s="444">
        <v>13.148648598504</v>
      </c>
      <c r="G60" s="444">
        <v>13.2336083953562</v>
      </c>
      <c r="H60" s="444">
        <v>12.8970215385188</v>
      </c>
      <c r="I60" s="444">
        <v>12.6502161080688</v>
      </c>
      <c r="J60" s="444">
        <v>12.170671970221401</v>
      </c>
      <c r="K60" s="444">
        <v>11.861125928823199</v>
      </c>
      <c r="L60" s="444">
        <v>12.0149021168379</v>
      </c>
      <c r="M60" s="444">
        <v>11.937766417144299</v>
      </c>
      <c r="N60" s="444">
        <v>11.3382327835631</v>
      </c>
      <c r="O60" s="444">
        <v>11.265441302571899</v>
      </c>
      <c r="P60" s="444">
        <v>11.193117143059</v>
      </c>
      <c r="Q60" s="444">
        <v>11.265441302571899</v>
      </c>
      <c r="R60" s="444">
        <v>10.9789132925508</v>
      </c>
      <c r="S60" s="444">
        <v>10.562730058686</v>
      </c>
      <c r="T60" s="444">
        <v>10.562730058686</v>
      </c>
      <c r="U60" s="444">
        <v>10.162323293724301</v>
      </c>
      <c r="V60" s="444">
        <v>10.4275399133434</v>
      </c>
      <c r="W60" s="444">
        <v>10.360589991577701</v>
      </c>
      <c r="X60" s="444">
        <v>9.9678458526502602</v>
      </c>
      <c r="Y60" s="444">
        <v>10.0970811544084</v>
      </c>
      <c r="Z60" s="19">
        <v>9.9678458526502602</v>
      </c>
      <c r="AA60" s="19">
        <v>10.032252939990901</v>
      </c>
      <c r="AB60" s="19">
        <v>9.7770949510583804</v>
      </c>
      <c r="AC60" s="19">
        <v>9.6519552401859396</v>
      </c>
      <c r="AD60" s="19">
        <v>9.5899896649675398</v>
      </c>
      <c r="AE60" s="19">
        <v>9.5284219088869797</v>
      </c>
      <c r="AF60" s="19">
        <v>9.3460755047474304</v>
      </c>
      <c r="AG60" s="19">
        <v>9.2264570634117202</v>
      </c>
      <c r="AH60" s="19">
        <v>9.0498893920230401</v>
      </c>
      <c r="AI60" s="19">
        <v>8.9917890809581102</v>
      </c>
      <c r="AJ60" s="19">
        <v>8.8197122752317707</v>
      </c>
      <c r="AK60" s="19">
        <v>8.6509327723029497</v>
      </c>
      <c r="AL60" s="19">
        <v>8.5402071189957098</v>
      </c>
      <c r="AM60" s="19">
        <v>8.3229974765968304</v>
      </c>
      <c r="AN60" s="19">
        <v>8.2695597497173807</v>
      </c>
      <c r="AO60" s="19">
        <v>8.11130830789687</v>
      </c>
      <c r="AP60" s="19">
        <v>7.9560813545822997</v>
      </c>
      <c r="AQ60" s="19">
        <v>7.7537244209419098</v>
      </c>
      <c r="AR60" s="19">
        <v>7.5080014440401701</v>
      </c>
      <c r="AS60" s="185">
        <v>7.3170446808063101</v>
      </c>
    </row>
    <row r="61" spans="1:47">
      <c r="A61" s="182">
        <v>13</v>
      </c>
      <c r="B61" s="179">
        <v>7</v>
      </c>
      <c r="C61" s="443">
        <v>6.6861301346527497</v>
      </c>
      <c r="D61" s="443">
        <v>6.4742402464589004</v>
      </c>
      <c r="E61" s="443">
        <v>6.2690653524118298</v>
      </c>
      <c r="F61" s="443">
        <v>5.9159967854754703</v>
      </c>
      <c r="G61" s="443">
        <v>5.8780160722749102</v>
      </c>
      <c r="H61" s="443">
        <v>5.84027919534193</v>
      </c>
      <c r="I61" s="443">
        <v>5.5469710768245797</v>
      </c>
      <c r="J61" s="443">
        <v>5.37118223371019</v>
      </c>
      <c r="K61" s="443">
        <v>5.3024376096591599</v>
      </c>
      <c r="L61" s="443">
        <v>5.4759765685941497</v>
      </c>
      <c r="M61" s="443">
        <v>5.1675741049148103</v>
      </c>
      <c r="N61" s="443">
        <v>5.0686817001528999</v>
      </c>
      <c r="O61" s="443">
        <v>4.9080503069394696</v>
      </c>
      <c r="P61" s="443">
        <v>4.9397636008110304</v>
      </c>
      <c r="Q61" s="443">
        <v>4.7525094769162397</v>
      </c>
      <c r="R61" s="443">
        <v>4.6615624979052503</v>
      </c>
      <c r="S61" s="443">
        <v>4.6916831144742597</v>
      </c>
      <c r="T61" s="443">
        <v>4.6615624979052503</v>
      </c>
      <c r="U61" s="443">
        <v>4.3990271599722197</v>
      </c>
      <c r="V61" s="443">
        <v>4.3707853953156599</v>
      </c>
      <c r="W61" s="443">
        <v>4.3990271599722197</v>
      </c>
      <c r="X61" s="443">
        <v>4.2596177625605103</v>
      </c>
      <c r="Y61" s="443">
        <v>4.3707853953156599</v>
      </c>
      <c r="Z61" s="19">
        <v>3.7447822829997501</v>
      </c>
      <c r="AA61" s="19">
        <v>3.35640220575615</v>
      </c>
      <c r="AB61" s="19">
        <v>3.8425137238918201</v>
      </c>
      <c r="AC61" s="19">
        <v>3.86734206902084</v>
      </c>
      <c r="AD61" s="19">
        <v>3.5567133553087902</v>
      </c>
      <c r="AE61" s="19">
        <v>3.44399769168627</v>
      </c>
      <c r="AF61" s="19">
        <v>3.7207407719836598</v>
      </c>
      <c r="AG61" s="19">
        <v>3.4886498750686101</v>
      </c>
      <c r="AH61" s="19">
        <v>3.4662510314156898</v>
      </c>
      <c r="AI61" s="19">
        <v>3.2084380903483098</v>
      </c>
      <c r="AJ61" s="19">
        <v>3.2710362523663901</v>
      </c>
      <c r="AK61" s="19">
        <v>3.1067596045052999</v>
      </c>
      <c r="AL61" s="19">
        <v>2.98899009266108</v>
      </c>
      <c r="AM61" s="19">
        <v>2.8756849294262299</v>
      </c>
      <c r="AN61" s="19">
        <v>2.9317894774262299</v>
      </c>
      <c r="AO61" s="19">
        <v>2.8942661247167498</v>
      </c>
      <c r="AP61" s="19">
        <v>2.6447070912297401</v>
      </c>
      <c r="AQ61" s="19">
        <v>2.5281174451510999</v>
      </c>
      <c r="AR61" s="19">
        <v>2.28056171857195</v>
      </c>
      <c r="AS61" s="185">
        <v>2.00492335111826</v>
      </c>
    </row>
    <row r="62" spans="1:47">
      <c r="A62" s="183">
        <v>13</v>
      </c>
      <c r="B62" s="180">
        <v>8</v>
      </c>
      <c r="C62" s="482">
        <v>8.5402071189957098</v>
      </c>
      <c r="D62" s="482">
        <v>8.2164691567812795</v>
      </c>
      <c r="E62" s="482">
        <v>7.9050032936762102</v>
      </c>
      <c r="F62" s="482">
        <v>7.7039454920231103</v>
      </c>
      <c r="G62" s="482">
        <v>7.5565179966403102</v>
      </c>
      <c r="H62" s="482">
        <v>7.3170446808063101</v>
      </c>
      <c r="I62" s="482">
        <v>7.2233918258038399</v>
      </c>
      <c r="J62" s="482">
        <v>7.1309411633925697</v>
      </c>
      <c r="K62" s="482">
        <v>6.9944755984008804</v>
      </c>
      <c r="L62" s="482">
        <v>6.7728139461936401</v>
      </c>
      <c r="M62" s="482">
        <v>6.5581769647237502</v>
      </c>
      <c r="N62" s="482">
        <v>6.2690653524118298</v>
      </c>
      <c r="O62" s="482">
        <v>6.2288179381856903</v>
      </c>
      <c r="P62" s="482">
        <v>6.2690653524118298</v>
      </c>
      <c r="Q62" s="482">
        <v>6.1888258713013098</v>
      </c>
      <c r="R62" s="482">
        <v>6.3503420354260403</v>
      </c>
      <c r="S62" s="482">
        <v>6.2288179381856903</v>
      </c>
      <c r="T62" s="482">
        <v>6.07039264789507</v>
      </c>
      <c r="U62" s="482">
        <v>6.0314207128966304</v>
      </c>
      <c r="V62" s="482">
        <v>5.8027817377951703</v>
      </c>
      <c r="W62" s="482">
        <v>5.6551951361328303</v>
      </c>
      <c r="X62" s="482">
        <v>5.8027817377951703</v>
      </c>
      <c r="Y62" s="482">
        <v>5.7285131630833899</v>
      </c>
      <c r="Z62" s="21">
        <v>5.40588804762056</v>
      </c>
      <c r="AA62" s="21">
        <v>5.3366992312063104</v>
      </c>
      <c r="AB62" s="21">
        <v>5.5469710768245797</v>
      </c>
      <c r="AC62" s="21">
        <v>5.5469710768245797</v>
      </c>
      <c r="AD62" s="21">
        <v>5.4759765685941497</v>
      </c>
      <c r="AE62" s="21">
        <v>5.3024376096591599</v>
      </c>
      <c r="AF62" s="21">
        <v>5.13439826707405</v>
      </c>
      <c r="AG62" s="21">
        <v>5.0361407517820203</v>
      </c>
      <c r="AH62" s="21">
        <v>5.1014329113764401</v>
      </c>
      <c r="AI62" s="21">
        <v>5.0361407517820203</v>
      </c>
      <c r="AJ62" s="21">
        <v>4.8452332103500897</v>
      </c>
      <c r="AK62" s="21">
        <v>4.87654061248874</v>
      </c>
      <c r="AL62" s="21">
        <v>4.8452332103500897</v>
      </c>
      <c r="AM62" s="21">
        <v>4.7525094769162397</v>
      </c>
      <c r="AN62" s="21">
        <v>4.6018978852445596</v>
      </c>
      <c r="AO62" s="21">
        <v>4.51383310338292</v>
      </c>
      <c r="AP62" s="21">
        <v>4.4848520804718497</v>
      </c>
      <c r="AQ62" s="21">
        <v>4.2871412192157097</v>
      </c>
      <c r="AR62" s="21">
        <v>4.0981462718754198</v>
      </c>
      <c r="AS62" s="186">
        <v>3.9682720789025301</v>
      </c>
    </row>
    <row r="63" spans="1:47">
      <c r="A63" s="181">
        <v>14</v>
      </c>
      <c r="B63" s="178">
        <v>1</v>
      </c>
      <c r="C63" s="75"/>
      <c r="D63" s="75"/>
      <c r="E63" s="74"/>
      <c r="F63" s="74"/>
    </row>
    <row r="64" spans="1:47">
      <c r="A64" s="182">
        <v>14</v>
      </c>
      <c r="B64" s="179">
        <v>2</v>
      </c>
      <c r="C64" s="75"/>
      <c r="D64" s="75"/>
      <c r="E64" s="74"/>
      <c r="F64" s="74"/>
    </row>
    <row r="65" spans="1:31">
      <c r="A65" s="182">
        <v>14</v>
      </c>
      <c r="B65" s="179">
        <v>3</v>
      </c>
      <c r="C65" s="75"/>
      <c r="D65" s="75"/>
      <c r="E65" s="74"/>
      <c r="F65" s="74"/>
    </row>
    <row r="66" spans="1:31">
      <c r="A66" s="182">
        <v>14</v>
      </c>
      <c r="B66" s="179">
        <v>4</v>
      </c>
      <c r="C66" s="75"/>
      <c r="D66" s="75"/>
      <c r="E66" s="74"/>
      <c r="F66" s="74"/>
    </row>
    <row r="67" spans="1:31">
      <c r="A67" s="182">
        <v>14</v>
      </c>
      <c r="B67" s="179">
        <v>5</v>
      </c>
      <c r="C67" s="75"/>
      <c r="D67" s="75"/>
      <c r="E67" s="74"/>
      <c r="F67" s="74"/>
      <c r="G67" s="74"/>
      <c r="H67" s="74"/>
      <c r="J67" s="74"/>
      <c r="K67" s="74"/>
    </row>
    <row r="68" spans="1:31">
      <c r="A68" s="182">
        <v>14</v>
      </c>
      <c r="B68" s="179">
        <v>6</v>
      </c>
      <c r="C68" s="75"/>
      <c r="D68" s="75"/>
      <c r="E68" s="74"/>
      <c r="F68" s="74"/>
      <c r="G68" s="74"/>
      <c r="H68" s="74"/>
      <c r="J68" s="74"/>
      <c r="K68" s="74"/>
    </row>
    <row r="69" spans="1:31">
      <c r="A69" s="182">
        <v>14</v>
      </c>
      <c r="B69" s="179">
        <v>7</v>
      </c>
      <c r="C69" s="75"/>
      <c r="D69" s="75"/>
      <c r="E69" s="74"/>
      <c r="F69" s="74"/>
      <c r="G69" s="74"/>
      <c r="H69" s="74"/>
      <c r="J69" s="74"/>
      <c r="K69" s="74"/>
    </row>
    <row r="70" spans="1:31">
      <c r="A70" s="182">
        <v>14</v>
      </c>
      <c r="B70" s="179">
        <v>8</v>
      </c>
      <c r="C70" s="75"/>
      <c r="D70" s="75"/>
      <c r="E70" s="74"/>
      <c r="F70" s="74"/>
      <c r="G70" s="74"/>
      <c r="H70" s="74"/>
      <c r="J70" s="74"/>
      <c r="K70" s="74"/>
    </row>
    <row r="71" spans="1:31">
      <c r="A71" s="182">
        <v>14</v>
      </c>
      <c r="B71" s="179">
        <v>9</v>
      </c>
      <c r="C71" s="75"/>
      <c r="D71" s="75"/>
      <c r="E71" s="74"/>
      <c r="F71" s="74"/>
      <c r="G71" s="74"/>
      <c r="H71" s="74"/>
      <c r="J71" s="74"/>
      <c r="K71" s="74"/>
    </row>
    <row r="72" spans="1:31">
      <c r="A72" s="182">
        <v>14</v>
      </c>
      <c r="B72" s="179">
        <v>10</v>
      </c>
      <c r="C72" s="75"/>
      <c r="D72" s="75"/>
      <c r="E72" s="74"/>
      <c r="F72" s="74"/>
      <c r="G72" s="74"/>
      <c r="H72" s="74"/>
      <c r="I72" s="2"/>
      <c r="J72" s="74"/>
      <c r="K72" s="74"/>
      <c r="L72" s="2"/>
      <c r="M72" s="2"/>
      <c r="N72" s="2"/>
      <c r="O72" s="2"/>
    </row>
    <row r="73" spans="1:31">
      <c r="A73" s="181">
        <v>15</v>
      </c>
      <c r="B73" s="178">
        <v>1</v>
      </c>
      <c r="C73" s="76">
        <v>359.59769264420697</v>
      </c>
      <c r="D73" s="195">
        <v>355.72653103922403</v>
      </c>
      <c r="E73" s="195">
        <v>340.65528804586899</v>
      </c>
      <c r="F73" s="195">
        <v>315.80023854343801</v>
      </c>
      <c r="G73" s="195">
        <v>302.42032293988501</v>
      </c>
      <c r="H73" s="195">
        <v>271.39850428619502</v>
      </c>
      <c r="I73" s="195">
        <v>248.88850938331299</v>
      </c>
      <c r="J73" s="195">
        <v>246.209363898215</v>
      </c>
      <c r="K73" s="195">
        <v>191.953625798465</v>
      </c>
      <c r="L73" s="195">
        <v>181.84215034027801</v>
      </c>
      <c r="M73" s="195">
        <v>140.244562383747</v>
      </c>
      <c r="N73" s="195">
        <v>132.85694756382</v>
      </c>
      <c r="O73" s="253">
        <v>112.948114580263</v>
      </c>
      <c r="P73" s="2"/>
    </row>
    <row r="74" spans="1:31">
      <c r="A74" s="182">
        <v>15</v>
      </c>
      <c r="B74" s="179">
        <v>2</v>
      </c>
      <c r="C74" s="77">
        <v>726.67429101709502</v>
      </c>
      <c r="D74" s="19">
        <v>598.04423855743698</v>
      </c>
      <c r="E74" s="19">
        <v>497.53938529724002</v>
      </c>
      <c r="F74" s="19">
        <v>432.23779793018298</v>
      </c>
      <c r="G74" s="19">
        <v>363.51068165261103</v>
      </c>
      <c r="H74" s="19">
        <v>312.40082574859599</v>
      </c>
      <c r="I74" s="19">
        <v>254.33457754945701</v>
      </c>
      <c r="J74" s="19">
        <v>223.357903080075</v>
      </c>
      <c r="K74" s="19">
        <v>181.84215034027801</v>
      </c>
      <c r="L74" s="19">
        <v>163.189057993126</v>
      </c>
      <c r="M74" s="19">
        <v>123.163478887669</v>
      </c>
      <c r="N74" s="19">
        <v>114.177167880418</v>
      </c>
      <c r="O74" s="185">
        <v>89.985318726910705</v>
      </c>
      <c r="P74" s="2"/>
    </row>
    <row r="75" spans="1:31">
      <c r="A75" s="182">
        <v>15</v>
      </c>
      <c r="B75" s="179">
        <v>3</v>
      </c>
      <c r="C75" s="77">
        <v>1317.82879404243</v>
      </c>
      <c r="D75" s="19">
        <v>994.60249863802403</v>
      </c>
      <c r="E75" s="19">
        <v>750.65544175764705</v>
      </c>
      <c r="F75" s="19">
        <v>554.40991457430505</v>
      </c>
      <c r="G75" s="19">
        <v>451.36119942896698</v>
      </c>
      <c r="H75" s="19">
        <v>351.8973340549</v>
      </c>
      <c r="I75" s="19">
        <v>286.48983107892798</v>
      </c>
      <c r="J75" s="19">
        <v>191.953625798465</v>
      </c>
      <c r="K75" s="19">
        <v>152.92869883176701</v>
      </c>
      <c r="L75" s="19">
        <v>124.50369143347299</v>
      </c>
      <c r="M75" s="19">
        <v>94.989022984706097</v>
      </c>
      <c r="N75" s="19">
        <v>78.174828288877706</v>
      </c>
      <c r="O75" s="185">
        <v>64.337000552647794</v>
      </c>
      <c r="P75" s="2"/>
    </row>
    <row r="76" spans="1:31">
      <c r="A76" s="182">
        <v>15</v>
      </c>
      <c r="B76" s="179">
        <v>4</v>
      </c>
      <c r="C76" s="77">
        <v>1904.01639477092</v>
      </c>
      <c r="D76" s="19">
        <v>1468.46133335181</v>
      </c>
      <c r="E76" s="19">
        <v>1072.8831051943901</v>
      </c>
      <c r="F76" s="19">
        <v>809.73575863837402</v>
      </c>
      <c r="G76" s="19">
        <v>624.50337781535097</v>
      </c>
      <c r="H76" s="19">
        <v>502.95339708246701</v>
      </c>
      <c r="I76" s="19">
        <v>375.50698393036299</v>
      </c>
      <c r="J76" s="19">
        <v>295.94459435658899</v>
      </c>
      <c r="K76" s="19">
        <v>228.24532182284801</v>
      </c>
      <c r="L76" s="19">
        <v>177.948363047284</v>
      </c>
      <c r="M76" s="19">
        <v>131.426816891611</v>
      </c>
      <c r="N76" s="19">
        <v>100.27096214407899</v>
      </c>
      <c r="O76" s="185">
        <v>83.419836948294503</v>
      </c>
      <c r="P76" s="2"/>
    </row>
    <row r="77" spans="1:31">
      <c r="A77" s="182">
        <v>15</v>
      </c>
      <c r="B77" s="179">
        <v>5</v>
      </c>
      <c r="C77" s="77">
        <v>4241.2823357346297</v>
      </c>
      <c r="D77" s="19">
        <v>2999.7556117578301</v>
      </c>
      <c r="E77" s="19">
        <v>2191.6721358046402</v>
      </c>
      <c r="F77" s="19">
        <v>1566.9846304641301</v>
      </c>
      <c r="G77" s="19">
        <v>1144.8654478255601</v>
      </c>
      <c r="H77" s="19">
        <v>792.39622662344095</v>
      </c>
      <c r="I77" s="19">
        <v>560.44276724898998</v>
      </c>
      <c r="J77" s="19">
        <v>409.46895536369499</v>
      </c>
      <c r="K77" s="19">
        <v>299.16493744694202</v>
      </c>
      <c r="L77" s="19">
        <v>225.788388696558</v>
      </c>
      <c r="M77" s="19">
        <v>161.43241913091799</v>
      </c>
      <c r="N77" s="19">
        <v>119.22868312000899</v>
      </c>
      <c r="O77" s="185">
        <v>96.022653095414</v>
      </c>
      <c r="P77" s="2"/>
    </row>
    <row r="78" spans="1:31">
      <c r="A78" s="182">
        <v>15</v>
      </c>
      <c r="B78" s="179">
        <v>6</v>
      </c>
      <c r="C78" s="78">
        <v>7130.4027010711798</v>
      </c>
      <c r="D78" s="21">
        <v>5266.28343758967</v>
      </c>
      <c r="E78" s="21">
        <v>3566.9041527478898</v>
      </c>
      <c r="F78" s="21">
        <v>2634.39935310583</v>
      </c>
      <c r="G78" s="21">
        <v>1823.3479845033601</v>
      </c>
      <c r="H78" s="21">
        <v>1361.31989891423</v>
      </c>
      <c r="I78" s="21">
        <v>994.60249863802403</v>
      </c>
      <c r="J78" s="21">
        <v>688.39551806268798</v>
      </c>
      <c r="K78" s="21">
        <v>508.42632183916197</v>
      </c>
      <c r="L78" s="21">
        <v>355.72653103922403</v>
      </c>
      <c r="M78" s="21">
        <v>262.72815024625299</v>
      </c>
      <c r="N78" s="21">
        <v>194.042383438564</v>
      </c>
      <c r="O78" s="186">
        <v>140.244562383747</v>
      </c>
      <c r="P78" s="2"/>
    </row>
    <row r="79" spans="1:31">
      <c r="A79" s="237">
        <v>16</v>
      </c>
      <c r="B79" s="58">
        <v>1</v>
      </c>
      <c r="C79" s="75"/>
      <c r="D79" s="75"/>
      <c r="E79" s="74"/>
      <c r="F79" s="74"/>
      <c r="G79" s="74"/>
      <c r="H79" s="74"/>
      <c r="I79" s="2"/>
      <c r="J79" s="74"/>
      <c r="K79" s="74"/>
      <c r="L79" s="2"/>
      <c r="M79" s="2"/>
      <c r="N79" s="2"/>
      <c r="O79" s="2"/>
    </row>
    <row r="80" spans="1:31">
      <c r="A80" s="205">
        <v>16</v>
      </c>
      <c r="B80" s="59">
        <v>2</v>
      </c>
      <c r="C80" s="75"/>
      <c r="D80" s="74"/>
      <c r="E80" s="74"/>
      <c r="F80" s="74"/>
      <c r="G80" s="74"/>
      <c r="H80" s="74"/>
      <c r="I80" s="2"/>
      <c r="J80" s="74"/>
      <c r="K80" s="74"/>
      <c r="L80" s="2"/>
      <c r="M80" s="2"/>
      <c r="N80" s="2"/>
      <c r="O80" s="2"/>
      <c r="AE80" s="79"/>
    </row>
    <row r="81" spans="1:55">
      <c r="A81" s="213">
        <v>16</v>
      </c>
      <c r="B81" s="203">
        <v>3</v>
      </c>
      <c r="C81" s="80"/>
      <c r="D81" s="81"/>
      <c r="E81" s="81"/>
      <c r="F81" s="81"/>
      <c r="G81" s="81"/>
      <c r="H81" s="81"/>
      <c r="I81" s="30"/>
      <c r="J81" s="81"/>
      <c r="K81" s="81"/>
      <c r="L81" s="30"/>
      <c r="M81" s="30"/>
      <c r="N81" s="30"/>
      <c r="O81" s="30"/>
      <c r="AE81" s="28"/>
    </row>
    <row r="82" spans="1:55">
      <c r="A82" s="205">
        <v>17</v>
      </c>
      <c r="B82" s="59">
        <v>1</v>
      </c>
      <c r="C82" s="75"/>
      <c r="D82" s="74"/>
      <c r="E82" s="74"/>
      <c r="F82" s="74"/>
      <c r="G82" s="74"/>
      <c r="H82" s="74"/>
      <c r="I82" s="2"/>
      <c r="J82" s="74"/>
      <c r="K82" s="74"/>
      <c r="L82" s="2"/>
      <c r="M82" s="2"/>
      <c r="N82" s="2"/>
      <c r="O82" s="2"/>
      <c r="AE82" s="79"/>
    </row>
    <row r="83" spans="1:55">
      <c r="A83" s="205">
        <v>17</v>
      </c>
      <c r="B83" s="59">
        <v>2</v>
      </c>
      <c r="C83" s="75"/>
      <c r="D83" s="74"/>
      <c r="E83" s="74"/>
      <c r="F83" s="74"/>
      <c r="G83" s="74"/>
      <c r="H83" s="74"/>
      <c r="J83" s="74"/>
      <c r="K83" s="74"/>
      <c r="AE83" s="79"/>
    </row>
    <row r="84" spans="1:55">
      <c r="A84" s="205">
        <v>17</v>
      </c>
      <c r="B84" s="59">
        <v>3</v>
      </c>
      <c r="C84" s="75"/>
      <c r="D84" s="74"/>
      <c r="E84" s="74"/>
      <c r="F84" s="74"/>
      <c r="G84" s="74"/>
      <c r="H84" s="74"/>
      <c r="J84" s="74"/>
      <c r="K84" s="74"/>
      <c r="AE84" s="79"/>
    </row>
    <row r="85" spans="1:55">
      <c r="A85" s="213">
        <v>17</v>
      </c>
      <c r="B85" s="203">
        <v>4</v>
      </c>
      <c r="C85" s="75"/>
      <c r="D85" s="74"/>
      <c r="E85" s="74"/>
      <c r="F85" s="74"/>
      <c r="G85" s="74"/>
      <c r="H85" s="74"/>
      <c r="J85" s="74"/>
      <c r="K85" s="74"/>
      <c r="AE85" s="79"/>
    </row>
    <row r="86" spans="1:55">
      <c r="A86" s="200">
        <v>18</v>
      </c>
      <c r="B86" s="59">
        <v>1</v>
      </c>
      <c r="C86" s="75"/>
      <c r="D86" s="74"/>
      <c r="E86" s="74"/>
      <c r="F86" s="74"/>
      <c r="G86" s="74"/>
      <c r="H86" s="74"/>
      <c r="J86" s="74"/>
      <c r="K86" s="74"/>
      <c r="AE86" s="79"/>
    </row>
    <row r="87" spans="1:55">
      <c r="A87" s="202">
        <v>18</v>
      </c>
      <c r="B87" s="203">
        <v>2</v>
      </c>
      <c r="C87" s="75"/>
      <c r="D87" s="74"/>
      <c r="E87" s="74"/>
      <c r="F87" s="74"/>
      <c r="G87" s="74"/>
      <c r="H87" s="74"/>
      <c r="J87" s="74"/>
      <c r="K87" s="74"/>
      <c r="AD87" s="82"/>
      <c r="AE87" s="79"/>
    </row>
    <row r="88" spans="1:55">
      <c r="A88" s="201">
        <v>19</v>
      </c>
      <c r="B88" s="58">
        <v>1</v>
      </c>
      <c r="C88" s="75"/>
      <c r="D88" s="74"/>
      <c r="E88" s="74"/>
      <c r="F88" s="74"/>
      <c r="G88" s="74"/>
      <c r="H88" s="74"/>
      <c r="J88" s="74"/>
      <c r="K88" s="74"/>
      <c r="AD88" s="82"/>
      <c r="AE88" s="79"/>
    </row>
    <row r="89" spans="1:55">
      <c r="A89" s="200">
        <v>19</v>
      </c>
      <c r="B89" s="59">
        <v>2</v>
      </c>
      <c r="C89" s="75"/>
      <c r="D89" s="74"/>
      <c r="E89" s="74"/>
      <c r="F89" s="74"/>
      <c r="G89" s="74"/>
      <c r="H89" s="74"/>
      <c r="J89" s="74"/>
      <c r="K89" s="74"/>
      <c r="AD89" s="82"/>
      <c r="AE89" s="79"/>
    </row>
    <row r="90" spans="1:55">
      <c r="A90" s="200">
        <v>19</v>
      </c>
      <c r="B90" s="59">
        <v>3</v>
      </c>
      <c r="C90" s="75"/>
      <c r="D90" s="74"/>
      <c r="E90" s="74"/>
      <c r="F90" s="74"/>
      <c r="G90" s="74"/>
      <c r="H90" s="74"/>
      <c r="J90" s="74"/>
      <c r="K90" s="74"/>
      <c r="AD90" s="82"/>
      <c r="AE90" s="28"/>
    </row>
    <row r="91" spans="1:55">
      <c r="A91" s="200">
        <v>19</v>
      </c>
      <c r="B91" s="59">
        <v>4</v>
      </c>
      <c r="C91" s="75"/>
      <c r="D91" s="74"/>
      <c r="E91" s="74"/>
      <c r="F91" s="74"/>
      <c r="G91" s="74"/>
      <c r="H91" s="74"/>
      <c r="J91" s="74"/>
      <c r="K91" s="74"/>
      <c r="AD91" s="82"/>
      <c r="AE91" s="28"/>
    </row>
    <row r="92" spans="1:55">
      <c r="A92" s="202">
        <v>19</v>
      </c>
      <c r="B92" s="203">
        <v>5</v>
      </c>
      <c r="C92" s="75"/>
      <c r="D92" s="74"/>
      <c r="E92" s="74"/>
      <c r="F92" s="74"/>
      <c r="G92" s="74"/>
      <c r="H92" s="74"/>
      <c r="I92" s="2"/>
      <c r="J92" s="74"/>
      <c r="K92" s="7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D92" s="82"/>
      <c r="AE92" s="28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</row>
    <row r="93" spans="1:55">
      <c r="A93" s="237">
        <v>20</v>
      </c>
      <c r="B93" s="178" t="s">
        <v>220</v>
      </c>
      <c r="C93" s="84">
        <v>12227112.01</v>
      </c>
      <c r="D93" s="263">
        <v>5093802.8989882004</v>
      </c>
      <c r="E93" s="263">
        <v>2384868.36405381</v>
      </c>
      <c r="F93" s="263">
        <v>1053259.00585013</v>
      </c>
      <c r="G93" s="263">
        <v>413905.703898129</v>
      </c>
      <c r="H93" s="263">
        <v>172432.711216881</v>
      </c>
      <c r="I93" s="263">
        <v>76153.419650912401</v>
      </c>
      <c r="J93" s="263">
        <v>21083.540744240399</v>
      </c>
      <c r="K93" s="264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  <c r="AA93" s="207"/>
      <c r="AB93" s="2"/>
      <c r="AD93" s="82"/>
      <c r="AE93" s="28"/>
      <c r="AF93" s="74"/>
    </row>
    <row r="94" spans="1:55">
      <c r="A94" s="205">
        <v>20</v>
      </c>
      <c r="B94" s="179" t="s">
        <v>221</v>
      </c>
      <c r="C94" s="85">
        <v>5093802.8989882004</v>
      </c>
      <c r="D94" s="86">
        <v>3193195.4748219401</v>
      </c>
      <c r="E94" s="86">
        <v>699954.89949613798</v>
      </c>
      <c r="F94" s="86">
        <v>275065.92629942001</v>
      </c>
      <c r="G94" s="86">
        <v>128783.00785269</v>
      </c>
      <c r="H94" s="86">
        <v>53650.875050926501</v>
      </c>
      <c r="I94" s="86">
        <v>14011.316127968499</v>
      </c>
      <c r="J94" s="86">
        <v>4621.5547275509198</v>
      </c>
      <c r="K94" s="7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08"/>
      <c r="AB94" s="2"/>
      <c r="AD94" s="82"/>
      <c r="AF94" s="74"/>
    </row>
    <row r="95" spans="1:55">
      <c r="A95" s="205">
        <v>20</v>
      </c>
      <c r="B95" s="179" t="s">
        <v>222</v>
      </c>
      <c r="C95" s="85">
        <v>1680164.53</v>
      </c>
      <c r="D95" s="86">
        <v>554194.22532624705</v>
      </c>
      <c r="E95" s="86">
        <v>309129.04414636898</v>
      </c>
      <c r="F95" s="86">
        <v>80731.392012954602</v>
      </c>
      <c r="G95" s="86">
        <v>45031.898394247801</v>
      </c>
      <c r="H95" s="86">
        <v>15746.4426213939</v>
      </c>
      <c r="I95" s="86">
        <v>10464.4967404199</v>
      </c>
      <c r="J95" s="86">
        <v>5506.1</v>
      </c>
      <c r="K95" s="7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08"/>
      <c r="AB95" s="2"/>
      <c r="AD95" s="82"/>
      <c r="AF95" s="74"/>
    </row>
    <row r="96" spans="1:55">
      <c r="A96" s="205">
        <v>20</v>
      </c>
      <c r="B96" s="179" t="s">
        <v>223</v>
      </c>
      <c r="C96" s="85">
        <v>5093802.8989882004</v>
      </c>
      <c r="D96" s="86">
        <v>3193195.4748219401</v>
      </c>
      <c r="E96" s="86">
        <v>699954.89949613798</v>
      </c>
      <c r="F96" s="86">
        <v>275065.92629942001</v>
      </c>
      <c r="G96" s="86">
        <v>128783.00785269</v>
      </c>
      <c r="H96" s="86">
        <v>53650.875050926501</v>
      </c>
      <c r="I96" s="86">
        <v>14011.316127968499</v>
      </c>
      <c r="J96" s="86">
        <v>4621.5547275509198</v>
      </c>
      <c r="K96" s="7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08"/>
      <c r="AB96" s="2"/>
      <c r="AD96" s="82"/>
      <c r="AF96" s="74"/>
    </row>
    <row r="97" spans="1:32">
      <c r="A97" s="205">
        <v>20</v>
      </c>
      <c r="B97" s="179" t="s">
        <v>224</v>
      </c>
      <c r="C97" s="87">
        <v>610.79289178461102</v>
      </c>
      <c r="D97" s="79">
        <v>446.553560500478</v>
      </c>
      <c r="E97" s="79">
        <v>381.824451670011</v>
      </c>
      <c r="F97" s="79">
        <v>294.11287549929</v>
      </c>
      <c r="G97" s="79">
        <v>251.48044344500599</v>
      </c>
      <c r="H97" s="79">
        <v>193.71075759389799</v>
      </c>
      <c r="I97" s="79">
        <v>165.631875643266</v>
      </c>
      <c r="J97" s="79">
        <v>134.41984242750601</v>
      </c>
      <c r="K97" s="79">
        <v>109.089473074323</v>
      </c>
      <c r="L97" s="79">
        <v>88.532572632467705</v>
      </c>
      <c r="M97" s="79">
        <v>71.849429610711198</v>
      </c>
      <c r="N97" s="79">
        <v>58.309965815874598</v>
      </c>
      <c r="O97" s="79">
        <v>47.321993023776997</v>
      </c>
      <c r="P97" s="79">
        <v>38.404601896246298</v>
      </c>
      <c r="Q97" s="79">
        <v>31.167554646927201</v>
      </c>
      <c r="R97" s="79">
        <v>21.627801349441501</v>
      </c>
      <c r="S97" s="79">
        <v>17.552242575646801</v>
      </c>
      <c r="T97" s="79">
        <v>15.812215788169</v>
      </c>
      <c r="U97" s="79">
        <v>12.8325272319756</v>
      </c>
      <c r="V97" s="79">
        <v>10.4143563737719</v>
      </c>
      <c r="W97" s="79">
        <v>8.9047521670690202</v>
      </c>
      <c r="X97" s="79">
        <v>7.6139850047054498</v>
      </c>
      <c r="Y97" s="79">
        <v>5.8649230397579597</v>
      </c>
      <c r="Z97" s="79">
        <v>5.2834993641578798</v>
      </c>
      <c r="AA97" s="265">
        <v>4.7597241037810498</v>
      </c>
      <c r="AB97" s="2"/>
      <c r="AD97" s="82"/>
      <c r="AF97" s="74"/>
    </row>
    <row r="98" spans="1:32">
      <c r="A98" s="205">
        <v>20</v>
      </c>
      <c r="B98" s="179" t="s">
        <v>225</v>
      </c>
      <c r="C98" s="88">
        <v>11763283.727299999</v>
      </c>
      <c r="D98" s="74">
        <v>6979571.875</v>
      </c>
      <c r="E98" s="74">
        <v>4843275.8439999996</v>
      </c>
      <c r="F98" s="74">
        <v>3189913.503</v>
      </c>
      <c r="G98" s="74">
        <v>1994107.9713000001</v>
      </c>
      <c r="H98" s="74">
        <v>1313371.5174</v>
      </c>
      <c r="I98" s="74">
        <v>1011667.72295859</v>
      </c>
      <c r="J98" s="74">
        <v>632423</v>
      </c>
      <c r="K98" s="74">
        <v>395346.0638</v>
      </c>
      <c r="L98" s="74">
        <v>247142.35555565599</v>
      </c>
      <c r="M98" s="74">
        <v>171497.1171</v>
      </c>
      <c r="N98" s="74">
        <v>112952.878961105</v>
      </c>
      <c r="O98" s="74">
        <v>78380.164099999995</v>
      </c>
      <c r="P98" s="74">
        <v>48997.726699999999</v>
      </c>
      <c r="Q98" s="74">
        <v>30629.908100000001</v>
      </c>
      <c r="R98" s="74">
        <v>21254.755499999999</v>
      </c>
      <c r="S98" s="79"/>
      <c r="T98" s="79"/>
      <c r="U98" s="79"/>
      <c r="V98" s="79"/>
      <c r="W98" s="79"/>
      <c r="X98" s="79"/>
      <c r="Y98" s="79"/>
      <c r="Z98" s="79"/>
      <c r="AA98" s="265"/>
      <c r="AB98" s="2"/>
      <c r="AD98" s="82"/>
      <c r="AF98" s="74"/>
    </row>
    <row r="99" spans="1:32">
      <c r="A99" s="205">
        <v>20</v>
      </c>
      <c r="B99" s="179" t="s">
        <v>226</v>
      </c>
      <c r="C99" s="89">
        <v>88.532572632467705</v>
      </c>
      <c r="D99" s="28">
        <v>93.276668072898005</v>
      </c>
      <c r="E99" s="28">
        <v>71.849429610711198</v>
      </c>
      <c r="F99" s="28">
        <v>49.857783464072497</v>
      </c>
      <c r="G99" s="28">
        <v>44.915174084224702</v>
      </c>
      <c r="H99" s="28">
        <v>40.462546123213301</v>
      </c>
      <c r="I99" s="28">
        <v>75.699544221395101</v>
      </c>
      <c r="J99" s="28">
        <v>36.451260360106801</v>
      </c>
      <c r="K99" s="28">
        <v>29.582358081219098</v>
      </c>
      <c r="L99" s="28">
        <v>25.294317753973701</v>
      </c>
      <c r="M99" s="28">
        <v>28.077785362341402</v>
      </c>
      <c r="N99" s="28">
        <v>29.582358081219098</v>
      </c>
      <c r="O99" s="28">
        <v>28.077785362341402</v>
      </c>
      <c r="P99" s="28">
        <v>26.649735923324599</v>
      </c>
      <c r="Q99" s="28">
        <v>26.649735923324599</v>
      </c>
      <c r="R99" s="28">
        <v>26.649735923324599</v>
      </c>
      <c r="S99" s="28">
        <v>25.294317753973701</v>
      </c>
      <c r="T99" s="28">
        <v>22.786746026157999</v>
      </c>
      <c r="U99" s="28">
        <v>29.582358081219098</v>
      </c>
      <c r="V99" s="28">
        <v>22.786746026157999</v>
      </c>
      <c r="W99" s="28">
        <v>22.786746026157999</v>
      </c>
      <c r="X99" s="28">
        <v>24.0078367935727</v>
      </c>
      <c r="Y99" s="28">
        <v>24.0078367935727</v>
      </c>
      <c r="Z99" s="28">
        <v>24.0078367935727</v>
      </c>
      <c r="AA99" s="208"/>
      <c r="AB99" s="2"/>
      <c r="AD99" s="82"/>
      <c r="AF99" s="74"/>
    </row>
    <row r="100" spans="1:32">
      <c r="A100" s="205">
        <v>20</v>
      </c>
      <c r="B100" s="179" t="s">
        <v>227</v>
      </c>
      <c r="C100" s="89">
        <v>444.89187015326098</v>
      </c>
      <c r="D100" s="28">
        <v>181.813183694749</v>
      </c>
      <c r="E100" s="28">
        <v>132.92471330145699</v>
      </c>
      <c r="F100" s="28">
        <v>88.863325241862398</v>
      </c>
      <c r="G100" s="28">
        <v>74.301276294019999</v>
      </c>
      <c r="H100" s="28">
        <v>22.1997220266413</v>
      </c>
      <c r="I100" s="28">
        <v>12.976878349358399</v>
      </c>
      <c r="J100" s="28">
        <v>9.9215880906881804</v>
      </c>
      <c r="K100" s="28">
        <v>5.7996781009596603</v>
      </c>
      <c r="L100" s="28">
        <v>5.3032382144981396</v>
      </c>
      <c r="M100" s="28">
        <v>8.2957505487575407</v>
      </c>
      <c r="N100" s="28">
        <v>2.9643703131629699</v>
      </c>
      <c r="O100" s="28">
        <v>5.0711885527923899</v>
      </c>
      <c r="P100" s="28">
        <v>1.7328236790528599</v>
      </c>
      <c r="Q100" s="28">
        <v>1.7328236790528599</v>
      </c>
      <c r="R100" s="2"/>
      <c r="S100" s="2"/>
      <c r="T100" s="2"/>
      <c r="U100" s="2"/>
      <c r="V100" s="2"/>
      <c r="W100" s="2"/>
      <c r="X100" s="2"/>
      <c r="Y100" s="2"/>
      <c r="Z100" s="2"/>
      <c r="AA100" s="208"/>
      <c r="AB100" s="2"/>
      <c r="AD100" s="90"/>
      <c r="AF100" s="74"/>
    </row>
    <row r="101" spans="1:32">
      <c r="A101" s="205">
        <v>20</v>
      </c>
      <c r="B101" s="179" t="s">
        <v>230</v>
      </c>
      <c r="C101" s="88">
        <v>24.234214312874101</v>
      </c>
      <c r="D101" s="74">
        <v>21.544392022891898</v>
      </c>
      <c r="E101" s="74">
        <v>15.1373124275477</v>
      </c>
      <c r="F101" s="74">
        <v>10.2266431929633</v>
      </c>
      <c r="G101" s="74">
        <v>6.9090139306512297</v>
      </c>
      <c r="H101" s="74">
        <v>4.4881651614793103</v>
      </c>
      <c r="I101" s="74">
        <v>3.1534312132623299</v>
      </c>
      <c r="J101" s="74">
        <v>3.2795550790622499</v>
      </c>
      <c r="K101" s="74">
        <v>2.3964170031937901</v>
      </c>
      <c r="L101" s="74">
        <v>1.5567366651838801</v>
      </c>
      <c r="M101" s="74">
        <v>1.2795461500582199</v>
      </c>
      <c r="N101" s="74">
        <v>1.0112686682065899</v>
      </c>
      <c r="O101" s="74">
        <v>0.73894823317935099</v>
      </c>
      <c r="P101" s="74">
        <v>1.0517151232490001</v>
      </c>
      <c r="Q101" s="74">
        <v>0.71053004670350595</v>
      </c>
      <c r="R101" s="74">
        <v>0.49922575186539497</v>
      </c>
      <c r="S101" s="74">
        <v>0.480026720224146</v>
      </c>
      <c r="T101" s="2"/>
      <c r="U101" s="2"/>
      <c r="V101" s="2"/>
      <c r="W101" s="2"/>
      <c r="X101" s="2"/>
      <c r="Y101" s="2"/>
      <c r="Z101" s="2"/>
      <c r="AA101" s="208"/>
      <c r="AB101" s="2"/>
      <c r="AD101" s="90"/>
      <c r="AF101" s="74"/>
    </row>
    <row r="102" spans="1:32">
      <c r="A102" s="205">
        <v>20</v>
      </c>
      <c r="B102" s="179" t="s">
        <v>231</v>
      </c>
      <c r="C102" s="88">
        <v>308355.44573191</v>
      </c>
      <c r="D102" s="74">
        <v>192606.727848404</v>
      </c>
      <c r="E102" s="74">
        <v>140740.44387673799</v>
      </c>
      <c r="F102" s="74">
        <v>61766.7347046336</v>
      </c>
      <c r="G102" s="74">
        <v>30492.036800737402</v>
      </c>
      <c r="H102" s="74">
        <v>13917.259621783</v>
      </c>
      <c r="I102" s="74">
        <v>7145.1995059194296</v>
      </c>
      <c r="J102" s="74">
        <v>3015.2260976118901</v>
      </c>
      <c r="K102" s="74">
        <v>1548.03406765301</v>
      </c>
      <c r="L102" s="74">
        <v>1087.66814692157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08"/>
      <c r="AB102" s="2"/>
      <c r="AD102" s="90"/>
      <c r="AF102" s="74"/>
    </row>
    <row r="103" spans="1:32">
      <c r="A103" s="205">
        <v>20</v>
      </c>
      <c r="B103" s="179" t="s">
        <v>232</v>
      </c>
      <c r="C103" s="89">
        <v>31.889661833169001</v>
      </c>
      <c r="D103" s="28">
        <v>21.544392022891898</v>
      </c>
      <c r="E103" s="28">
        <v>20.715846094334701</v>
      </c>
      <c r="F103" s="28">
        <v>19.153120528007701</v>
      </c>
      <c r="G103" s="28">
        <v>18.416537197376499</v>
      </c>
      <c r="H103" s="28">
        <v>15.7427406839669</v>
      </c>
      <c r="I103" s="28">
        <v>15.7427406839669</v>
      </c>
      <c r="J103" s="28">
        <v>12.939649310782499</v>
      </c>
      <c r="K103" s="28">
        <v>14.5551674977759</v>
      </c>
      <c r="L103" s="28">
        <v>14.5551674977759</v>
      </c>
      <c r="M103" s="28">
        <v>12.939649310782499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08"/>
      <c r="AB103" s="2"/>
      <c r="AD103" s="90"/>
      <c r="AF103" s="74"/>
    </row>
    <row r="104" spans="1:32">
      <c r="A104" s="205">
        <v>20</v>
      </c>
      <c r="B104" s="179" t="s">
        <v>233</v>
      </c>
      <c r="C104" s="28">
        <v>12.442021262517599</v>
      </c>
      <c r="D104" s="28">
        <v>7.1853451669675303</v>
      </c>
      <c r="E104" s="74">
        <v>2.91554821508895</v>
      </c>
      <c r="F104" s="74">
        <v>4.3155610347402202</v>
      </c>
      <c r="G104" s="74">
        <v>1.2795461500582199</v>
      </c>
      <c r="H104" s="74">
        <v>0.51919266329422997</v>
      </c>
      <c r="I104" s="74">
        <v>0.44381530868930502</v>
      </c>
      <c r="J104" s="74">
        <v>0.37938137834462698</v>
      </c>
      <c r="K104" s="74">
        <v>0.31183020093955899</v>
      </c>
      <c r="L104" s="74">
        <v>0.37938137834462698</v>
      </c>
      <c r="M104" s="74">
        <v>0.142326401242034</v>
      </c>
      <c r="N104" s="74">
        <v>0.166499041090233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08"/>
      <c r="AB104" s="2"/>
      <c r="AD104" s="90"/>
      <c r="AF104" s="74"/>
    </row>
    <row r="105" spans="1:32">
      <c r="A105" s="200">
        <v>20</v>
      </c>
      <c r="B105" s="59" t="s">
        <v>234</v>
      </c>
      <c r="C105" s="28"/>
      <c r="D105" s="28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08"/>
      <c r="AB105" s="2"/>
      <c r="AD105" s="90"/>
      <c r="AF105" s="74"/>
    </row>
    <row r="106" spans="1:32">
      <c r="A106" s="200">
        <v>20</v>
      </c>
      <c r="B106" s="59" t="s">
        <v>235</v>
      </c>
      <c r="C106" s="28"/>
      <c r="D106" s="28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08"/>
      <c r="AB106" s="2"/>
      <c r="AD106" s="90"/>
      <c r="AF106" s="74"/>
    </row>
    <row r="107" spans="1:32">
      <c r="A107" s="200">
        <v>20</v>
      </c>
      <c r="B107" s="59" t="s">
        <v>236</v>
      </c>
      <c r="C107" s="28"/>
      <c r="D107" s="28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08"/>
      <c r="AB107" s="2"/>
      <c r="AD107" s="90"/>
      <c r="AF107" s="74"/>
    </row>
    <row r="108" spans="1:32">
      <c r="A108" s="200">
        <v>20</v>
      </c>
      <c r="B108" s="59" t="s">
        <v>237</v>
      </c>
      <c r="C108" s="28"/>
      <c r="D108" s="28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08"/>
      <c r="AB108" s="2"/>
      <c r="AD108" s="90"/>
      <c r="AF108" s="74"/>
    </row>
    <row r="109" spans="1:32">
      <c r="A109" s="205">
        <v>20</v>
      </c>
      <c r="B109" s="59" t="s">
        <v>238</v>
      </c>
      <c r="C109" s="28"/>
      <c r="D109" s="28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08"/>
      <c r="AB109" s="2"/>
      <c r="AD109" s="90"/>
      <c r="AF109" s="74"/>
    </row>
    <row r="110" spans="1:32">
      <c r="A110" s="200">
        <v>20</v>
      </c>
      <c r="B110" s="59" t="s">
        <v>239</v>
      </c>
      <c r="C110" s="28"/>
      <c r="D110" s="28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08"/>
      <c r="AB110" s="2"/>
      <c r="AD110" s="90"/>
      <c r="AF110" s="74"/>
    </row>
    <row r="111" spans="1:32">
      <c r="A111" s="200">
        <v>20</v>
      </c>
      <c r="B111" s="59" t="s">
        <v>240</v>
      </c>
      <c r="C111" s="28"/>
      <c r="D111" s="28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08"/>
      <c r="AB111" s="2"/>
      <c r="AD111" s="90"/>
      <c r="AF111" s="74"/>
    </row>
    <row r="112" spans="1:32">
      <c r="A112" s="202">
        <v>20</v>
      </c>
      <c r="B112" s="203" t="s">
        <v>241</v>
      </c>
      <c r="C112" s="29"/>
      <c r="D112" s="29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209"/>
      <c r="AB112" s="2"/>
      <c r="AD112" s="90"/>
      <c r="AF112" s="74"/>
    </row>
    <row r="113" spans="1:61">
      <c r="A113" s="205">
        <v>21</v>
      </c>
      <c r="B113" s="59" t="s">
        <v>220</v>
      </c>
      <c r="C113" s="2"/>
      <c r="D113" s="2"/>
      <c r="E113" s="2"/>
      <c r="F113" s="2"/>
      <c r="G113" s="74"/>
      <c r="H113" s="74"/>
      <c r="I113" s="2"/>
      <c r="J113" s="74"/>
      <c r="K113" s="7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D113" s="90"/>
      <c r="AF113" s="74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</row>
    <row r="114" spans="1:61">
      <c r="A114" s="205">
        <v>21</v>
      </c>
      <c r="B114" s="59" t="s">
        <v>221</v>
      </c>
      <c r="G114" s="74"/>
      <c r="H114" s="74"/>
      <c r="J114" s="74"/>
      <c r="K114" s="74"/>
      <c r="AD114" s="90"/>
      <c r="AF114" s="74"/>
    </row>
    <row r="115" spans="1:61">
      <c r="A115" s="205">
        <v>21</v>
      </c>
      <c r="B115" s="59" t="s">
        <v>222</v>
      </c>
      <c r="G115" s="74"/>
      <c r="H115" s="74"/>
      <c r="J115" s="74"/>
      <c r="K115" s="74"/>
      <c r="AD115" s="90"/>
      <c r="AF115" s="74"/>
    </row>
    <row r="116" spans="1:61">
      <c r="A116" s="205">
        <v>21</v>
      </c>
      <c r="B116" s="59" t="s">
        <v>223</v>
      </c>
      <c r="G116" s="74"/>
      <c r="H116" s="74"/>
      <c r="J116" s="74"/>
      <c r="K116" s="74"/>
      <c r="AD116" s="82"/>
      <c r="AF116" s="74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2"/>
      <c r="AZ116" s="92"/>
      <c r="BA116" s="92"/>
      <c r="BB116" s="92"/>
      <c r="BC116" s="92"/>
    </row>
    <row r="117" spans="1:61">
      <c r="A117" s="205">
        <v>21</v>
      </c>
      <c r="B117" s="59" t="s">
        <v>228</v>
      </c>
      <c r="G117" s="74"/>
      <c r="H117" s="74"/>
      <c r="J117" s="74"/>
      <c r="K117" s="74"/>
      <c r="AD117" s="82"/>
      <c r="AF117" s="74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93"/>
      <c r="AZ117" s="93"/>
      <c r="BA117" s="93"/>
      <c r="BB117" s="93"/>
      <c r="BC117" s="93"/>
    </row>
    <row r="118" spans="1:61">
      <c r="A118" s="205">
        <v>21</v>
      </c>
      <c r="B118" s="59" t="s">
        <v>242</v>
      </c>
      <c r="G118" s="74"/>
      <c r="H118" s="74"/>
      <c r="J118" s="74"/>
      <c r="K118" s="74"/>
      <c r="AD118" s="82"/>
      <c r="AF118" s="74"/>
      <c r="AG118" s="74"/>
      <c r="AH118" s="74"/>
      <c r="AI118" s="74"/>
      <c r="AJ118" s="74"/>
      <c r="AK118" s="19"/>
      <c r="AL118" s="19"/>
      <c r="AM118" s="19"/>
      <c r="AN118" s="19"/>
      <c r="AO118" s="19"/>
      <c r="AP118" s="19"/>
      <c r="AQ118" s="19"/>
      <c r="AR118" s="19"/>
    </row>
    <row r="119" spans="1:61">
      <c r="A119" s="205">
        <v>21</v>
      </c>
      <c r="B119" s="59" t="s">
        <v>243</v>
      </c>
      <c r="G119" s="74"/>
      <c r="H119" s="74"/>
      <c r="J119" s="74"/>
      <c r="K119" s="74"/>
      <c r="M119" s="94"/>
      <c r="AD119" s="82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</row>
    <row r="120" spans="1:61">
      <c r="A120" s="205">
        <v>21</v>
      </c>
      <c r="B120" s="59" t="s">
        <v>244</v>
      </c>
      <c r="G120" s="74"/>
      <c r="H120" s="74"/>
      <c r="J120" s="74"/>
      <c r="K120" s="74"/>
      <c r="M120" s="94"/>
      <c r="AD120" s="82"/>
    </row>
    <row r="121" spans="1:61">
      <c r="A121" s="201">
        <v>21</v>
      </c>
      <c r="B121" s="58" t="s">
        <v>224</v>
      </c>
      <c r="C121" s="8">
        <v>311.41000000000003</v>
      </c>
      <c r="D121" s="8">
        <v>288.39999999999998</v>
      </c>
      <c r="E121" s="8">
        <v>259.02</v>
      </c>
      <c r="F121" s="8">
        <v>251.19</v>
      </c>
      <c r="G121" s="8">
        <v>236.23</v>
      </c>
      <c r="H121" s="8">
        <v>229.09</v>
      </c>
      <c r="I121" s="8">
        <v>225.6</v>
      </c>
      <c r="J121" s="8">
        <v>215.44</v>
      </c>
      <c r="K121" s="8">
        <v>205.75</v>
      </c>
      <c r="L121" s="8">
        <v>199.53</v>
      </c>
      <c r="M121" s="8">
        <v>193.49</v>
      </c>
      <c r="N121" s="8">
        <v>184.78</v>
      </c>
      <c r="O121" s="8">
        <v>179.2</v>
      </c>
      <c r="P121" s="8">
        <v>168.53</v>
      </c>
      <c r="Q121" s="8">
        <v>160.94</v>
      </c>
      <c r="R121" s="8">
        <v>151.36000000000001</v>
      </c>
      <c r="S121" s="8">
        <v>138.04</v>
      </c>
      <c r="T121" s="8">
        <v>129.82</v>
      </c>
      <c r="U121" s="8">
        <v>114.82</v>
      </c>
      <c r="AD121" s="82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</row>
    <row r="122" spans="1:61">
      <c r="A122" s="200">
        <v>21</v>
      </c>
      <c r="B122" s="59" t="s">
        <v>225</v>
      </c>
      <c r="C122" s="8">
        <v>122.09</v>
      </c>
      <c r="D122" s="8">
        <v>125.89</v>
      </c>
      <c r="E122" s="8">
        <v>118.39</v>
      </c>
      <c r="F122" s="8">
        <v>116.59</v>
      </c>
      <c r="G122" s="8">
        <v>109.65</v>
      </c>
      <c r="H122" s="8">
        <v>104.71</v>
      </c>
      <c r="I122" s="8">
        <v>100</v>
      </c>
      <c r="J122" s="8">
        <v>96.98</v>
      </c>
      <c r="K122" s="8">
        <v>92.61</v>
      </c>
      <c r="L122" s="8">
        <v>89.81</v>
      </c>
      <c r="M122" s="8">
        <v>89.81</v>
      </c>
      <c r="N122" s="8">
        <v>85.77</v>
      </c>
      <c r="O122" s="8">
        <v>81.91</v>
      </c>
      <c r="P122" s="8">
        <v>80.66</v>
      </c>
      <c r="Q122" s="8">
        <v>79.430000000000007</v>
      </c>
      <c r="R122" s="8">
        <v>74.7</v>
      </c>
      <c r="S122" s="8">
        <v>70.25</v>
      </c>
      <c r="T122" s="8">
        <v>66.069999999999993</v>
      </c>
      <c r="U122" s="8">
        <v>61.19</v>
      </c>
      <c r="AD122" s="82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</row>
    <row r="123" spans="1:61">
      <c r="A123" s="200">
        <v>21</v>
      </c>
      <c r="B123" s="59" t="s">
        <v>226</v>
      </c>
      <c r="C123" s="8">
        <v>45.71</v>
      </c>
      <c r="D123" s="8">
        <v>45.01</v>
      </c>
      <c r="E123" s="8">
        <v>44.33</v>
      </c>
      <c r="F123" s="8">
        <v>41.69</v>
      </c>
      <c r="G123" s="8">
        <v>39.81</v>
      </c>
      <c r="H123" s="8">
        <v>38.020000000000003</v>
      </c>
      <c r="I123" s="8">
        <v>36.869999999999997</v>
      </c>
      <c r="J123" s="8">
        <v>35.75</v>
      </c>
      <c r="K123" s="8">
        <v>34.67</v>
      </c>
      <c r="L123" s="8">
        <v>33.11</v>
      </c>
      <c r="M123" s="8">
        <v>31.14</v>
      </c>
      <c r="N123" s="8">
        <v>31.14</v>
      </c>
      <c r="O123" s="8">
        <v>30.67</v>
      </c>
      <c r="P123" s="8">
        <v>31.14</v>
      </c>
      <c r="Q123" s="8">
        <v>29.74</v>
      </c>
      <c r="R123" s="8">
        <v>28.84</v>
      </c>
      <c r="S123" s="8">
        <v>27.54</v>
      </c>
      <c r="T123" s="8">
        <v>26.3</v>
      </c>
      <c r="U123" s="8">
        <v>24.74</v>
      </c>
      <c r="AD123" s="82"/>
    </row>
    <row r="124" spans="1:61">
      <c r="A124" s="200">
        <v>21</v>
      </c>
      <c r="B124" s="59" t="s">
        <v>227</v>
      </c>
      <c r="C124" s="8">
        <v>27.97</v>
      </c>
      <c r="D124" s="8">
        <v>26.3</v>
      </c>
      <c r="E124" s="8">
        <v>23.99</v>
      </c>
      <c r="F124" s="8">
        <v>23.26</v>
      </c>
      <c r="G124" s="8">
        <v>21.88</v>
      </c>
      <c r="H124" s="8">
        <v>20.89</v>
      </c>
      <c r="I124" s="8">
        <v>20.89</v>
      </c>
      <c r="J124" s="8">
        <v>19.95</v>
      </c>
      <c r="K124" s="8">
        <v>19.05</v>
      </c>
      <c r="L124" s="8">
        <v>18.48</v>
      </c>
      <c r="M124" s="8">
        <v>17.920000000000002</v>
      </c>
      <c r="N124" s="8">
        <v>17.38</v>
      </c>
      <c r="O124" s="8">
        <v>16.600000000000001</v>
      </c>
      <c r="P124" s="8">
        <v>16.600000000000001</v>
      </c>
      <c r="Q124" s="8">
        <v>15.61</v>
      </c>
      <c r="R124" s="8">
        <v>15.85</v>
      </c>
      <c r="S124" s="8">
        <v>14.91</v>
      </c>
      <c r="T124" s="8">
        <v>14.68</v>
      </c>
      <c r="U124" s="8">
        <v>15.14</v>
      </c>
      <c r="AD124" s="82"/>
    </row>
    <row r="125" spans="1:61">
      <c r="A125" s="200">
        <v>21</v>
      </c>
      <c r="B125" s="59" t="s">
        <v>229</v>
      </c>
      <c r="C125" s="8">
        <v>271.23</v>
      </c>
      <c r="D125" s="8">
        <v>288.39999999999998</v>
      </c>
      <c r="E125" s="8">
        <v>292.86</v>
      </c>
      <c r="F125" s="8">
        <v>297.39</v>
      </c>
      <c r="G125" s="8">
        <v>292.86</v>
      </c>
      <c r="H125" s="8">
        <v>292.86</v>
      </c>
      <c r="I125" s="8">
        <v>284.01</v>
      </c>
      <c r="J125" s="8">
        <v>284.01</v>
      </c>
      <c r="K125" s="8">
        <v>284.01</v>
      </c>
      <c r="L125" s="8">
        <v>275.42</v>
      </c>
      <c r="M125" s="8">
        <v>259.02</v>
      </c>
      <c r="N125" s="8">
        <v>255.07</v>
      </c>
      <c r="O125" s="8">
        <v>247.36</v>
      </c>
      <c r="P125" s="8">
        <v>229.09</v>
      </c>
      <c r="Q125" s="8">
        <v>215.44</v>
      </c>
      <c r="R125" s="8">
        <v>202.61</v>
      </c>
      <c r="S125" s="8">
        <v>193.49</v>
      </c>
      <c r="T125" s="8">
        <v>181.97</v>
      </c>
      <c r="U125" s="8">
        <v>179.22</v>
      </c>
      <c r="AD125" s="82"/>
    </row>
    <row r="126" spans="1:61">
      <c r="A126" s="200">
        <v>21</v>
      </c>
      <c r="B126" s="59" t="s">
        <v>245</v>
      </c>
      <c r="C126" s="8">
        <v>165.96</v>
      </c>
      <c r="D126" s="8">
        <v>168.53</v>
      </c>
      <c r="E126" s="8">
        <v>171.13</v>
      </c>
      <c r="F126" s="8">
        <v>171.13</v>
      </c>
      <c r="G126" s="8">
        <v>179.2</v>
      </c>
      <c r="H126" s="8">
        <v>179.2</v>
      </c>
      <c r="I126" s="8">
        <v>179.2</v>
      </c>
      <c r="J126" s="8">
        <v>171.13</v>
      </c>
      <c r="K126" s="8">
        <v>173.78</v>
      </c>
      <c r="L126" s="8">
        <v>168.53</v>
      </c>
      <c r="M126" s="8">
        <v>168.53</v>
      </c>
      <c r="N126" s="8">
        <v>163.43</v>
      </c>
      <c r="O126" s="8">
        <v>158.49</v>
      </c>
      <c r="P126" s="8">
        <v>153.69999999999999</v>
      </c>
      <c r="Q126" s="8">
        <v>144.54</v>
      </c>
      <c r="R126" s="8">
        <v>138.04</v>
      </c>
      <c r="S126" s="8">
        <v>129.82</v>
      </c>
      <c r="T126" s="8">
        <v>120.23</v>
      </c>
      <c r="U126" s="8">
        <v>114.82</v>
      </c>
      <c r="AB126" s="74"/>
      <c r="AC126" s="74"/>
      <c r="AD126" s="82"/>
      <c r="AF126" s="74"/>
      <c r="AG126" s="74"/>
      <c r="AH126" s="74"/>
      <c r="AI126" s="74"/>
      <c r="AJ126" s="74"/>
      <c r="AK126" s="19"/>
      <c r="AL126" s="19"/>
      <c r="AM126" s="19"/>
      <c r="AN126" s="19"/>
      <c r="AO126" s="19"/>
      <c r="AP126" s="19"/>
      <c r="AQ126" s="19"/>
      <c r="AR126" s="19"/>
      <c r="AS126" s="74"/>
      <c r="AT126" s="74"/>
      <c r="AU126" s="74"/>
      <c r="AV126" s="74"/>
      <c r="AW126" s="74"/>
      <c r="AX126" s="74"/>
      <c r="AY126" s="74"/>
      <c r="AZ126" s="74"/>
    </row>
    <row r="127" spans="1:61">
      <c r="A127" s="200">
        <v>21</v>
      </c>
      <c r="B127" s="59" t="s">
        <v>246</v>
      </c>
      <c r="C127" s="8">
        <v>129.82</v>
      </c>
      <c r="D127" s="8">
        <v>129.82</v>
      </c>
      <c r="E127" s="8">
        <v>125.89</v>
      </c>
      <c r="F127" s="8">
        <v>120.23</v>
      </c>
      <c r="G127" s="8">
        <v>116.59</v>
      </c>
      <c r="H127" s="8">
        <v>111.34</v>
      </c>
      <c r="I127" s="8">
        <v>107.98</v>
      </c>
      <c r="J127" s="8">
        <v>104.71</v>
      </c>
      <c r="K127" s="8">
        <v>101.55</v>
      </c>
      <c r="L127" s="8">
        <v>98.48</v>
      </c>
      <c r="M127" s="8">
        <v>91.2</v>
      </c>
      <c r="N127" s="8">
        <v>89.81</v>
      </c>
      <c r="O127" s="8">
        <v>84.46</v>
      </c>
      <c r="P127" s="8">
        <v>81.91</v>
      </c>
      <c r="Q127" s="8">
        <v>75.86</v>
      </c>
      <c r="R127" s="8">
        <v>70.25</v>
      </c>
      <c r="S127" s="8">
        <v>65.06</v>
      </c>
      <c r="T127" s="8">
        <v>60.26</v>
      </c>
      <c r="U127" s="8">
        <v>54.95</v>
      </c>
      <c r="AB127" s="28"/>
      <c r="AC127" s="28"/>
      <c r="AD127" s="82"/>
      <c r="AE127" s="74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</row>
    <row r="128" spans="1:61">
      <c r="A128" s="202">
        <v>21</v>
      </c>
      <c r="B128" s="203" t="s">
        <v>247</v>
      </c>
      <c r="C128" s="8">
        <v>78.22</v>
      </c>
      <c r="D128" s="8">
        <v>69.180000000000007</v>
      </c>
      <c r="E128" s="8">
        <v>65.06</v>
      </c>
      <c r="F128" s="8">
        <v>62.13</v>
      </c>
      <c r="G128" s="8">
        <v>59.34</v>
      </c>
      <c r="H128" s="8">
        <v>56.67</v>
      </c>
      <c r="I128" s="8">
        <v>53.29</v>
      </c>
      <c r="J128" s="8">
        <v>51.68</v>
      </c>
      <c r="K128" s="8">
        <v>50.12</v>
      </c>
      <c r="L128" s="8">
        <v>48.6</v>
      </c>
      <c r="M128" s="8">
        <v>47.13</v>
      </c>
      <c r="N128" s="8">
        <v>43.65</v>
      </c>
      <c r="O128" s="8">
        <v>44.33</v>
      </c>
      <c r="P128" s="8">
        <v>41.69</v>
      </c>
      <c r="Q128" s="8">
        <v>39.200000000000003</v>
      </c>
      <c r="R128" s="8">
        <v>38.61</v>
      </c>
      <c r="S128" s="8">
        <v>37.44</v>
      </c>
      <c r="T128" s="8">
        <v>35.75</v>
      </c>
      <c r="U128" s="8">
        <v>32.61</v>
      </c>
      <c r="AD128" s="74"/>
      <c r="AE128" s="74"/>
    </row>
    <row r="129" spans="1:37">
      <c r="A129" s="200">
        <v>22</v>
      </c>
      <c r="B129" s="59">
        <v>1</v>
      </c>
      <c r="C129" s="20">
        <v>36.19</v>
      </c>
      <c r="D129" s="20">
        <v>31.89</v>
      </c>
      <c r="E129" s="20">
        <v>27.54</v>
      </c>
      <c r="F129" s="20">
        <v>25.09</v>
      </c>
      <c r="G129" s="20">
        <v>22.55</v>
      </c>
      <c r="H129" s="20">
        <v>21.66</v>
      </c>
      <c r="I129" s="20">
        <v>20.54</v>
      </c>
      <c r="J129" s="20">
        <v>20.27</v>
      </c>
      <c r="K129" s="20">
        <v>19.47</v>
      </c>
      <c r="L129" s="20">
        <v>18.96</v>
      </c>
      <c r="M129" s="20">
        <v>18.71</v>
      </c>
      <c r="N129" s="20">
        <v>18.71</v>
      </c>
      <c r="O129" s="20">
        <v>18.71</v>
      </c>
      <c r="P129" s="20">
        <v>18.71</v>
      </c>
      <c r="Q129" s="20">
        <v>18.34</v>
      </c>
      <c r="R129" s="20">
        <v>18.22</v>
      </c>
      <c r="S129" s="20">
        <v>17.98</v>
      </c>
      <c r="T129" s="20">
        <v>17.98</v>
      </c>
      <c r="U129" s="20">
        <v>18.22</v>
      </c>
      <c r="V129" s="198">
        <v>18.34</v>
      </c>
      <c r="W129" s="2"/>
      <c r="AD129" s="74"/>
      <c r="AE129" s="74"/>
    </row>
    <row r="130" spans="1:37" ht="15" customHeight="1">
      <c r="A130" s="200">
        <v>22</v>
      </c>
      <c r="B130" s="59">
        <v>2</v>
      </c>
      <c r="C130" s="20">
        <v>49.5</v>
      </c>
      <c r="D130" s="20">
        <v>41.35</v>
      </c>
      <c r="E130" s="20">
        <v>36.43</v>
      </c>
      <c r="F130" s="20">
        <v>32.32</v>
      </c>
      <c r="G130" s="20">
        <v>29.83</v>
      </c>
      <c r="H130" s="20">
        <v>27.72</v>
      </c>
      <c r="I130" s="20">
        <v>27.36</v>
      </c>
      <c r="J130" s="20">
        <v>25.94</v>
      </c>
      <c r="K130" s="20">
        <v>25.25</v>
      </c>
      <c r="L130" s="20">
        <v>24.75</v>
      </c>
      <c r="M130" s="20">
        <v>24.43</v>
      </c>
      <c r="N130" s="20">
        <v>24.43</v>
      </c>
      <c r="O130" s="20">
        <v>24.1</v>
      </c>
      <c r="P130" s="20">
        <v>23.63</v>
      </c>
      <c r="Q130" s="20">
        <v>23.63</v>
      </c>
      <c r="R130" s="20">
        <v>23.31</v>
      </c>
      <c r="S130" s="20">
        <v>23.16</v>
      </c>
      <c r="T130" s="20">
        <v>23.16</v>
      </c>
      <c r="U130" s="20">
        <v>23.31</v>
      </c>
      <c r="V130" s="198">
        <v>22.85</v>
      </c>
      <c r="W130" s="2"/>
    </row>
    <row r="131" spans="1:37" ht="15" customHeight="1">
      <c r="A131" s="200">
        <v>22</v>
      </c>
      <c r="B131" s="59">
        <v>3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198"/>
      <c r="W131" s="2"/>
    </row>
    <row r="132" spans="1:37" ht="15" customHeight="1">
      <c r="A132" s="200">
        <v>22</v>
      </c>
      <c r="B132" s="59">
        <v>4</v>
      </c>
      <c r="C132" s="20">
        <v>116.18</v>
      </c>
      <c r="D132" s="20">
        <v>90.79</v>
      </c>
      <c r="E132" s="20">
        <v>77.37</v>
      </c>
      <c r="F132" s="20">
        <v>65.930000000000007</v>
      </c>
      <c r="G132" s="20">
        <v>59.66</v>
      </c>
      <c r="H132" s="20">
        <v>55.81</v>
      </c>
      <c r="I132" s="20">
        <v>51.18</v>
      </c>
      <c r="J132" s="20">
        <v>49.84</v>
      </c>
      <c r="K132" s="20">
        <v>47.25</v>
      </c>
      <c r="L132" s="20">
        <v>46.93</v>
      </c>
      <c r="M132" s="20">
        <v>45.09</v>
      </c>
      <c r="N132" s="20">
        <v>45.7</v>
      </c>
      <c r="O132" s="20">
        <v>44.8</v>
      </c>
      <c r="P132" s="20">
        <v>44.2</v>
      </c>
      <c r="Q132" s="20">
        <v>43.91</v>
      </c>
      <c r="R132" s="20">
        <v>44.2</v>
      </c>
      <c r="S132" s="20">
        <v>43.04</v>
      </c>
      <c r="T132" s="20">
        <v>43.04</v>
      </c>
      <c r="U132" s="20">
        <v>41.91</v>
      </c>
      <c r="V132" s="198">
        <v>41.35</v>
      </c>
      <c r="W132" s="2"/>
    </row>
    <row r="133" spans="1:37" ht="15" customHeight="1">
      <c r="A133" s="200">
        <v>22</v>
      </c>
      <c r="B133" s="59">
        <v>5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198"/>
      <c r="W133" s="2"/>
    </row>
    <row r="134" spans="1:37" ht="15" customHeight="1">
      <c r="A134" s="200">
        <v>22</v>
      </c>
      <c r="B134" s="59">
        <v>6</v>
      </c>
      <c r="C134" s="20">
        <v>162.12</v>
      </c>
      <c r="D134" s="20">
        <v>125.85</v>
      </c>
      <c r="E134" s="20">
        <v>101</v>
      </c>
      <c r="F134" s="20">
        <v>87.81</v>
      </c>
      <c r="G134" s="20">
        <v>77.37</v>
      </c>
      <c r="H134" s="20">
        <v>70.95</v>
      </c>
      <c r="I134" s="20">
        <v>68.17</v>
      </c>
      <c r="J134" s="20">
        <v>63.35</v>
      </c>
      <c r="K134" s="20">
        <v>61.27</v>
      </c>
      <c r="L134" s="20">
        <v>60.46</v>
      </c>
      <c r="M134" s="20">
        <v>60.06</v>
      </c>
      <c r="N134" s="20">
        <v>58.48</v>
      </c>
      <c r="O134" s="20">
        <v>56.19</v>
      </c>
      <c r="P134" s="20">
        <v>57.32</v>
      </c>
      <c r="Q134" s="20">
        <v>56.56</v>
      </c>
      <c r="R134" s="20">
        <v>55.08</v>
      </c>
      <c r="S134" s="20">
        <v>53.98</v>
      </c>
      <c r="T134" s="20">
        <v>53.98</v>
      </c>
      <c r="U134" s="20">
        <v>52.56</v>
      </c>
      <c r="V134" s="198">
        <v>51.52</v>
      </c>
      <c r="W134" s="2"/>
    </row>
    <row r="135" spans="1:37" ht="15" customHeight="1">
      <c r="A135" s="200">
        <v>22</v>
      </c>
      <c r="B135" s="59">
        <v>7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198"/>
      <c r="W135" s="2"/>
    </row>
    <row r="136" spans="1:37" ht="15" customHeight="1">
      <c r="A136" s="202">
        <v>22</v>
      </c>
      <c r="B136" s="203">
        <v>8</v>
      </c>
      <c r="C136" s="26">
        <v>346.58</v>
      </c>
      <c r="D136" s="26">
        <v>241.83</v>
      </c>
      <c r="E136" s="26">
        <v>194.08</v>
      </c>
      <c r="F136" s="26">
        <v>162.12</v>
      </c>
      <c r="G136" s="26">
        <v>145.72</v>
      </c>
      <c r="H136" s="26">
        <v>135.41999999999999</v>
      </c>
      <c r="I136" s="26">
        <v>123.36</v>
      </c>
      <c r="J136" s="26">
        <v>115.41</v>
      </c>
      <c r="K136" s="26">
        <v>111.62</v>
      </c>
      <c r="L136" s="26">
        <v>110.15</v>
      </c>
      <c r="M136" s="26">
        <v>105.83</v>
      </c>
      <c r="N136" s="26">
        <v>104.43</v>
      </c>
      <c r="O136" s="26">
        <v>100.33</v>
      </c>
      <c r="P136" s="26">
        <v>97.05</v>
      </c>
      <c r="Q136" s="26">
        <v>96.4</v>
      </c>
      <c r="R136" s="26">
        <v>94.49</v>
      </c>
      <c r="S136" s="26">
        <v>92.01</v>
      </c>
      <c r="T136" s="26">
        <v>90.79</v>
      </c>
      <c r="U136" s="26">
        <v>87.23</v>
      </c>
      <c r="V136" s="204">
        <v>88.4</v>
      </c>
      <c r="W136" s="2"/>
    </row>
    <row r="137" spans="1:37" ht="15" customHeight="1">
      <c r="A137" s="201">
        <v>23</v>
      </c>
      <c r="B137" s="58">
        <v>1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37" ht="15" customHeight="1">
      <c r="A138" s="200">
        <v>23</v>
      </c>
      <c r="B138" s="59">
        <v>2</v>
      </c>
    </row>
    <row r="139" spans="1:37" ht="15" customHeight="1">
      <c r="A139" s="200">
        <v>23</v>
      </c>
      <c r="B139" s="59">
        <v>3</v>
      </c>
    </row>
    <row r="140" spans="1:37" ht="15" customHeight="1">
      <c r="A140" s="200">
        <v>23</v>
      </c>
      <c r="B140" s="59">
        <v>4</v>
      </c>
    </row>
    <row r="141" spans="1:37" ht="15" customHeight="1">
      <c r="A141" s="200">
        <v>23</v>
      </c>
      <c r="B141" s="59">
        <v>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7" ht="15" customHeight="1">
      <c r="A142" s="266">
        <v>24</v>
      </c>
      <c r="B142" s="267">
        <v>1</v>
      </c>
      <c r="C142" s="206">
        <v>182.83</v>
      </c>
      <c r="D142" s="206">
        <v>169.79</v>
      </c>
      <c r="E142" s="206">
        <v>157.66999999999999</v>
      </c>
      <c r="F142" s="206">
        <v>149.15</v>
      </c>
      <c r="G142" s="206">
        <v>141.1</v>
      </c>
      <c r="H142" s="206">
        <v>133.47999999999999</v>
      </c>
      <c r="I142" s="206">
        <v>131.03</v>
      </c>
      <c r="J142" s="206">
        <v>121.68</v>
      </c>
      <c r="K142" s="206">
        <v>117.26</v>
      </c>
      <c r="L142" s="206">
        <v>119.45</v>
      </c>
      <c r="M142" s="206">
        <v>115.1</v>
      </c>
      <c r="N142" s="206">
        <v>115.1</v>
      </c>
      <c r="O142" s="206">
        <v>115.1</v>
      </c>
      <c r="P142" s="206">
        <v>115.1</v>
      </c>
      <c r="Q142" s="206">
        <v>112.99</v>
      </c>
      <c r="R142" s="206">
        <v>110.92</v>
      </c>
      <c r="S142" s="206">
        <v>106.89</v>
      </c>
      <c r="T142" s="206">
        <v>104.93</v>
      </c>
      <c r="U142" s="206">
        <v>97.44</v>
      </c>
      <c r="V142" s="206">
        <v>93.9</v>
      </c>
      <c r="W142" s="206">
        <v>90.49</v>
      </c>
      <c r="X142" s="206">
        <v>87.2</v>
      </c>
      <c r="Y142" s="206">
        <v>82.49</v>
      </c>
      <c r="Z142" s="206">
        <v>78.03</v>
      </c>
      <c r="AA142" s="206">
        <v>73.819999999999993</v>
      </c>
      <c r="AB142" s="206">
        <v>72.47</v>
      </c>
      <c r="AC142" s="206">
        <v>63.66</v>
      </c>
      <c r="AD142" s="206">
        <v>58.03</v>
      </c>
      <c r="AE142" s="206">
        <v>52.9</v>
      </c>
      <c r="AF142" s="206">
        <v>46.47</v>
      </c>
      <c r="AG142" s="206">
        <v>42.37</v>
      </c>
      <c r="AH142" s="206">
        <v>33.93</v>
      </c>
      <c r="AI142" s="206">
        <v>27.17</v>
      </c>
      <c r="AJ142" s="207">
        <v>20.97</v>
      </c>
      <c r="AK142" s="2"/>
    </row>
    <row r="143" spans="1:37" ht="15" customHeight="1">
      <c r="A143" s="210">
        <v>24</v>
      </c>
      <c r="B143" s="211">
        <v>2</v>
      </c>
      <c r="C143" s="2">
        <v>1654.43</v>
      </c>
      <c r="D143" s="2">
        <v>1426.73</v>
      </c>
      <c r="E143" s="2">
        <v>1142.56</v>
      </c>
      <c r="F143" s="2">
        <v>967.23</v>
      </c>
      <c r="G143" s="2">
        <v>719.31</v>
      </c>
      <c r="H143" s="2">
        <v>667.97</v>
      </c>
      <c r="I143" s="2">
        <v>544.91999999999996</v>
      </c>
      <c r="J143" s="2">
        <v>487.64</v>
      </c>
      <c r="K143" s="2">
        <v>412.82</v>
      </c>
      <c r="L143" s="2">
        <v>362.65</v>
      </c>
      <c r="M143" s="2">
        <v>285.08999999999997</v>
      </c>
      <c r="N143" s="2">
        <v>228.31</v>
      </c>
      <c r="O143" s="2">
        <v>200.56</v>
      </c>
      <c r="P143" s="2">
        <v>182.83</v>
      </c>
      <c r="Q143" s="2">
        <v>169.79</v>
      </c>
      <c r="R143" s="2">
        <v>160.62</v>
      </c>
      <c r="S143" s="2">
        <v>149.15</v>
      </c>
      <c r="T143" s="2">
        <v>135.97</v>
      </c>
      <c r="U143" s="2">
        <v>123.95</v>
      </c>
      <c r="V143" s="2">
        <v>115.1</v>
      </c>
      <c r="W143" s="2">
        <v>115.1</v>
      </c>
      <c r="X143" s="2">
        <v>106.89</v>
      </c>
      <c r="Y143" s="2">
        <v>103.01</v>
      </c>
      <c r="Z143" s="2">
        <v>93.9</v>
      </c>
      <c r="AA143" s="2">
        <v>93.9</v>
      </c>
      <c r="AB143" s="2">
        <v>92.18</v>
      </c>
      <c r="AC143" s="2">
        <v>90.49</v>
      </c>
      <c r="AD143" s="2">
        <v>85.6</v>
      </c>
      <c r="AE143" s="2">
        <v>80.98</v>
      </c>
      <c r="AF143" s="2">
        <v>78.03</v>
      </c>
      <c r="AG143" s="2">
        <v>73.819999999999993</v>
      </c>
      <c r="AH143" s="2">
        <v>73.819999999999993</v>
      </c>
      <c r="AI143" s="2">
        <v>72.47</v>
      </c>
      <c r="AJ143" s="208">
        <v>71.14</v>
      </c>
      <c r="AK143" s="2"/>
    </row>
    <row r="144" spans="1:37" ht="15" customHeight="1">
      <c r="A144" s="210">
        <v>24</v>
      </c>
      <c r="B144" s="211">
        <v>3</v>
      </c>
      <c r="C144" s="2">
        <v>2532.4299999999998</v>
      </c>
      <c r="D144" s="2">
        <v>2104.5100000000002</v>
      </c>
      <c r="E144" s="2">
        <v>1624.09</v>
      </c>
      <c r="F144" s="2">
        <v>1349.66</v>
      </c>
      <c r="G144" s="2">
        <v>1101.03</v>
      </c>
      <c r="H144" s="2">
        <v>881.73</v>
      </c>
      <c r="I144" s="2">
        <v>774.58</v>
      </c>
      <c r="J144" s="2">
        <v>620.29999999999995</v>
      </c>
      <c r="K144" s="2">
        <v>555.1</v>
      </c>
      <c r="L144" s="2">
        <v>461.3</v>
      </c>
      <c r="M144" s="2">
        <v>412.82</v>
      </c>
      <c r="N144" s="2">
        <v>356</v>
      </c>
      <c r="O144" s="2">
        <v>312.74</v>
      </c>
      <c r="P144" s="2">
        <v>279.86</v>
      </c>
      <c r="Q144" s="2">
        <v>245.85</v>
      </c>
      <c r="R144" s="2">
        <v>228.31</v>
      </c>
      <c r="S144" s="2">
        <v>208.13</v>
      </c>
      <c r="T144" s="2">
        <v>186.25</v>
      </c>
      <c r="U144" s="2">
        <v>176.19</v>
      </c>
      <c r="V144" s="2">
        <v>163.62</v>
      </c>
      <c r="W144" s="2">
        <v>149.15</v>
      </c>
      <c r="X144" s="2">
        <v>143.72999999999999</v>
      </c>
      <c r="Y144" s="2">
        <v>135.97</v>
      </c>
      <c r="Z144" s="2">
        <v>128.62</v>
      </c>
      <c r="AA144" s="2">
        <v>123.95</v>
      </c>
      <c r="AB144" s="2">
        <v>121.68</v>
      </c>
      <c r="AC144" s="2">
        <v>115.1</v>
      </c>
      <c r="AD144" s="2">
        <v>108.89</v>
      </c>
      <c r="AE144" s="2">
        <v>106.89</v>
      </c>
      <c r="AF144" s="2">
        <v>103.01</v>
      </c>
      <c r="AG144" s="2">
        <v>103.01</v>
      </c>
      <c r="AH144" s="2">
        <v>97.44</v>
      </c>
      <c r="AI144" s="2">
        <v>97.44</v>
      </c>
      <c r="AJ144" s="208">
        <v>95.65</v>
      </c>
      <c r="AK144" s="2"/>
    </row>
    <row r="145" spans="1:37" ht="15" customHeight="1">
      <c r="A145" s="210">
        <v>24</v>
      </c>
      <c r="B145" s="211">
        <v>4</v>
      </c>
      <c r="C145" s="2">
        <v>8127.7</v>
      </c>
      <c r="D145" s="2">
        <v>6272.31</v>
      </c>
      <c r="E145" s="2">
        <v>5613.01</v>
      </c>
      <c r="F145" s="2">
        <v>4664.5600000000004</v>
      </c>
      <c r="G145" s="2">
        <v>3948.78</v>
      </c>
      <c r="H145" s="2">
        <v>3281.54</v>
      </c>
      <c r="I145" s="2">
        <v>2677.03</v>
      </c>
      <c r="J145" s="2">
        <v>2183.88</v>
      </c>
      <c r="K145" s="2">
        <v>1848.76</v>
      </c>
      <c r="L145" s="2">
        <v>1594.31</v>
      </c>
      <c r="M145" s="2">
        <v>1400.56</v>
      </c>
      <c r="N145" s="2">
        <v>1300.6099999999999</v>
      </c>
      <c r="O145" s="2">
        <v>1163.9000000000001</v>
      </c>
      <c r="P145" s="2">
        <v>1041.56</v>
      </c>
      <c r="Q145" s="2">
        <v>967.23</v>
      </c>
      <c r="R145" s="2">
        <v>898.21</v>
      </c>
      <c r="S145" s="2">
        <v>834.11</v>
      </c>
      <c r="T145" s="2">
        <v>789.05</v>
      </c>
      <c r="U145" s="2">
        <v>746.43</v>
      </c>
      <c r="V145" s="2">
        <v>719.31</v>
      </c>
      <c r="W145" s="2">
        <v>680.45</v>
      </c>
      <c r="X145" s="2">
        <v>643.70000000000005</v>
      </c>
      <c r="Y145" s="2">
        <v>620.29999999999995</v>
      </c>
      <c r="Z145" s="2">
        <v>586.79999999999995</v>
      </c>
      <c r="AA145" s="2">
        <v>565.47</v>
      </c>
      <c r="AB145" s="2">
        <v>544.91999999999996</v>
      </c>
      <c r="AC145" s="2">
        <v>515.49</v>
      </c>
      <c r="AD145" s="2">
        <v>496.75</v>
      </c>
      <c r="AE145" s="2">
        <v>469.92</v>
      </c>
      <c r="AF145" s="2">
        <v>469.92</v>
      </c>
      <c r="AG145" s="2">
        <v>452.84</v>
      </c>
      <c r="AH145" s="2">
        <v>420.53</v>
      </c>
      <c r="AI145" s="2">
        <v>383.36</v>
      </c>
      <c r="AJ145" s="208">
        <v>369.42</v>
      </c>
      <c r="AK145" s="2"/>
    </row>
    <row r="146" spans="1:37" ht="15" customHeight="1">
      <c r="A146" s="210">
        <v>24</v>
      </c>
      <c r="B146" s="211">
        <v>5</v>
      </c>
      <c r="C146" s="2">
        <v>48945.26</v>
      </c>
      <c r="D146" s="2">
        <v>40674.74</v>
      </c>
      <c r="E146" s="2">
        <v>33801.730000000003</v>
      </c>
      <c r="F146" s="2">
        <v>26572.799999999999</v>
      </c>
      <c r="G146" s="2">
        <v>22082.66</v>
      </c>
      <c r="H146" s="2">
        <v>17360</v>
      </c>
      <c r="I146" s="2">
        <v>14696.12</v>
      </c>
      <c r="J146" s="2">
        <v>11769</v>
      </c>
      <c r="K146" s="2">
        <v>9424.9</v>
      </c>
      <c r="L146" s="2">
        <v>8127.7</v>
      </c>
      <c r="M146" s="2">
        <v>6389.49</v>
      </c>
      <c r="N146" s="2">
        <v>5409.02</v>
      </c>
      <c r="O146" s="2">
        <v>4579.01</v>
      </c>
      <c r="P146" s="2">
        <v>3876.36</v>
      </c>
      <c r="Q146" s="2">
        <v>3221.35</v>
      </c>
      <c r="R146" s="2">
        <v>2727.04</v>
      </c>
      <c r="S146" s="2">
        <v>2395.64</v>
      </c>
      <c r="T146" s="2">
        <v>2028.03</v>
      </c>
      <c r="U146" s="2">
        <v>1781.57</v>
      </c>
      <c r="V146" s="2">
        <v>1624.09</v>
      </c>
      <c r="W146" s="2">
        <v>1426.73</v>
      </c>
      <c r="X146" s="2">
        <v>1300.6099999999999</v>
      </c>
      <c r="Y146" s="2">
        <v>1163.9000000000001</v>
      </c>
      <c r="Z146" s="2">
        <v>1061.02</v>
      </c>
      <c r="AA146" s="2">
        <v>1003.71</v>
      </c>
      <c r="AB146" s="2">
        <v>898.21</v>
      </c>
      <c r="AC146" s="2">
        <v>818.81</v>
      </c>
      <c r="AD146" s="2">
        <v>760.38</v>
      </c>
      <c r="AE146" s="2">
        <v>732.74</v>
      </c>
      <c r="AF146" s="2">
        <v>667.97</v>
      </c>
      <c r="AG146" s="2">
        <v>620.29999999999995</v>
      </c>
      <c r="AH146" s="2">
        <v>544.91999999999996</v>
      </c>
      <c r="AI146" s="2">
        <v>506.03</v>
      </c>
      <c r="AJ146" s="208">
        <v>461.3</v>
      </c>
      <c r="AK146" s="2"/>
    </row>
    <row r="147" spans="1:37" ht="15" customHeight="1">
      <c r="A147" s="210">
        <v>24</v>
      </c>
      <c r="B147" s="211">
        <v>6</v>
      </c>
      <c r="C147" s="2">
        <v>154206.57999999999</v>
      </c>
      <c r="D147" s="2">
        <v>123492.3</v>
      </c>
      <c r="E147" s="2">
        <v>102625.2</v>
      </c>
      <c r="F147" s="2">
        <v>83720.070000000007</v>
      </c>
      <c r="G147" s="2">
        <v>69573.48</v>
      </c>
      <c r="H147" s="2">
        <v>54694.31</v>
      </c>
      <c r="I147" s="2">
        <v>45452.34</v>
      </c>
      <c r="J147" s="2">
        <v>36399.32</v>
      </c>
      <c r="K147" s="2">
        <v>31389.51</v>
      </c>
      <c r="L147" s="2">
        <v>24676.47</v>
      </c>
      <c r="M147" s="2">
        <v>19043.32</v>
      </c>
      <c r="N147" s="2">
        <v>15535.25</v>
      </c>
      <c r="O147" s="2">
        <v>13397.06</v>
      </c>
      <c r="P147" s="2">
        <v>10338.780000000001</v>
      </c>
      <c r="Q147" s="2">
        <v>8915.81</v>
      </c>
      <c r="R147" s="2">
        <v>7409.26</v>
      </c>
      <c r="S147" s="2">
        <v>5933.51</v>
      </c>
      <c r="T147" s="2">
        <v>4930.8999999999996</v>
      </c>
      <c r="U147" s="2">
        <v>4174.25</v>
      </c>
      <c r="V147" s="2">
        <v>3599.73</v>
      </c>
      <c r="W147" s="2">
        <v>3162.28</v>
      </c>
      <c r="X147" s="2">
        <v>2579.7399999999998</v>
      </c>
      <c r="Y147" s="2">
        <v>2224.6799999999998</v>
      </c>
      <c r="Z147" s="2">
        <v>1883.3</v>
      </c>
      <c r="AA147" s="2">
        <v>1685.34</v>
      </c>
      <c r="AB147" s="2">
        <v>1400.56</v>
      </c>
      <c r="AC147" s="2">
        <v>1253.3499999999999</v>
      </c>
      <c r="AD147" s="2">
        <v>1142.56</v>
      </c>
      <c r="AE147" s="2">
        <v>1022.46</v>
      </c>
      <c r="AF147" s="2">
        <v>898.21</v>
      </c>
      <c r="AG147" s="2">
        <v>818.81</v>
      </c>
      <c r="AH147" s="2">
        <v>732.74</v>
      </c>
      <c r="AI147" s="2">
        <v>655.72</v>
      </c>
      <c r="AJ147" s="208">
        <v>597.76</v>
      </c>
      <c r="AK147" s="2"/>
    </row>
    <row r="148" spans="1:37" ht="15" customHeight="1">
      <c r="A148" s="268">
        <v>24</v>
      </c>
      <c r="B148" s="269">
        <v>7</v>
      </c>
      <c r="C148" s="30">
        <v>1057099.23</v>
      </c>
      <c r="D148" s="30">
        <v>862365.39</v>
      </c>
      <c r="E148" s="30">
        <v>677937.58</v>
      </c>
      <c r="F148" s="30">
        <v>573908.22</v>
      </c>
      <c r="G148" s="30">
        <v>451170.65</v>
      </c>
      <c r="H148" s="30">
        <v>368058.12</v>
      </c>
      <c r="I148" s="30">
        <v>294749.7</v>
      </c>
      <c r="J148" s="30">
        <v>240452.3</v>
      </c>
      <c r="K148" s="30">
        <v>203554.95</v>
      </c>
      <c r="L148" s="30">
        <v>160022.14000000001</v>
      </c>
      <c r="M148" s="30">
        <v>128149.54</v>
      </c>
      <c r="N148" s="30">
        <v>100743.13</v>
      </c>
      <c r="O148" s="30">
        <v>83720.070000000007</v>
      </c>
      <c r="P148" s="30">
        <v>68297.55</v>
      </c>
      <c r="Q148" s="30">
        <v>55716.1</v>
      </c>
      <c r="R148" s="30">
        <v>45452.34</v>
      </c>
      <c r="S148" s="30">
        <v>37079.33</v>
      </c>
      <c r="T148" s="30">
        <v>30813.85</v>
      </c>
      <c r="U148" s="30">
        <v>23779.67</v>
      </c>
      <c r="V148" s="30">
        <v>20889.87</v>
      </c>
      <c r="W148" s="30">
        <v>16422.3</v>
      </c>
      <c r="X148" s="30">
        <v>14162.03</v>
      </c>
      <c r="Y148" s="30">
        <v>11769</v>
      </c>
      <c r="Z148" s="30">
        <v>9600.9699999999993</v>
      </c>
      <c r="AA148" s="30">
        <v>7832.32</v>
      </c>
      <c r="AB148" s="30">
        <v>6630.46</v>
      </c>
      <c r="AC148" s="30">
        <v>5409.02</v>
      </c>
      <c r="AD148" s="30">
        <v>4664.5600000000004</v>
      </c>
      <c r="AE148" s="30">
        <v>3948.78</v>
      </c>
      <c r="AF148" s="30">
        <v>3162.28</v>
      </c>
      <c r="AG148" s="30">
        <v>2677.03</v>
      </c>
      <c r="AH148" s="30">
        <v>2440.39</v>
      </c>
      <c r="AI148" s="30">
        <v>1990.84</v>
      </c>
      <c r="AJ148" s="209">
        <v>1748.9</v>
      </c>
      <c r="AK148" s="2"/>
    </row>
    <row r="149" spans="1:37" ht="15" customHeight="1">
      <c r="A149" s="200">
        <v>25</v>
      </c>
      <c r="B149" s="59">
        <v>1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7" ht="15" customHeight="1">
      <c r="A150" s="200">
        <v>25</v>
      </c>
      <c r="B150" s="59">
        <v>2</v>
      </c>
    </row>
    <row r="151" spans="1:37" ht="15" customHeight="1">
      <c r="A151" s="200">
        <v>25</v>
      </c>
      <c r="B151" s="59">
        <v>3</v>
      </c>
    </row>
    <row r="152" spans="1:37" ht="15" customHeight="1">
      <c r="A152" s="200">
        <v>25</v>
      </c>
      <c r="B152" s="59">
        <v>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</row>
    <row r="153" spans="1:37" ht="15" customHeight="1">
      <c r="A153" s="201">
        <v>26</v>
      </c>
      <c r="B153" s="178" t="s">
        <v>220</v>
      </c>
      <c r="C153" s="206">
        <v>43902.277000000002</v>
      </c>
      <c r="D153" s="206">
        <v>72460.884000000005</v>
      </c>
      <c r="E153" s="206">
        <v>107420.726</v>
      </c>
      <c r="F153" s="206">
        <v>138005.49299999999</v>
      </c>
      <c r="G153" s="206">
        <v>171064.78700000001</v>
      </c>
      <c r="H153" s="206">
        <v>212043.454</v>
      </c>
      <c r="I153" s="206">
        <v>236078.80300000001</v>
      </c>
      <c r="J153" s="206">
        <v>262838.58399999997</v>
      </c>
      <c r="K153" s="206">
        <v>262838.58399999997</v>
      </c>
      <c r="L153" s="206">
        <v>253597.56400000001</v>
      </c>
      <c r="M153" s="206">
        <v>253597.56400000001</v>
      </c>
      <c r="N153" s="206">
        <v>253597.56400000001</v>
      </c>
      <c r="O153" s="206">
        <v>244681.44500000001</v>
      </c>
      <c r="P153" s="206">
        <v>244681.44500000001</v>
      </c>
      <c r="Q153" s="206">
        <v>236078.80300000001</v>
      </c>
      <c r="R153" s="206">
        <v>197395.291</v>
      </c>
      <c r="S153" s="206">
        <v>197395.291</v>
      </c>
      <c r="T153" s="206">
        <v>171064.78700000001</v>
      </c>
      <c r="U153" s="207">
        <v>80674.400999999998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7" ht="15" customHeight="1">
      <c r="A154" s="200">
        <v>26</v>
      </c>
      <c r="B154" s="179" t="s">
        <v>221</v>
      </c>
      <c r="C154" s="2">
        <v>282343.11499999999</v>
      </c>
      <c r="D154" s="2">
        <v>314347.005</v>
      </c>
      <c r="E154" s="2">
        <v>375949.51899999997</v>
      </c>
      <c r="F154" s="2">
        <v>433816.13400000002</v>
      </c>
      <c r="G154" s="2">
        <v>518830.98800000001</v>
      </c>
      <c r="H154" s="2">
        <v>537737.03500000003</v>
      </c>
      <c r="I154" s="2">
        <v>557332.01300000004</v>
      </c>
      <c r="J154" s="2">
        <v>577641.027</v>
      </c>
      <c r="K154" s="2">
        <v>620506.18400000001</v>
      </c>
      <c r="L154" s="2">
        <v>598690.09400000004</v>
      </c>
      <c r="M154" s="2">
        <v>577641.027</v>
      </c>
      <c r="N154" s="2">
        <v>557332.01300000004</v>
      </c>
      <c r="O154" s="2">
        <v>537737.03500000003</v>
      </c>
      <c r="P154" s="2">
        <v>518830.98800000001</v>
      </c>
      <c r="Q154" s="2">
        <v>500589.64899999998</v>
      </c>
      <c r="R154" s="2">
        <v>449624.26500000001</v>
      </c>
      <c r="S154" s="2">
        <v>418563.79300000001</v>
      </c>
      <c r="T154" s="2">
        <v>389649.00799999997</v>
      </c>
      <c r="U154" s="208">
        <v>325801.71600000001</v>
      </c>
      <c r="V154" s="2"/>
    </row>
    <row r="155" spans="1:37" ht="15" customHeight="1">
      <c r="A155" s="200">
        <v>26</v>
      </c>
      <c r="B155" s="179" t="s">
        <v>222</v>
      </c>
      <c r="C155" s="2">
        <v>3850279.2429999998</v>
      </c>
      <c r="D155" s="2">
        <v>3219378.3620000002</v>
      </c>
      <c r="E155" s="2">
        <v>2891611.1880000001</v>
      </c>
      <c r="F155" s="2">
        <v>2597214.2200000002</v>
      </c>
      <c r="G155" s="2">
        <v>2250772.531</v>
      </c>
      <c r="H155" s="2">
        <v>2095287.023</v>
      </c>
      <c r="I155" s="2">
        <v>1815797.2649999999</v>
      </c>
      <c r="J155" s="2">
        <v>1630929.669</v>
      </c>
      <c r="K155" s="2">
        <v>1464883.5730000001</v>
      </c>
      <c r="L155" s="2">
        <v>1315742.746</v>
      </c>
      <c r="M155" s="2">
        <v>1269483.156</v>
      </c>
      <c r="N155" s="2">
        <v>1100147.148</v>
      </c>
      <c r="O155" s="2">
        <v>1024147.936</v>
      </c>
      <c r="P155" s="2">
        <v>919878.71499999997</v>
      </c>
      <c r="Q155" s="2">
        <v>856332.61899999995</v>
      </c>
      <c r="R155" s="2">
        <v>690841.21299999999</v>
      </c>
      <c r="S155" s="2">
        <v>598690.09400000004</v>
      </c>
      <c r="T155" s="2">
        <v>557332.01300000004</v>
      </c>
      <c r="U155" s="208">
        <v>482989.64899999998</v>
      </c>
      <c r="V155" s="2"/>
    </row>
    <row r="156" spans="1:37" ht="15" customHeight="1">
      <c r="A156" s="200">
        <v>26</v>
      </c>
      <c r="B156" s="179" t="s">
        <v>223</v>
      </c>
      <c r="C156" s="2">
        <v>24761809.802000001</v>
      </c>
      <c r="D156" s="2">
        <v>18596450.215999998</v>
      </c>
      <c r="E156" s="2">
        <v>12544275.857000001</v>
      </c>
      <c r="F156" s="2">
        <v>10120019.448999999</v>
      </c>
      <c r="G156" s="2">
        <v>9420918.8800000008</v>
      </c>
      <c r="H156" s="2">
        <v>7877221.4890000001</v>
      </c>
      <c r="I156" s="2">
        <v>6826481.085</v>
      </c>
      <c r="J156" s="2">
        <v>6131472.2470000004</v>
      </c>
      <c r="K156" s="2">
        <v>5126778.5619999999</v>
      </c>
      <c r="L156" s="2">
        <v>4442918.9819999998</v>
      </c>
      <c r="M156" s="2">
        <v>3714909.0580000002</v>
      </c>
      <c r="N156" s="2">
        <v>3219378.3620000002</v>
      </c>
      <c r="O156" s="2">
        <v>2691855.9360000002</v>
      </c>
      <c r="P156" s="2">
        <v>2505899.9679999999</v>
      </c>
      <c r="Q156" s="2">
        <v>2095287.023</v>
      </c>
      <c r="R156" s="2">
        <v>1815797.2649999999</v>
      </c>
      <c r="S156" s="2">
        <v>1464883.5730000001</v>
      </c>
      <c r="T156" s="2">
        <v>1269483.156</v>
      </c>
      <c r="U156" s="208">
        <v>1815797.2649999999</v>
      </c>
      <c r="V156" s="2"/>
    </row>
    <row r="157" spans="1:37" ht="15" customHeight="1">
      <c r="A157" s="200">
        <v>26</v>
      </c>
      <c r="B157" s="179" t="s">
        <v>228</v>
      </c>
      <c r="C157" s="2">
        <v>83614152.608999997</v>
      </c>
      <c r="D157" s="2">
        <v>58457384.229000002</v>
      </c>
      <c r="E157" s="2">
        <v>40869466.044</v>
      </c>
      <c r="F157" s="2">
        <v>30693515.405999999</v>
      </c>
      <c r="G157" s="2">
        <v>23051240.429000001</v>
      </c>
      <c r="H157" s="2">
        <v>17942626.234000001</v>
      </c>
      <c r="I157" s="2">
        <v>13475152.187000001</v>
      </c>
      <c r="J157" s="2">
        <v>11267134.313999999</v>
      </c>
      <c r="K157" s="2">
        <v>8770112.8430000003</v>
      </c>
      <c r="L157" s="2">
        <v>7333055.5360000003</v>
      </c>
      <c r="M157" s="2">
        <v>6131472.2470000004</v>
      </c>
      <c r="N157" s="2">
        <v>5126778.5619999999</v>
      </c>
      <c r="O157" s="2">
        <v>3990582.2769999998</v>
      </c>
      <c r="P157" s="2">
        <v>3458279.6060000001</v>
      </c>
      <c r="Q157" s="2">
        <v>2996980.642</v>
      </c>
      <c r="R157" s="2">
        <v>2417796.1910000001</v>
      </c>
      <c r="S157" s="2">
        <v>2021619.797</v>
      </c>
      <c r="T157" s="2">
        <v>1815797.2649999999</v>
      </c>
      <c r="U157" s="208">
        <v>1269483.156</v>
      </c>
      <c r="V157" s="2"/>
    </row>
    <row r="158" spans="1:37" ht="15" customHeight="1">
      <c r="A158" s="200">
        <v>26</v>
      </c>
      <c r="B158" s="179" t="s">
        <v>224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08"/>
      <c r="V158" s="2"/>
    </row>
    <row r="159" spans="1:37" ht="15" customHeight="1">
      <c r="A159" s="200">
        <v>26</v>
      </c>
      <c r="B159" s="179" t="s">
        <v>225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08"/>
      <c r="V159" s="2"/>
    </row>
    <row r="160" spans="1:37" ht="15" customHeight="1">
      <c r="A160" s="200">
        <v>26</v>
      </c>
      <c r="B160" s="179" t="s">
        <v>226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08"/>
      <c r="V160" s="2"/>
    </row>
    <row r="161" spans="1:22" ht="15" customHeight="1">
      <c r="A161" s="200">
        <v>26</v>
      </c>
      <c r="B161" s="179" t="s">
        <v>227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08"/>
      <c r="V161" s="2"/>
    </row>
    <row r="162" spans="1:22" ht="15" customHeight="1">
      <c r="A162" s="202">
        <v>26</v>
      </c>
      <c r="B162" s="203" t="s">
        <v>229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209"/>
      <c r="V162" s="2"/>
    </row>
    <row r="163" spans="1:22" ht="15" customHeight="1">
      <c r="A163" s="177">
        <v>27</v>
      </c>
      <c r="B163" s="178">
        <v>1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2" ht="15" customHeight="1">
      <c r="A164" s="174">
        <v>27</v>
      </c>
      <c r="B164" s="179">
        <v>2</v>
      </c>
    </row>
    <row r="165" spans="1:22" ht="15" customHeight="1">
      <c r="A165" s="174">
        <v>27</v>
      </c>
      <c r="B165" s="179">
        <v>3</v>
      </c>
    </row>
    <row r="166" spans="1:22" ht="15" customHeight="1">
      <c r="A166" s="174">
        <v>27</v>
      </c>
      <c r="B166" s="179">
        <v>4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2" ht="15" customHeight="1">
      <c r="A167" s="201">
        <v>28</v>
      </c>
      <c r="B167" s="58">
        <v>1</v>
      </c>
      <c r="C167" s="206">
        <v>210.17</v>
      </c>
      <c r="D167" s="206">
        <v>129.69</v>
      </c>
      <c r="E167" s="206">
        <v>98.16</v>
      </c>
      <c r="F167" s="206">
        <v>64.040000000000006</v>
      </c>
      <c r="G167" s="206">
        <v>51.25</v>
      </c>
      <c r="H167" s="206">
        <v>36.69</v>
      </c>
      <c r="I167" s="206">
        <v>29.36</v>
      </c>
      <c r="J167" s="206">
        <v>23.06</v>
      </c>
      <c r="K167" s="206">
        <v>19.88</v>
      </c>
      <c r="L167" s="206">
        <v>17.13</v>
      </c>
      <c r="M167" s="206">
        <v>15.62</v>
      </c>
      <c r="N167" s="206">
        <v>13.97</v>
      </c>
      <c r="O167" s="206">
        <v>13.46</v>
      </c>
      <c r="P167" s="206">
        <v>12.5</v>
      </c>
      <c r="Q167" s="206">
        <v>12.5</v>
      </c>
      <c r="R167" s="206">
        <v>12.27</v>
      </c>
      <c r="S167" s="206">
        <v>11.82</v>
      </c>
      <c r="T167" s="206">
        <v>11.39</v>
      </c>
      <c r="U167" s="207">
        <v>10.97</v>
      </c>
      <c r="V167" s="2"/>
    </row>
    <row r="168" spans="1:22" ht="15" customHeight="1">
      <c r="A168" s="200">
        <v>28</v>
      </c>
      <c r="B168" s="59">
        <v>2</v>
      </c>
      <c r="C168" s="2">
        <v>109729</v>
      </c>
      <c r="D168" s="2">
        <v>78552.73</v>
      </c>
      <c r="E168" s="2">
        <v>55199.54</v>
      </c>
      <c r="F168" s="2">
        <v>38789.1</v>
      </c>
      <c r="G168" s="2">
        <v>25780.44</v>
      </c>
      <c r="H168" s="2">
        <v>17782.79</v>
      </c>
      <c r="I168" s="2">
        <v>12266.19</v>
      </c>
      <c r="J168" s="2">
        <v>8460.9500000000007</v>
      </c>
      <c r="K168" s="2">
        <v>5945.57</v>
      </c>
      <c r="L168" s="2">
        <v>4177.99</v>
      </c>
      <c r="M168" s="2">
        <v>2776.82</v>
      </c>
      <c r="N168" s="2">
        <v>1880.15</v>
      </c>
      <c r="O168" s="2">
        <v>1321.2</v>
      </c>
      <c r="P168" s="2">
        <v>928.41</v>
      </c>
      <c r="Q168" s="2">
        <v>677.09</v>
      </c>
      <c r="R168" s="2">
        <v>493.8</v>
      </c>
      <c r="S168" s="2">
        <v>346.99</v>
      </c>
      <c r="T168" s="2">
        <v>248.41</v>
      </c>
      <c r="U168" s="208">
        <v>188.02</v>
      </c>
      <c r="V168" s="2"/>
    </row>
    <row r="169" spans="1:22" ht="15" customHeight="1">
      <c r="A169" s="200">
        <v>28</v>
      </c>
      <c r="B169" s="59">
        <v>3</v>
      </c>
      <c r="C169" s="2">
        <v>32215.47</v>
      </c>
      <c r="D169" s="2">
        <v>23494.58</v>
      </c>
      <c r="E169" s="2">
        <v>16206.06</v>
      </c>
      <c r="F169" s="2">
        <v>11388.11</v>
      </c>
      <c r="G169" s="2">
        <v>8002.5</v>
      </c>
      <c r="H169" s="2">
        <v>5519.95</v>
      </c>
      <c r="I169" s="2">
        <v>3951.61</v>
      </c>
      <c r="J169" s="2">
        <v>2776.82</v>
      </c>
      <c r="K169" s="2">
        <v>1915.39</v>
      </c>
      <c r="L169" s="2">
        <v>1396.89</v>
      </c>
      <c r="M169" s="2">
        <v>1037.8399999999999</v>
      </c>
      <c r="N169" s="2">
        <v>800.25</v>
      </c>
      <c r="O169" s="2">
        <v>640.4</v>
      </c>
      <c r="P169" s="2">
        <v>503.05</v>
      </c>
      <c r="Q169" s="2">
        <v>380.75</v>
      </c>
      <c r="R169" s="2">
        <v>304.7</v>
      </c>
      <c r="S169" s="2">
        <v>248.41</v>
      </c>
      <c r="T169" s="2">
        <v>202.51</v>
      </c>
      <c r="U169" s="208">
        <v>162.06</v>
      </c>
      <c r="V169" s="2"/>
    </row>
    <row r="170" spans="1:22" ht="15" customHeight="1">
      <c r="A170" s="200">
        <v>28</v>
      </c>
      <c r="B170" s="59">
        <v>4</v>
      </c>
      <c r="C170" s="2">
        <v>132119.75</v>
      </c>
      <c r="D170" s="2">
        <v>92841.45</v>
      </c>
      <c r="E170" s="2">
        <v>62861.84</v>
      </c>
      <c r="F170" s="2">
        <v>45844.83</v>
      </c>
      <c r="G170" s="2">
        <v>31040.98</v>
      </c>
      <c r="H170" s="2">
        <v>21812.71</v>
      </c>
      <c r="I170" s="2">
        <v>13711.87</v>
      </c>
      <c r="J170" s="2">
        <v>9816.02</v>
      </c>
      <c r="K170" s="2">
        <v>7027.07</v>
      </c>
      <c r="L170" s="2">
        <v>4670.41</v>
      </c>
      <c r="M170" s="2">
        <v>3221.55</v>
      </c>
      <c r="N170" s="2">
        <v>2263.8000000000002</v>
      </c>
      <c r="O170" s="2">
        <v>1561.52</v>
      </c>
      <c r="P170" s="2">
        <v>1077.1099999999999</v>
      </c>
      <c r="Q170" s="2">
        <v>815.25</v>
      </c>
      <c r="R170" s="2">
        <v>552</v>
      </c>
      <c r="S170" s="2">
        <v>387.89</v>
      </c>
      <c r="T170" s="2">
        <v>288.19</v>
      </c>
      <c r="U170" s="208">
        <v>218.13</v>
      </c>
      <c r="V170" s="2"/>
    </row>
    <row r="171" spans="1:22" ht="15" customHeight="1">
      <c r="A171" s="200">
        <v>28</v>
      </c>
      <c r="B171" s="59">
        <v>5</v>
      </c>
      <c r="C171" s="2">
        <v>165098.04999999999</v>
      </c>
      <c r="D171" s="2">
        <v>120405.18</v>
      </c>
      <c r="E171" s="2">
        <v>84609.54</v>
      </c>
      <c r="F171" s="2">
        <v>58361.85</v>
      </c>
      <c r="G171" s="2">
        <v>39516.11</v>
      </c>
      <c r="H171" s="2">
        <v>27768.240000000002</v>
      </c>
      <c r="I171" s="2">
        <v>18801.55</v>
      </c>
      <c r="J171" s="2">
        <v>12968.9</v>
      </c>
      <c r="K171" s="2">
        <v>8945.67</v>
      </c>
      <c r="L171" s="2">
        <v>6404</v>
      </c>
      <c r="M171" s="2">
        <v>4336.07</v>
      </c>
      <c r="N171" s="2">
        <v>2990.93</v>
      </c>
      <c r="O171" s="2">
        <v>2181.27</v>
      </c>
      <c r="P171" s="2">
        <v>1423.07</v>
      </c>
      <c r="Q171" s="2">
        <v>1018.74</v>
      </c>
      <c r="R171" s="2">
        <v>702.71</v>
      </c>
      <c r="S171" s="2">
        <v>522.09</v>
      </c>
      <c r="T171" s="2">
        <v>380.75</v>
      </c>
      <c r="U171" s="208">
        <v>262.64</v>
      </c>
      <c r="V171" s="2"/>
    </row>
    <row r="172" spans="1:22" ht="15" customHeight="1">
      <c r="A172" s="200">
        <v>28</v>
      </c>
      <c r="B172" s="59">
        <v>6</v>
      </c>
      <c r="C172" s="2">
        <v>86195.36</v>
      </c>
      <c r="D172" s="2">
        <v>61705.32</v>
      </c>
      <c r="E172" s="2">
        <v>42563</v>
      </c>
      <c r="F172" s="2">
        <v>28818.9</v>
      </c>
      <c r="G172" s="2">
        <v>20251.240000000002</v>
      </c>
      <c r="H172" s="2">
        <v>13459.6</v>
      </c>
      <c r="I172" s="2">
        <v>10000</v>
      </c>
      <c r="J172" s="2">
        <v>6770.88</v>
      </c>
      <c r="K172" s="2">
        <v>4500.1400000000003</v>
      </c>
      <c r="L172" s="2">
        <v>3281.93</v>
      </c>
      <c r="M172" s="2">
        <v>2181.27</v>
      </c>
      <c r="N172" s="2">
        <v>1561.52</v>
      </c>
      <c r="O172" s="2">
        <v>1097.29</v>
      </c>
      <c r="P172" s="2">
        <v>742.96</v>
      </c>
      <c r="Q172" s="2">
        <v>552</v>
      </c>
      <c r="R172" s="2">
        <v>417.8</v>
      </c>
      <c r="S172" s="2">
        <v>316.23</v>
      </c>
      <c r="T172" s="2">
        <v>234.95</v>
      </c>
      <c r="U172" s="209">
        <v>144.97</v>
      </c>
      <c r="V172" s="2"/>
    </row>
    <row r="173" spans="1:22" ht="15" customHeight="1">
      <c r="A173" s="201">
        <v>29</v>
      </c>
      <c r="B173" s="58">
        <v>1</v>
      </c>
      <c r="C173" s="206">
        <v>192672.63</v>
      </c>
      <c r="D173" s="206">
        <v>179275.58</v>
      </c>
      <c r="E173" s="206">
        <v>152990.17000000001</v>
      </c>
      <c r="F173" s="206">
        <v>121480.63</v>
      </c>
      <c r="G173" s="206">
        <v>97861.15</v>
      </c>
      <c r="H173" s="206">
        <v>78834.009999999995</v>
      </c>
      <c r="I173" s="206">
        <v>65363.68</v>
      </c>
      <c r="J173" s="206">
        <v>46920.38</v>
      </c>
      <c r="K173" s="206">
        <v>36723.599999999999</v>
      </c>
      <c r="L173" s="206">
        <v>26361.51</v>
      </c>
      <c r="M173" s="206">
        <v>19759.439999999999</v>
      </c>
      <c r="N173" s="206">
        <v>13008.91</v>
      </c>
      <c r="O173" s="206">
        <v>9204.6299999999992</v>
      </c>
      <c r="P173" s="206">
        <v>7204.27</v>
      </c>
      <c r="Q173" s="206">
        <v>4811.8900000000003</v>
      </c>
      <c r="R173" s="206">
        <v>2782.56</v>
      </c>
      <c r="S173" s="206">
        <v>1704.56</v>
      </c>
      <c r="T173" s="207">
        <v>1122.22</v>
      </c>
      <c r="U173" s="2"/>
    </row>
    <row r="174" spans="1:22" ht="15" customHeight="1">
      <c r="A174" s="200">
        <v>29</v>
      </c>
      <c r="B174" s="59">
        <v>2</v>
      </c>
      <c r="C174" s="2">
        <v>1040433.67</v>
      </c>
      <c r="D174" s="2">
        <v>705018.17</v>
      </c>
      <c r="E174" s="2">
        <v>470897.57</v>
      </c>
      <c r="F174" s="2">
        <v>319089.39</v>
      </c>
      <c r="G174" s="2">
        <v>235752.86</v>
      </c>
      <c r="H174" s="2">
        <v>157464.66</v>
      </c>
      <c r="I174" s="2">
        <v>116339.64</v>
      </c>
      <c r="J174" s="2">
        <v>74417.399999999994</v>
      </c>
      <c r="K174" s="2">
        <v>53419.46</v>
      </c>
      <c r="L174" s="2">
        <v>36723.599999999999</v>
      </c>
      <c r="M174" s="2">
        <v>25612.43</v>
      </c>
      <c r="N174" s="2">
        <v>16862.310000000001</v>
      </c>
      <c r="O174" s="2">
        <v>10942.68</v>
      </c>
      <c r="P174" s="2">
        <v>6703.34</v>
      </c>
      <c r="Q174" s="2">
        <v>4350.08</v>
      </c>
      <c r="R174" s="2">
        <v>2742.74</v>
      </c>
      <c r="S174" s="2">
        <v>1518.92</v>
      </c>
      <c r="T174" s="208">
        <v>957.68</v>
      </c>
      <c r="U174" s="2"/>
    </row>
    <row r="175" spans="1:22" ht="15" customHeight="1">
      <c r="A175" s="200">
        <v>29</v>
      </c>
      <c r="B175" s="59">
        <v>3</v>
      </c>
      <c r="C175" s="2">
        <v>2470593.2599999998</v>
      </c>
      <c r="D175" s="2">
        <v>1580330.94</v>
      </c>
      <c r="E175" s="2">
        <v>887885.18</v>
      </c>
      <c r="F175" s="2">
        <v>601648.34</v>
      </c>
      <c r="G175" s="2">
        <v>379340.96</v>
      </c>
      <c r="H175" s="2">
        <v>260780.69</v>
      </c>
      <c r="I175" s="2">
        <v>176710.09</v>
      </c>
      <c r="J175" s="2">
        <v>108250.22</v>
      </c>
      <c r="K175" s="2">
        <v>71268.09</v>
      </c>
      <c r="L175" s="2">
        <v>48993.77</v>
      </c>
      <c r="M175" s="2">
        <v>33681.120000000003</v>
      </c>
      <c r="N175" s="2">
        <v>24177.51</v>
      </c>
      <c r="O175" s="2">
        <v>14389.96</v>
      </c>
      <c r="P175" s="2">
        <v>9072.91</v>
      </c>
      <c r="Q175" s="2">
        <v>5478.41</v>
      </c>
      <c r="R175" s="2">
        <v>3876.32</v>
      </c>
      <c r="S175" s="2">
        <v>2209.4699999999998</v>
      </c>
      <c r="T175" s="208">
        <v>1059.3499999999999</v>
      </c>
      <c r="U175" s="2"/>
    </row>
    <row r="176" spans="1:22" ht="15" customHeight="1">
      <c r="A176" s="200">
        <v>29</v>
      </c>
      <c r="B176" s="59">
        <v>4</v>
      </c>
      <c r="C176" s="2">
        <v>14133012.460000001</v>
      </c>
      <c r="D176" s="2">
        <v>8291304.1799999997</v>
      </c>
      <c r="E176" s="2">
        <v>4525973.95</v>
      </c>
      <c r="F176" s="2">
        <v>2772550.72</v>
      </c>
      <c r="G176" s="2">
        <v>1557715.94</v>
      </c>
      <c r="H176" s="2">
        <v>954235.81</v>
      </c>
      <c r="I176" s="2">
        <v>506087.2</v>
      </c>
      <c r="J176" s="2">
        <v>288465.51</v>
      </c>
      <c r="K176" s="2">
        <v>164422.95000000001</v>
      </c>
      <c r="L176" s="2">
        <v>88469.15</v>
      </c>
      <c r="M176" s="2">
        <v>51901.51</v>
      </c>
      <c r="N176" s="2">
        <v>30012.92</v>
      </c>
      <c r="O176" s="2">
        <v>17863.07</v>
      </c>
      <c r="P176" s="2">
        <v>10786.09</v>
      </c>
      <c r="Q176" s="2">
        <v>6237.24</v>
      </c>
      <c r="R176" s="2">
        <v>3307.97</v>
      </c>
      <c r="S176" s="2">
        <v>2055.84</v>
      </c>
      <c r="T176" s="208">
        <v>1277.6600000000001</v>
      </c>
      <c r="U176" s="2"/>
    </row>
    <row r="177" spans="1:28" ht="15" customHeight="1">
      <c r="A177" s="202">
        <v>29</v>
      </c>
      <c r="B177" s="203">
        <v>5</v>
      </c>
      <c r="C177" s="30">
        <v>5458699.6799999997</v>
      </c>
      <c r="D177" s="30">
        <v>3023000.26</v>
      </c>
      <c r="E177" s="30">
        <v>1799227.47</v>
      </c>
      <c r="F177" s="30">
        <v>1025544.75</v>
      </c>
      <c r="G177" s="30">
        <v>646608.81999999995</v>
      </c>
      <c r="H177" s="30">
        <v>407688.67</v>
      </c>
      <c r="I177" s="30">
        <v>257048.84</v>
      </c>
      <c r="J177" s="30">
        <v>146515.71</v>
      </c>
      <c r="K177" s="30">
        <v>95080.35</v>
      </c>
      <c r="L177" s="30">
        <v>63506.31</v>
      </c>
      <c r="M177" s="30">
        <v>38903.11</v>
      </c>
      <c r="N177" s="30">
        <v>21236.04</v>
      </c>
      <c r="O177" s="30">
        <v>15243.99</v>
      </c>
      <c r="P177" s="30">
        <v>10036.1</v>
      </c>
      <c r="Q177" s="30">
        <v>5887.8</v>
      </c>
      <c r="R177" s="30">
        <v>3213.97</v>
      </c>
      <c r="S177" s="30">
        <v>1968.84</v>
      </c>
      <c r="T177" s="209">
        <v>1171.81</v>
      </c>
      <c r="U177" s="2"/>
    </row>
    <row r="178" spans="1:28" ht="15" customHeight="1">
      <c r="A178" s="200">
        <v>30</v>
      </c>
      <c r="B178" s="59">
        <v>1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8" ht="15" customHeight="1">
      <c r="A179" s="200">
        <v>30</v>
      </c>
      <c r="B179" s="59">
        <v>2</v>
      </c>
    </row>
    <row r="180" spans="1:28" ht="15" customHeight="1">
      <c r="A180" s="200">
        <v>30</v>
      </c>
      <c r="B180" s="59">
        <v>3</v>
      </c>
    </row>
    <row r="181" spans="1:28" ht="15" customHeight="1">
      <c r="A181" s="201">
        <v>31</v>
      </c>
      <c r="B181" s="58">
        <v>1</v>
      </c>
    </row>
    <row r="182" spans="1:28" ht="15" customHeight="1">
      <c r="A182" s="200">
        <v>31</v>
      </c>
      <c r="B182" s="59">
        <v>2</v>
      </c>
    </row>
    <row r="183" spans="1:28" ht="15" customHeight="1">
      <c r="A183" s="200">
        <v>31</v>
      </c>
      <c r="B183" s="59">
        <v>3</v>
      </c>
    </row>
    <row r="184" spans="1:28" ht="15" customHeight="1">
      <c r="A184" s="200">
        <v>31</v>
      </c>
      <c r="B184" s="59">
        <v>4</v>
      </c>
    </row>
    <row r="185" spans="1:28" ht="15" customHeight="1">
      <c r="A185" s="202">
        <v>31</v>
      </c>
      <c r="B185" s="203">
        <v>5</v>
      </c>
    </row>
    <row r="186" spans="1:28" ht="15" customHeight="1">
      <c r="A186" s="177">
        <v>32</v>
      </c>
      <c r="B186" s="178">
        <v>1</v>
      </c>
    </row>
    <row r="187" spans="1:28" ht="15" customHeight="1">
      <c r="A187" s="174">
        <v>32</v>
      </c>
      <c r="B187" s="179">
        <v>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8" ht="15" customHeight="1">
      <c r="A188" s="201">
        <v>33</v>
      </c>
      <c r="B188" s="178">
        <v>1</v>
      </c>
      <c r="C188" s="270">
        <v>220.32599999999999</v>
      </c>
      <c r="D188" s="270">
        <v>205.309</v>
      </c>
      <c r="E188" s="270">
        <v>220.32599999999999</v>
      </c>
      <c r="F188" s="206">
        <v>230.94200000000001</v>
      </c>
      <c r="G188" s="270">
        <v>220.32599999999999</v>
      </c>
      <c r="H188" s="270">
        <v>230.94200000000001</v>
      </c>
      <c r="I188" s="270">
        <v>225.572</v>
      </c>
      <c r="J188" s="270">
        <v>247.834</v>
      </c>
      <c r="K188" s="270">
        <v>265.96100000000001</v>
      </c>
      <c r="L188" s="270">
        <v>285.41300000000001</v>
      </c>
      <c r="M188" s="206">
        <v>292.209</v>
      </c>
      <c r="N188" s="206">
        <v>306.28899999999999</v>
      </c>
      <c r="O188" s="206">
        <v>306.28899999999999</v>
      </c>
      <c r="P188" s="206">
        <v>285.41300000000001</v>
      </c>
      <c r="Q188" s="206">
        <v>285.41300000000001</v>
      </c>
      <c r="R188" s="206">
        <v>299.166</v>
      </c>
      <c r="S188" s="206">
        <v>285.41300000000001</v>
      </c>
      <c r="T188" s="206">
        <v>306.28899999999999</v>
      </c>
      <c r="U188" s="206">
        <v>321.048</v>
      </c>
      <c r="V188" s="206">
        <v>306.28899999999999</v>
      </c>
      <c r="W188" s="206">
        <v>306.28899999999999</v>
      </c>
      <c r="X188" s="206">
        <v>242.07</v>
      </c>
      <c r="Y188" s="206">
        <v>230.94200000000001</v>
      </c>
      <c r="Z188" s="206">
        <v>215.202</v>
      </c>
      <c r="AA188" s="207">
        <v>205.309</v>
      </c>
      <c r="AB188" s="2"/>
    </row>
    <row r="189" spans="1:28" ht="15" customHeight="1">
      <c r="A189" s="200">
        <v>33</v>
      </c>
      <c r="B189" s="179">
        <v>2</v>
      </c>
      <c r="C189" s="2">
        <v>1045.3440000000001</v>
      </c>
      <c r="D189" s="2">
        <v>1070.606</v>
      </c>
      <c r="E189" s="2">
        <v>1150.114</v>
      </c>
      <c r="F189" s="2">
        <v>1206.373</v>
      </c>
      <c r="G189" s="2">
        <v>1235.5260000000001</v>
      </c>
      <c r="H189" s="2">
        <v>1359.356</v>
      </c>
      <c r="I189" s="2">
        <v>1359.356</v>
      </c>
      <c r="J189" s="2">
        <v>1460.308</v>
      </c>
      <c r="K189" s="2">
        <v>1425.8510000000001</v>
      </c>
      <c r="L189" s="2">
        <v>1460.308</v>
      </c>
      <c r="M189" s="2">
        <v>1392.2070000000001</v>
      </c>
      <c r="N189" s="2">
        <v>1460.308</v>
      </c>
      <c r="O189" s="2">
        <v>1392.2070000000001</v>
      </c>
      <c r="P189" s="2">
        <v>1265.384</v>
      </c>
      <c r="Q189" s="2">
        <v>1177.9069999999999</v>
      </c>
      <c r="R189" s="2">
        <v>1045.3440000000001</v>
      </c>
      <c r="S189" s="2">
        <v>973.07899999999995</v>
      </c>
      <c r="T189" s="2">
        <v>713.4</v>
      </c>
      <c r="U189" s="2">
        <v>696.56700000000001</v>
      </c>
      <c r="V189" s="2">
        <v>648.41300000000001</v>
      </c>
      <c r="W189" s="2">
        <v>535.66</v>
      </c>
      <c r="X189" s="2">
        <v>411.92200000000003</v>
      </c>
      <c r="Y189" s="2">
        <v>309.29300000000001</v>
      </c>
      <c r="Z189" s="2">
        <v>226.75399999999999</v>
      </c>
      <c r="AA189" s="208">
        <v>301.995</v>
      </c>
      <c r="AB189" s="2"/>
    </row>
    <row r="190" spans="1:28" ht="15" customHeight="1">
      <c r="A190" s="200">
        <v>33</v>
      </c>
      <c r="B190" s="179">
        <v>3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08"/>
      <c r="AA190" s="208"/>
      <c r="AB190" s="2"/>
    </row>
    <row r="191" spans="1:28" ht="15" customHeight="1">
      <c r="A191" s="200">
        <v>33</v>
      </c>
      <c r="B191" s="179">
        <v>4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0"/>
      <c r="Y191" s="30"/>
      <c r="Z191" s="209"/>
      <c r="AA191" s="209"/>
      <c r="AB191" s="2"/>
    </row>
    <row r="192" spans="1:28" ht="15" customHeight="1">
      <c r="A192" s="177">
        <v>34</v>
      </c>
      <c r="B192" s="178">
        <v>1</v>
      </c>
      <c r="C192" s="206">
        <v>892.37900000000002</v>
      </c>
      <c r="D192" s="206">
        <v>796.34100000000001</v>
      </c>
      <c r="E192" s="206">
        <v>757.04399999999998</v>
      </c>
      <c r="F192" s="206">
        <v>701.70399999999995</v>
      </c>
      <c r="G192" s="206">
        <v>650.40899999999999</v>
      </c>
      <c r="H192" s="206">
        <v>658.69</v>
      </c>
      <c r="I192" s="206">
        <v>610.54</v>
      </c>
      <c r="J192" s="206">
        <v>587.80200000000002</v>
      </c>
      <c r="K192" s="206">
        <v>565.91</v>
      </c>
      <c r="L192" s="206">
        <v>537.98400000000004</v>
      </c>
      <c r="M192" s="206">
        <v>498.65699999999998</v>
      </c>
      <c r="N192" s="206">
        <v>468.09</v>
      </c>
      <c r="O192" s="206">
        <v>417.714</v>
      </c>
      <c r="P192" s="206">
        <v>372.75900000000001</v>
      </c>
      <c r="Q192" s="206">
        <v>336.87799999999999</v>
      </c>
      <c r="R192" s="206">
        <v>285.78800000000001</v>
      </c>
      <c r="S192" s="206">
        <v>248.65899999999999</v>
      </c>
      <c r="T192" s="206">
        <v>205.678</v>
      </c>
      <c r="U192" s="206">
        <v>170.125</v>
      </c>
      <c r="V192" s="207">
        <v>148.023</v>
      </c>
      <c r="W192" s="206"/>
      <c r="X192" s="2"/>
      <c r="Y192" s="2"/>
      <c r="Z192" s="2"/>
      <c r="AA192" s="2"/>
    </row>
    <row r="193" spans="1:36" ht="15" customHeight="1">
      <c r="A193" s="174">
        <v>34</v>
      </c>
      <c r="B193" s="179">
        <v>2</v>
      </c>
      <c r="C193" s="2">
        <v>1321.229</v>
      </c>
      <c r="D193" s="2">
        <v>1201.6949999999999</v>
      </c>
      <c r="E193" s="2">
        <v>1092.9749999999999</v>
      </c>
      <c r="F193" s="2">
        <v>982.37699999999995</v>
      </c>
      <c r="G193" s="2">
        <v>893.49900000000002</v>
      </c>
      <c r="H193" s="2">
        <v>842.08100000000002</v>
      </c>
      <c r="I193" s="2">
        <v>803.08600000000001</v>
      </c>
      <c r="J193" s="2">
        <v>747.952</v>
      </c>
      <c r="K193" s="2">
        <v>713.31600000000003</v>
      </c>
      <c r="L193" s="2">
        <v>633.58000000000004</v>
      </c>
      <c r="M193" s="2">
        <v>562.75800000000004</v>
      </c>
      <c r="N193" s="2">
        <v>460.05099999999999</v>
      </c>
      <c r="O193" s="2">
        <v>358.67200000000003</v>
      </c>
      <c r="P193" s="2">
        <v>282.96800000000002</v>
      </c>
      <c r="Q193" s="2">
        <v>198.28800000000001</v>
      </c>
      <c r="R193" s="2">
        <v>142.28299999999999</v>
      </c>
      <c r="S193" s="2">
        <v>100.893</v>
      </c>
      <c r="T193" s="2">
        <v>77.733000000000004</v>
      </c>
      <c r="U193" s="2">
        <v>67.426000000000002</v>
      </c>
      <c r="V193" s="208">
        <v>75.016999999999996</v>
      </c>
      <c r="W193" s="2"/>
      <c r="X193" s="2"/>
    </row>
    <row r="194" spans="1:36" ht="15" customHeight="1">
      <c r="A194" s="174">
        <v>34</v>
      </c>
      <c r="B194" s="179">
        <v>3</v>
      </c>
      <c r="C194" s="2">
        <v>2218.723</v>
      </c>
      <c r="D194" s="2">
        <v>1917.3209999999999</v>
      </c>
      <c r="E194" s="2">
        <v>1718.4570000000001</v>
      </c>
      <c r="F194" s="2">
        <v>1503.192</v>
      </c>
      <c r="G194" s="2">
        <v>1380.4680000000001</v>
      </c>
      <c r="H194" s="2">
        <v>1207.5419999999999</v>
      </c>
      <c r="I194" s="2">
        <v>1082.296</v>
      </c>
      <c r="J194" s="2">
        <v>981.91499999999996</v>
      </c>
      <c r="K194" s="2">
        <v>901.74900000000002</v>
      </c>
      <c r="L194" s="2">
        <v>788.79100000000005</v>
      </c>
      <c r="M194" s="2">
        <v>706.97699999999998</v>
      </c>
      <c r="N194" s="2">
        <v>618.41700000000003</v>
      </c>
      <c r="O194" s="2">
        <v>547.572</v>
      </c>
      <c r="P194" s="2">
        <v>473.18700000000001</v>
      </c>
      <c r="Q194" s="2">
        <v>394.25099999999998</v>
      </c>
      <c r="R194" s="2">
        <v>320.58600000000001</v>
      </c>
      <c r="S194" s="2">
        <v>254.41800000000001</v>
      </c>
      <c r="T194" s="2">
        <v>192.316</v>
      </c>
      <c r="U194" s="2">
        <v>135.13900000000001</v>
      </c>
      <c r="V194" s="208"/>
      <c r="W194" s="2"/>
      <c r="X194" s="2"/>
    </row>
    <row r="195" spans="1:36" ht="15" customHeight="1">
      <c r="A195" s="174">
        <v>34</v>
      </c>
      <c r="B195" s="179">
        <v>4</v>
      </c>
      <c r="C195" s="2">
        <v>38712.103000000003</v>
      </c>
      <c r="D195" s="2">
        <v>28908.821</v>
      </c>
      <c r="E195" s="2">
        <v>21327.010999999999</v>
      </c>
      <c r="F195" s="2">
        <v>14986.269</v>
      </c>
      <c r="G195" s="2">
        <v>10922.174999999999</v>
      </c>
      <c r="H195" s="2">
        <v>7863.9489999999996</v>
      </c>
      <c r="I195" s="2">
        <v>5731.3410000000003</v>
      </c>
      <c r="J195" s="2">
        <v>4076.654</v>
      </c>
      <c r="K195" s="2">
        <v>2829.98</v>
      </c>
      <c r="L195" s="2">
        <v>2012.94</v>
      </c>
      <c r="M195" s="2">
        <v>1485.0139999999999</v>
      </c>
      <c r="N195" s="2">
        <v>1069.2080000000001</v>
      </c>
      <c r="O195" s="2">
        <v>751.32100000000003</v>
      </c>
      <c r="P195" s="2">
        <v>540.95000000000005</v>
      </c>
      <c r="Q195" s="2">
        <v>389.483</v>
      </c>
      <c r="R195" s="2">
        <v>283.86</v>
      </c>
      <c r="S195" s="2">
        <v>192.316</v>
      </c>
      <c r="T195" s="2">
        <v>138.46700000000001</v>
      </c>
      <c r="U195" s="2">
        <v>96.123000000000005</v>
      </c>
      <c r="V195" s="208">
        <v>66.727999999999994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6" ht="15" customHeight="1">
      <c r="A196" s="271">
        <v>35</v>
      </c>
      <c r="B196" s="272">
        <v>1</v>
      </c>
      <c r="C196" s="196">
        <v>67.512</v>
      </c>
      <c r="D196" s="196">
        <v>51.206000000000003</v>
      </c>
      <c r="E196" s="196">
        <v>29.457000000000001</v>
      </c>
      <c r="F196" s="196">
        <v>20.475000000000001</v>
      </c>
      <c r="G196" s="196">
        <v>17.193999999999999</v>
      </c>
      <c r="H196" s="196">
        <v>11.441000000000001</v>
      </c>
      <c r="I196" s="196">
        <v>9.891</v>
      </c>
      <c r="J196" s="196">
        <v>6.3</v>
      </c>
      <c r="K196" s="196">
        <v>4.7789999999999999</v>
      </c>
      <c r="L196" s="196">
        <v>3.9550000000000001</v>
      </c>
      <c r="M196" s="196">
        <v>2.7090000000000001</v>
      </c>
      <c r="N196" s="196">
        <v>2.0249999999999999</v>
      </c>
      <c r="O196" s="196">
        <v>2.085</v>
      </c>
      <c r="P196" s="196">
        <v>1.2529999999999999</v>
      </c>
      <c r="Q196" s="196">
        <v>0.92300000000000004</v>
      </c>
      <c r="R196" s="196">
        <v>0.63200000000000001</v>
      </c>
      <c r="S196" s="196">
        <v>0.501</v>
      </c>
      <c r="T196" s="196">
        <v>0.433</v>
      </c>
      <c r="U196" s="196">
        <v>0.32400000000000001</v>
      </c>
      <c r="V196" s="196">
        <v>0.26</v>
      </c>
      <c r="W196" s="196">
        <v>0.21199999999999999</v>
      </c>
      <c r="X196" s="196">
        <v>0.186</v>
      </c>
      <c r="Y196" s="196">
        <v>0.14499999999999999</v>
      </c>
      <c r="Z196" s="196">
        <v>0.126</v>
      </c>
      <c r="AA196" s="196">
        <v>0.107</v>
      </c>
      <c r="AB196" s="196">
        <v>9.5000000000000001E-2</v>
      </c>
      <c r="AC196" s="196">
        <v>9.4E-2</v>
      </c>
      <c r="AD196" s="196">
        <v>8.5000000000000006E-2</v>
      </c>
      <c r="AE196" s="196">
        <v>7.3999999999999996E-2</v>
      </c>
      <c r="AF196" s="196">
        <v>6.6000000000000003E-2</v>
      </c>
      <c r="AG196" s="196">
        <v>6.0999999999999999E-2</v>
      </c>
      <c r="AH196" s="196">
        <v>5.8999999999999997E-2</v>
      </c>
      <c r="AI196" s="261">
        <v>5.8999999999999997E-2</v>
      </c>
      <c r="AJ196" s="2"/>
    </row>
    <row r="197" spans="1:36" ht="15" customHeight="1">
      <c r="A197" s="273">
        <v>35</v>
      </c>
      <c r="B197" s="274">
        <v>2</v>
      </c>
      <c r="C197" s="22">
        <v>60.094000000000001</v>
      </c>
      <c r="D197" s="22">
        <v>43.633000000000003</v>
      </c>
      <c r="E197" s="22">
        <v>34.070999999999998</v>
      </c>
      <c r="F197" s="22">
        <v>25.468</v>
      </c>
      <c r="G197" s="22">
        <v>15.084</v>
      </c>
      <c r="H197" s="22">
        <v>13.426</v>
      </c>
      <c r="I197" s="22">
        <v>9.3320000000000007</v>
      </c>
      <c r="J197" s="22">
        <v>7.1820000000000004</v>
      </c>
      <c r="K197" s="22">
        <v>5.5270000000000001</v>
      </c>
      <c r="L197" s="22">
        <v>4.8490000000000002</v>
      </c>
      <c r="M197" s="22">
        <v>3.3210000000000002</v>
      </c>
      <c r="N197" s="22">
        <v>2.3769999999999998</v>
      </c>
      <c r="O197" s="22">
        <v>1.8029999999999999</v>
      </c>
      <c r="P197" s="22">
        <v>1.387</v>
      </c>
      <c r="Q197" s="22">
        <v>1.0680000000000001</v>
      </c>
      <c r="R197" s="22">
        <v>0.78700000000000003</v>
      </c>
      <c r="S197" s="22">
        <v>0.67</v>
      </c>
      <c r="T197" s="22">
        <v>0.61399999999999999</v>
      </c>
      <c r="U197" s="22">
        <v>0.54700000000000004</v>
      </c>
      <c r="V197" s="22">
        <v>0.34300000000000003</v>
      </c>
      <c r="W197" s="22">
        <v>0.35299999999999998</v>
      </c>
      <c r="X197" s="22">
        <v>0.222</v>
      </c>
      <c r="Y197" s="22">
        <v>0.21199999999999999</v>
      </c>
      <c r="Z197" s="22">
        <v>0.17299999999999999</v>
      </c>
      <c r="AA197" s="22">
        <v>0.17599999999999999</v>
      </c>
      <c r="AB197" s="22">
        <v>0.159</v>
      </c>
      <c r="AC197" s="22">
        <v>0.159</v>
      </c>
      <c r="AD197" s="22">
        <v>0.13900000000000001</v>
      </c>
      <c r="AE197" s="22">
        <v>0.11899999999999999</v>
      </c>
      <c r="AF197" s="22">
        <v>0.109</v>
      </c>
      <c r="AG197" s="22">
        <v>0.114</v>
      </c>
      <c r="AH197" s="22">
        <v>0.104</v>
      </c>
      <c r="AI197" s="259">
        <v>0.115</v>
      </c>
      <c r="AJ197" s="2"/>
    </row>
    <row r="198" spans="1:36" ht="15" customHeight="1">
      <c r="A198" s="273">
        <v>35</v>
      </c>
      <c r="B198" s="274">
        <v>3</v>
      </c>
      <c r="C198" s="22">
        <v>15.084</v>
      </c>
      <c r="D198" s="22">
        <v>13.233000000000001</v>
      </c>
      <c r="E198" s="22">
        <v>9.891</v>
      </c>
      <c r="F198" s="22">
        <v>7.3940000000000001</v>
      </c>
      <c r="G198" s="22">
        <v>5.3689999999999998</v>
      </c>
      <c r="H198" s="22">
        <v>4.0129999999999999</v>
      </c>
      <c r="I198" s="22">
        <v>3.3210000000000002</v>
      </c>
      <c r="J198" s="22">
        <v>2.4830000000000001</v>
      </c>
      <c r="K198" s="22">
        <v>1.829</v>
      </c>
      <c r="L198" s="22">
        <v>1.514</v>
      </c>
      <c r="M198" s="22">
        <v>1.2170000000000001</v>
      </c>
      <c r="N198" s="22">
        <v>0.95</v>
      </c>
      <c r="O198" s="22">
        <v>0.71</v>
      </c>
      <c r="P198" s="22">
        <v>0.58799999999999997</v>
      </c>
      <c r="Q198" s="22">
        <v>0.46600000000000003</v>
      </c>
      <c r="R198" s="22">
        <v>0.35899999999999999</v>
      </c>
      <c r="S198" s="22">
        <v>0.28000000000000003</v>
      </c>
      <c r="T198" s="22">
        <v>0.20899999999999999</v>
      </c>
      <c r="U198" s="22">
        <v>0.16300000000000001</v>
      </c>
      <c r="V198" s="22">
        <v>0.14099999999999999</v>
      </c>
      <c r="W198" s="22">
        <v>0.104</v>
      </c>
      <c r="X198" s="22">
        <v>9.5000000000000001E-2</v>
      </c>
      <c r="Y198" s="22">
        <v>7.5999999999999998E-2</v>
      </c>
      <c r="Z198" s="22">
        <v>5.8999999999999997E-2</v>
      </c>
      <c r="AA198" s="22">
        <v>5.0999999999999997E-2</v>
      </c>
      <c r="AB198" s="22">
        <v>4.1000000000000002E-2</v>
      </c>
      <c r="AC198" s="22">
        <v>3.7999999999999999E-2</v>
      </c>
      <c r="AD198" s="22">
        <v>3.4000000000000002E-2</v>
      </c>
      <c r="AE198" s="22">
        <v>3.3000000000000002E-2</v>
      </c>
      <c r="AF198" s="22">
        <v>0.03</v>
      </c>
      <c r="AG198" s="22">
        <v>2.8000000000000001E-2</v>
      </c>
      <c r="AH198" s="22">
        <v>2.8000000000000001E-2</v>
      </c>
      <c r="AI198" s="259">
        <v>0.03</v>
      </c>
      <c r="AJ198" s="2"/>
    </row>
    <row r="199" spans="1:36" ht="15" customHeight="1">
      <c r="A199" s="275">
        <v>35</v>
      </c>
      <c r="B199" s="276">
        <v>4</v>
      </c>
      <c r="C199" s="27">
        <v>159.29900000000001</v>
      </c>
      <c r="D199" s="27">
        <v>109.123</v>
      </c>
      <c r="E199" s="27">
        <v>97.132000000000005</v>
      </c>
      <c r="F199" s="27">
        <v>66.537000000000006</v>
      </c>
      <c r="G199" s="27">
        <v>43.633000000000003</v>
      </c>
      <c r="H199" s="27">
        <v>37.723999999999997</v>
      </c>
      <c r="I199" s="27">
        <v>25.841999999999999</v>
      </c>
      <c r="J199" s="27">
        <v>15.305</v>
      </c>
      <c r="K199" s="27">
        <v>13.233000000000001</v>
      </c>
      <c r="L199" s="27">
        <v>12.853</v>
      </c>
      <c r="M199" s="27">
        <v>11.113</v>
      </c>
      <c r="N199" s="27">
        <v>9.3320000000000007</v>
      </c>
      <c r="O199" s="27">
        <v>6.875</v>
      </c>
      <c r="P199" s="27">
        <v>4.992</v>
      </c>
      <c r="Q199" s="27">
        <v>4.0129999999999999</v>
      </c>
      <c r="R199" s="27">
        <v>3.8980000000000001</v>
      </c>
      <c r="S199" s="27">
        <v>3.1339999999999999</v>
      </c>
      <c r="T199" s="27">
        <v>2.83</v>
      </c>
      <c r="U199" s="27">
        <v>2.4119999999999999</v>
      </c>
      <c r="V199" s="27">
        <v>1.536</v>
      </c>
      <c r="W199" s="27">
        <v>1.387</v>
      </c>
      <c r="X199" s="27">
        <v>1.0069999999999999</v>
      </c>
      <c r="Y199" s="27">
        <v>0.93700000000000006</v>
      </c>
      <c r="Z199" s="27">
        <v>0.67</v>
      </c>
      <c r="AA199" s="27">
        <v>0.433</v>
      </c>
      <c r="AB199" s="27">
        <v>0.375</v>
      </c>
      <c r="AC199" s="27">
        <v>0.36399999999999999</v>
      </c>
      <c r="AD199" s="27">
        <v>0.33800000000000002</v>
      </c>
      <c r="AE199" s="27">
        <v>0.32900000000000001</v>
      </c>
      <c r="AF199" s="27">
        <v>0.31900000000000001</v>
      </c>
      <c r="AG199" s="27">
        <v>0.28399999999999997</v>
      </c>
      <c r="AH199" s="27">
        <v>0.29699999999999999</v>
      </c>
      <c r="AI199" s="262">
        <v>0.28000000000000003</v>
      </c>
      <c r="AJ199" s="2"/>
    </row>
    <row r="200" spans="1:36" ht="15" customHeight="1">
      <c r="A200" s="205">
        <v>36</v>
      </c>
      <c r="B200" s="59">
        <v>1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6" ht="15" customHeight="1">
      <c r="A201" s="205">
        <v>36</v>
      </c>
      <c r="B201" s="59">
        <v>2</v>
      </c>
      <c r="D201" s="2"/>
    </row>
    <row r="202" spans="1:36" ht="15" customHeight="1">
      <c r="A202" s="205">
        <v>36</v>
      </c>
      <c r="B202" s="59">
        <v>3</v>
      </c>
      <c r="C202" s="2"/>
      <c r="D202" s="2"/>
      <c r="E202" s="2"/>
    </row>
    <row r="203" spans="1:36" ht="15" customHeight="1">
      <c r="A203" s="213">
        <v>36</v>
      </c>
      <c r="B203" s="203">
        <v>4</v>
      </c>
      <c r="C203" s="2"/>
      <c r="D203" s="2"/>
      <c r="E203" s="2"/>
    </row>
    <row r="204" spans="1:36" ht="15" customHeight="1">
      <c r="A204" s="205">
        <v>37</v>
      </c>
      <c r="B204" s="179">
        <v>1</v>
      </c>
      <c r="C204" s="2"/>
      <c r="D204" s="94"/>
      <c r="E204" s="2"/>
    </row>
    <row r="205" spans="1:36" ht="15" customHeight="1">
      <c r="A205" s="205">
        <v>37</v>
      </c>
      <c r="B205" s="179">
        <v>2</v>
      </c>
      <c r="C205" s="2"/>
      <c r="D205" s="94"/>
      <c r="E205" s="2"/>
    </row>
    <row r="206" spans="1:36" ht="15" customHeight="1">
      <c r="A206" s="205">
        <v>37</v>
      </c>
      <c r="B206" s="179">
        <v>3</v>
      </c>
      <c r="C206" s="2"/>
      <c r="D206" s="94"/>
      <c r="E206" s="2"/>
      <c r="G206" s="94"/>
    </row>
    <row r="207" spans="1:36" ht="15" customHeight="1">
      <c r="A207" s="205">
        <v>37</v>
      </c>
      <c r="B207" s="179">
        <v>4</v>
      </c>
      <c r="C207" s="2"/>
      <c r="D207" s="94"/>
      <c r="E207" s="2"/>
      <c r="G207" s="94"/>
    </row>
    <row r="208" spans="1:36" ht="15" customHeight="1">
      <c r="A208" s="205">
        <v>37</v>
      </c>
      <c r="B208" s="179">
        <v>5</v>
      </c>
      <c r="C208" s="2"/>
      <c r="D208" s="2"/>
      <c r="E208" s="2"/>
      <c r="G208" s="94"/>
    </row>
    <row r="209" spans="1:24" ht="15" customHeight="1">
      <c r="A209" s="205">
        <v>37</v>
      </c>
      <c r="B209" s="179">
        <v>6</v>
      </c>
      <c r="D209" s="2"/>
      <c r="G209" s="94"/>
    </row>
    <row r="210" spans="1:24" ht="15" customHeight="1">
      <c r="A210" s="205">
        <v>37</v>
      </c>
      <c r="B210" s="179">
        <v>7</v>
      </c>
      <c r="C210" s="2"/>
      <c r="D210" s="2"/>
      <c r="E210" s="2"/>
      <c r="F210" s="2"/>
      <c r="G210" s="9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4" ht="15" customHeight="1">
      <c r="A211" s="201">
        <v>38</v>
      </c>
      <c r="B211" s="58">
        <v>1</v>
      </c>
      <c r="C211" s="277">
        <v>137.661</v>
      </c>
      <c r="D211" s="277">
        <v>137.661</v>
      </c>
      <c r="E211" s="277">
        <v>145.98400000000001</v>
      </c>
      <c r="F211" s="277">
        <v>145.98400000000001</v>
      </c>
      <c r="G211" s="277">
        <v>143.155</v>
      </c>
      <c r="H211" s="277">
        <v>143.155</v>
      </c>
      <c r="I211" s="277">
        <v>140.381</v>
      </c>
      <c r="J211" s="277">
        <v>145.98400000000001</v>
      </c>
      <c r="K211" s="277">
        <v>145.98400000000001</v>
      </c>
      <c r="L211" s="277">
        <v>143.155</v>
      </c>
      <c r="M211" s="277">
        <v>140.381</v>
      </c>
      <c r="N211" s="277">
        <v>140.381</v>
      </c>
      <c r="O211" s="277">
        <v>140.381</v>
      </c>
      <c r="P211" s="277">
        <v>134.99299999999999</v>
      </c>
      <c r="Q211" s="277">
        <v>137.661</v>
      </c>
      <c r="R211" s="277">
        <v>137.661</v>
      </c>
      <c r="S211" s="277">
        <v>132.37700000000001</v>
      </c>
      <c r="T211" s="277">
        <v>127.29600000000001</v>
      </c>
      <c r="U211" s="277">
        <v>127.29600000000001</v>
      </c>
      <c r="V211" s="277">
        <v>124.83</v>
      </c>
      <c r="W211" s="278">
        <v>115.431</v>
      </c>
      <c r="X211" s="2"/>
    </row>
    <row r="212" spans="1:24" ht="15" customHeight="1">
      <c r="A212" s="200">
        <v>38</v>
      </c>
      <c r="B212" s="59">
        <v>2</v>
      </c>
      <c r="C212" s="95">
        <v>712.346</v>
      </c>
      <c r="D212" s="95">
        <v>726.423</v>
      </c>
      <c r="E212" s="95">
        <v>685.005</v>
      </c>
      <c r="F212" s="95">
        <v>658.71400000000006</v>
      </c>
      <c r="G212" s="95">
        <v>597.31600000000003</v>
      </c>
      <c r="H212" s="95">
        <v>585.74099999999999</v>
      </c>
      <c r="I212" s="95">
        <v>574.39</v>
      </c>
      <c r="J212" s="95">
        <v>563.25900000000001</v>
      </c>
      <c r="K212" s="95">
        <v>531.14400000000001</v>
      </c>
      <c r="L212" s="95">
        <v>500.86</v>
      </c>
      <c r="M212" s="95">
        <v>481.637</v>
      </c>
      <c r="N212" s="95">
        <v>481.637</v>
      </c>
      <c r="O212" s="95">
        <v>454.17599999999999</v>
      </c>
      <c r="P212" s="95">
        <v>445.37400000000002</v>
      </c>
      <c r="Q212" s="95">
        <v>436.74400000000003</v>
      </c>
      <c r="R212" s="95">
        <v>411.84199999999998</v>
      </c>
      <c r="S212" s="95">
        <v>366.21800000000002</v>
      </c>
      <c r="T212" s="95">
        <v>359.12099999999998</v>
      </c>
      <c r="U212" s="95">
        <v>366.21800000000002</v>
      </c>
      <c r="V212" s="95">
        <v>345.33699999999999</v>
      </c>
      <c r="W212" s="279">
        <v>332.08300000000003</v>
      </c>
      <c r="X212" s="2"/>
    </row>
    <row r="213" spans="1:24" ht="15" customHeight="1">
      <c r="A213" s="200">
        <v>38</v>
      </c>
      <c r="B213" s="59">
        <v>3</v>
      </c>
      <c r="C213" s="95">
        <v>849.53</v>
      </c>
      <c r="D213" s="95">
        <v>918.69799999999998</v>
      </c>
      <c r="E213" s="95">
        <v>955.36599999999999</v>
      </c>
      <c r="F213" s="95">
        <v>918.69799999999998</v>
      </c>
      <c r="G213" s="95">
        <v>900.89499999999998</v>
      </c>
      <c r="H213" s="95">
        <v>883.43700000000001</v>
      </c>
      <c r="I213" s="95">
        <v>801.09299999999996</v>
      </c>
      <c r="J213" s="95">
        <v>801.09299999999996</v>
      </c>
      <c r="K213" s="95">
        <v>755.41700000000003</v>
      </c>
      <c r="L213" s="95">
        <v>671.73099999999999</v>
      </c>
      <c r="M213" s="95">
        <v>633.43200000000002</v>
      </c>
      <c r="N213" s="95">
        <v>597.31600000000003</v>
      </c>
      <c r="O213" s="95">
        <v>563.25900000000001</v>
      </c>
      <c r="P213" s="95">
        <v>541.64</v>
      </c>
      <c r="Q213" s="95">
        <v>510.75799999999998</v>
      </c>
      <c r="R213" s="95">
        <v>481.637</v>
      </c>
      <c r="S213" s="95">
        <v>428.28</v>
      </c>
      <c r="T213" s="95">
        <v>403.86099999999999</v>
      </c>
      <c r="U213" s="95">
        <v>366.21800000000002</v>
      </c>
      <c r="V213" s="95">
        <v>307.08</v>
      </c>
      <c r="W213" s="279">
        <v>289.572</v>
      </c>
      <c r="X213" s="2"/>
    </row>
    <row r="214" spans="1:24" ht="15" customHeight="1">
      <c r="A214" s="200">
        <v>38</v>
      </c>
      <c r="B214" s="59">
        <v>4</v>
      </c>
      <c r="C214" s="95">
        <v>111.001</v>
      </c>
      <c r="D214" s="95">
        <v>117.712</v>
      </c>
      <c r="E214" s="95">
        <v>120.038</v>
      </c>
      <c r="F214" s="95">
        <v>117.712</v>
      </c>
      <c r="G214" s="95">
        <v>120.038</v>
      </c>
      <c r="H214" s="95">
        <v>115.431</v>
      </c>
      <c r="I214" s="95">
        <v>122.411</v>
      </c>
      <c r="J214" s="95">
        <v>124.83</v>
      </c>
      <c r="K214" s="95">
        <v>124.83</v>
      </c>
      <c r="L214" s="95">
        <v>120.038</v>
      </c>
      <c r="M214" s="95">
        <v>122.411</v>
      </c>
      <c r="N214" s="95">
        <v>124.83</v>
      </c>
      <c r="O214" s="95">
        <v>127.29600000000001</v>
      </c>
      <c r="P214" s="95">
        <v>124.83</v>
      </c>
      <c r="Q214" s="95">
        <v>122.411</v>
      </c>
      <c r="R214" s="95">
        <v>120.038</v>
      </c>
      <c r="S214" s="95">
        <v>120.038</v>
      </c>
      <c r="T214" s="95">
        <v>124.83</v>
      </c>
      <c r="U214" s="95">
        <v>115.431</v>
      </c>
      <c r="V214" s="95">
        <v>117.712</v>
      </c>
      <c r="W214" s="279">
        <v>117.712</v>
      </c>
      <c r="X214" s="2"/>
    </row>
    <row r="215" spans="1:24" ht="15" customHeight="1">
      <c r="A215" s="200">
        <v>38</v>
      </c>
      <c r="B215" s="59">
        <v>5</v>
      </c>
      <c r="C215" s="95">
        <v>93.075999999999993</v>
      </c>
      <c r="D215" s="95">
        <v>93.075999999999993</v>
      </c>
      <c r="E215" s="95">
        <v>93.075999999999993</v>
      </c>
      <c r="F215" s="95">
        <v>91.272000000000006</v>
      </c>
      <c r="G215" s="95">
        <v>93.075999999999993</v>
      </c>
      <c r="H215" s="95">
        <v>91.272000000000006</v>
      </c>
      <c r="I215" s="95">
        <v>89.504000000000005</v>
      </c>
      <c r="J215" s="95">
        <v>89.504000000000005</v>
      </c>
      <c r="K215" s="95">
        <v>87.769000000000005</v>
      </c>
      <c r="L215" s="95">
        <v>89.504000000000005</v>
      </c>
      <c r="M215" s="95">
        <v>84.400999999999996</v>
      </c>
      <c r="N215" s="95">
        <v>87.769000000000005</v>
      </c>
      <c r="O215" s="95">
        <v>87.769000000000005</v>
      </c>
      <c r="P215" s="95">
        <v>84.400999999999996</v>
      </c>
      <c r="Q215" s="95">
        <v>86.067999999999998</v>
      </c>
      <c r="R215" s="95">
        <v>86.067999999999998</v>
      </c>
      <c r="S215" s="95">
        <v>86.067999999999998</v>
      </c>
      <c r="T215" s="95">
        <v>84.400999999999996</v>
      </c>
      <c r="U215" s="95">
        <v>82.765000000000001</v>
      </c>
      <c r="V215" s="95">
        <v>81.161000000000001</v>
      </c>
      <c r="W215" s="279">
        <v>84.400999999999996</v>
      </c>
      <c r="X215" s="2"/>
    </row>
    <row r="216" spans="1:24" ht="15" customHeight="1">
      <c r="A216" s="200">
        <v>38</v>
      </c>
      <c r="B216" s="59">
        <v>6</v>
      </c>
      <c r="C216" s="95">
        <v>32.991999999999997</v>
      </c>
      <c r="D216" s="95">
        <v>34.987000000000002</v>
      </c>
      <c r="E216" s="95">
        <v>34.987000000000002</v>
      </c>
      <c r="F216" s="95">
        <v>33.643999999999998</v>
      </c>
      <c r="G216" s="95">
        <v>34.987000000000002</v>
      </c>
      <c r="H216" s="95">
        <v>35.679000000000002</v>
      </c>
      <c r="I216" s="95">
        <v>35.679000000000002</v>
      </c>
      <c r="J216" s="95">
        <v>37.103000000000002</v>
      </c>
      <c r="K216" s="95">
        <v>37.103000000000002</v>
      </c>
      <c r="L216" s="95">
        <v>37.835999999999999</v>
      </c>
      <c r="M216" s="95">
        <v>37.835999999999999</v>
      </c>
      <c r="N216" s="95">
        <v>39.345999999999997</v>
      </c>
      <c r="O216" s="96">
        <v>39.345999999999997</v>
      </c>
      <c r="P216" s="96">
        <v>38.584000000000003</v>
      </c>
      <c r="Q216" s="96">
        <v>38.584000000000003</v>
      </c>
      <c r="R216" s="96">
        <v>40.124000000000002</v>
      </c>
      <c r="S216" s="96">
        <v>40.915999999999997</v>
      </c>
      <c r="T216" s="96">
        <v>41.725000000000001</v>
      </c>
      <c r="U216" s="96">
        <v>41.725000000000001</v>
      </c>
      <c r="V216" s="96">
        <v>43.39</v>
      </c>
      <c r="W216" s="280">
        <v>42.55</v>
      </c>
      <c r="X216" s="2"/>
    </row>
    <row r="217" spans="1:24" ht="15" customHeight="1">
      <c r="A217" s="201">
        <v>39</v>
      </c>
      <c r="B217" s="58">
        <v>1</v>
      </c>
      <c r="C217" s="277">
        <v>93.894999999999996</v>
      </c>
      <c r="D217" s="277">
        <v>55.55</v>
      </c>
      <c r="E217" s="277">
        <v>36.500999999999998</v>
      </c>
      <c r="F217" s="277">
        <v>28.771999999999998</v>
      </c>
      <c r="G217" s="277">
        <v>23.323</v>
      </c>
      <c r="H217" s="277">
        <v>21.146000000000001</v>
      </c>
      <c r="I217" s="277">
        <v>19.306999999999999</v>
      </c>
      <c r="J217" s="277">
        <v>17.751999999999999</v>
      </c>
      <c r="K217" s="277">
        <v>16.207999999999998</v>
      </c>
      <c r="L217" s="277">
        <v>14.593</v>
      </c>
      <c r="M217" s="277">
        <v>13.324</v>
      </c>
      <c r="N217" s="278">
        <v>12.336</v>
      </c>
      <c r="O217" s="79"/>
      <c r="P217" s="79"/>
      <c r="Q217" s="79"/>
      <c r="R217" s="79"/>
      <c r="S217" s="79"/>
      <c r="T217" s="79"/>
      <c r="U217" s="79"/>
      <c r="V217" s="79"/>
      <c r="W217" s="79"/>
    </row>
    <row r="218" spans="1:24" ht="15" customHeight="1">
      <c r="A218" s="200">
        <v>39</v>
      </c>
      <c r="B218" s="59">
        <v>2</v>
      </c>
      <c r="C218" s="95">
        <v>136.06299999999999</v>
      </c>
      <c r="D218" s="95">
        <v>75.581999999999994</v>
      </c>
      <c r="E218" s="95">
        <v>47.957000000000001</v>
      </c>
      <c r="F218" s="95">
        <v>36.758000000000003</v>
      </c>
      <c r="G218" s="95">
        <v>29.795999999999999</v>
      </c>
      <c r="H218" s="95">
        <v>26.27</v>
      </c>
      <c r="I218" s="95">
        <v>23.984999999999999</v>
      </c>
      <c r="J218" s="95">
        <v>22.053000000000001</v>
      </c>
      <c r="K218" s="95">
        <v>20.419</v>
      </c>
      <c r="L218" s="95">
        <v>18.513000000000002</v>
      </c>
      <c r="M218" s="95">
        <v>16.552</v>
      </c>
      <c r="N218" s="279">
        <v>15.541</v>
      </c>
      <c r="O218" s="79"/>
      <c r="P218" s="79"/>
      <c r="Q218" s="79"/>
      <c r="R218" s="79"/>
      <c r="S218" s="79"/>
      <c r="T218" s="79"/>
      <c r="U218" s="79"/>
      <c r="V218" s="79"/>
      <c r="W218" s="79"/>
    </row>
    <row r="219" spans="1:24" ht="15" customHeight="1">
      <c r="A219" s="200">
        <v>39</v>
      </c>
      <c r="B219" s="59">
        <v>3</v>
      </c>
      <c r="C219" s="95">
        <v>220.529</v>
      </c>
      <c r="D219" s="95">
        <v>110.294</v>
      </c>
      <c r="E219" s="95">
        <v>64.796000000000006</v>
      </c>
      <c r="F219" s="95">
        <v>47.29</v>
      </c>
      <c r="G219" s="95">
        <v>38.875</v>
      </c>
      <c r="H219" s="95">
        <v>34.273000000000003</v>
      </c>
      <c r="I219" s="95">
        <v>30.858000000000001</v>
      </c>
      <c r="J219" s="95">
        <v>27.782</v>
      </c>
      <c r="K219" s="95">
        <v>25.189</v>
      </c>
      <c r="L219" s="95">
        <v>22.678999999999998</v>
      </c>
      <c r="M219" s="95">
        <v>20.135000000000002</v>
      </c>
      <c r="N219" s="279">
        <v>19.172000000000001</v>
      </c>
      <c r="O219" s="79"/>
      <c r="P219" s="79"/>
      <c r="Q219" s="79"/>
      <c r="R219" s="79"/>
      <c r="S219" s="79"/>
      <c r="T219" s="79"/>
      <c r="U219" s="79"/>
      <c r="V219" s="79"/>
      <c r="W219" s="79"/>
    </row>
    <row r="220" spans="1:24" ht="15" customHeight="1">
      <c r="A220" s="200">
        <v>39</v>
      </c>
      <c r="B220" s="59">
        <v>4</v>
      </c>
      <c r="C220" s="95">
        <v>208.52099999999999</v>
      </c>
      <c r="D220" s="95">
        <v>126.86499999999999</v>
      </c>
      <c r="E220" s="95">
        <v>70.472999999999999</v>
      </c>
      <c r="F220" s="95">
        <v>50.719000000000001</v>
      </c>
      <c r="G220" s="95">
        <v>36.758000000000003</v>
      </c>
      <c r="H220" s="95">
        <v>31.512</v>
      </c>
      <c r="I220" s="95">
        <v>27.977</v>
      </c>
      <c r="J220" s="95">
        <v>25.366</v>
      </c>
      <c r="K220" s="95">
        <v>22.838000000000001</v>
      </c>
      <c r="L220" s="95">
        <v>20.419</v>
      </c>
      <c r="M220" s="95">
        <v>18.384</v>
      </c>
      <c r="N220" s="279">
        <v>17.021999999999998</v>
      </c>
      <c r="O220" s="79"/>
      <c r="P220" s="79"/>
      <c r="Q220" s="79"/>
      <c r="R220" s="79"/>
      <c r="S220" s="79"/>
      <c r="T220" s="79"/>
      <c r="U220" s="79"/>
      <c r="V220" s="79"/>
      <c r="W220" s="79"/>
    </row>
    <row r="221" spans="1:24" ht="15" customHeight="1">
      <c r="A221" s="200">
        <v>39</v>
      </c>
      <c r="B221" s="59">
        <v>5</v>
      </c>
      <c r="C221" s="95">
        <v>94.584000000000003</v>
      </c>
      <c r="D221" s="95">
        <v>54.914999999999999</v>
      </c>
      <c r="E221" s="95">
        <v>31.468</v>
      </c>
      <c r="F221" s="95">
        <v>23.434000000000001</v>
      </c>
      <c r="G221" s="95">
        <v>19.126999999999999</v>
      </c>
      <c r="H221" s="95">
        <v>16.344000000000001</v>
      </c>
      <c r="I221" s="95">
        <v>14.244</v>
      </c>
      <c r="J221" s="95">
        <v>12.494999999999999</v>
      </c>
      <c r="K221" s="79"/>
      <c r="L221" s="79"/>
      <c r="M221" s="79"/>
      <c r="N221" s="265"/>
      <c r="O221" s="79"/>
      <c r="P221" s="79"/>
      <c r="Q221" s="79"/>
      <c r="R221" s="79"/>
      <c r="S221" s="79"/>
      <c r="T221" s="79"/>
      <c r="U221" s="79"/>
      <c r="V221" s="79"/>
      <c r="W221" s="79"/>
    </row>
    <row r="222" spans="1:24" ht="15" customHeight="1">
      <c r="A222" s="200">
        <v>39</v>
      </c>
      <c r="B222" s="59">
        <v>6</v>
      </c>
      <c r="C222" s="95">
        <v>131.24</v>
      </c>
      <c r="D222" s="95">
        <v>72.305999999999997</v>
      </c>
      <c r="E222" s="95">
        <v>36.345999999999997</v>
      </c>
      <c r="F222" s="95">
        <v>27.067</v>
      </c>
      <c r="G222" s="95">
        <v>22.384</v>
      </c>
      <c r="H222" s="95">
        <v>18.632000000000001</v>
      </c>
      <c r="I222" s="95">
        <v>15.612</v>
      </c>
      <c r="J222" s="95">
        <v>13.967000000000001</v>
      </c>
      <c r="K222" s="79"/>
      <c r="L222" s="79"/>
      <c r="M222" s="79"/>
      <c r="N222" s="265"/>
      <c r="O222" s="79"/>
      <c r="P222" s="79"/>
      <c r="Q222" s="79"/>
      <c r="R222" s="79"/>
      <c r="S222" s="79"/>
      <c r="T222" s="79"/>
      <c r="U222" s="79"/>
      <c r="V222" s="79"/>
      <c r="W222" s="79"/>
    </row>
    <row r="223" spans="1:24" ht="15" customHeight="1">
      <c r="A223" s="200">
        <v>39</v>
      </c>
      <c r="B223" s="59">
        <v>7</v>
      </c>
      <c r="C223" s="95">
        <v>110.687</v>
      </c>
      <c r="D223" s="95">
        <v>63.844000000000001</v>
      </c>
      <c r="E223" s="95">
        <v>34.716999999999999</v>
      </c>
      <c r="F223" s="95">
        <v>25.684999999999999</v>
      </c>
      <c r="G223" s="95">
        <v>21.102</v>
      </c>
      <c r="H223" s="95">
        <v>17.914000000000001</v>
      </c>
      <c r="I223" s="95">
        <v>16.452000000000002</v>
      </c>
      <c r="J223" s="95">
        <v>15.01</v>
      </c>
      <c r="K223" s="79"/>
      <c r="L223" s="79"/>
      <c r="M223" s="79"/>
      <c r="N223" s="265"/>
      <c r="O223" s="79"/>
      <c r="P223" s="79"/>
      <c r="Q223" s="79"/>
      <c r="R223" s="79"/>
      <c r="S223" s="79"/>
      <c r="T223" s="79"/>
      <c r="U223" s="79"/>
      <c r="V223" s="79"/>
      <c r="W223" s="79"/>
    </row>
    <row r="224" spans="1:24" ht="15" customHeight="1">
      <c r="A224" s="202">
        <v>39</v>
      </c>
      <c r="B224" s="203">
        <v>8</v>
      </c>
      <c r="C224" s="96">
        <v>171.67599999999999</v>
      </c>
      <c r="D224" s="96">
        <v>93.965999999999994</v>
      </c>
      <c r="E224" s="96">
        <v>50.762999999999998</v>
      </c>
      <c r="F224" s="96">
        <v>37.067</v>
      </c>
      <c r="G224" s="96">
        <v>30.855</v>
      </c>
      <c r="H224" s="96">
        <v>25.516999999999999</v>
      </c>
      <c r="I224" s="96">
        <v>22.530999999999999</v>
      </c>
      <c r="J224" s="96">
        <v>20.289000000000001</v>
      </c>
      <c r="K224" s="97"/>
      <c r="L224" s="97"/>
      <c r="M224" s="97"/>
      <c r="N224" s="281"/>
      <c r="O224" s="79"/>
      <c r="P224" s="79"/>
      <c r="Q224" s="79"/>
      <c r="R224" s="79"/>
      <c r="S224" s="79"/>
      <c r="T224" s="79"/>
      <c r="U224" s="79"/>
      <c r="V224" s="79"/>
      <c r="W224" s="79"/>
    </row>
    <row r="225" spans="1:27" ht="15" customHeight="1">
      <c r="A225" s="177">
        <v>41</v>
      </c>
      <c r="B225" s="178">
        <v>1</v>
      </c>
      <c r="C225" s="206">
        <v>119.746</v>
      </c>
      <c r="D225" s="206">
        <v>132.35499999999999</v>
      </c>
      <c r="E225" s="206">
        <v>132.35499999999999</v>
      </c>
      <c r="F225" s="206">
        <v>135.03100000000001</v>
      </c>
      <c r="G225" s="206">
        <v>143.39099999999999</v>
      </c>
      <c r="H225" s="206">
        <v>149.25</v>
      </c>
      <c r="I225" s="206">
        <v>161.69499999999999</v>
      </c>
      <c r="J225" s="206">
        <v>168.30099999999999</v>
      </c>
      <c r="K225" s="206">
        <v>171.70500000000001</v>
      </c>
      <c r="L225" s="206">
        <v>175.17699999999999</v>
      </c>
      <c r="M225" s="206">
        <v>182.33500000000001</v>
      </c>
      <c r="N225" s="206">
        <v>189.785</v>
      </c>
      <c r="O225" s="206">
        <v>197.53899999999999</v>
      </c>
      <c r="P225" s="206">
        <v>197.53899999999999</v>
      </c>
      <c r="Q225" s="206">
        <v>197.53899999999999</v>
      </c>
      <c r="R225" s="206">
        <v>205.61</v>
      </c>
      <c r="S225" s="206">
        <v>205.61</v>
      </c>
      <c r="T225" s="206">
        <v>201.53399999999999</v>
      </c>
      <c r="U225" s="206">
        <v>201.53399999999999</v>
      </c>
      <c r="V225" s="206">
        <v>201.53399999999999</v>
      </c>
      <c r="W225" s="206">
        <v>201.53399999999999</v>
      </c>
      <c r="X225" s="206">
        <v>193.62299999999999</v>
      </c>
      <c r="Y225" s="206">
        <v>186.02199999999999</v>
      </c>
      <c r="Z225" s="207">
        <v>186.02199999999999</v>
      </c>
      <c r="AA225" s="2"/>
    </row>
    <row r="226" spans="1:27" ht="15" customHeight="1">
      <c r="A226" s="174">
        <v>41</v>
      </c>
      <c r="B226" s="179">
        <v>2</v>
      </c>
      <c r="C226" s="2">
        <v>1377.623</v>
      </c>
      <c r="D226" s="2">
        <v>1377.623</v>
      </c>
      <c r="E226" s="2">
        <v>1433.9090000000001</v>
      </c>
      <c r="F226" s="2">
        <v>1433.9090000000001</v>
      </c>
      <c r="G226" s="2">
        <v>1462.9090000000001</v>
      </c>
      <c r="H226" s="2">
        <v>1433.9090000000001</v>
      </c>
      <c r="I226" s="2">
        <v>1462.9090000000001</v>
      </c>
      <c r="J226" s="2">
        <v>1462.9090000000001</v>
      </c>
      <c r="K226" s="2">
        <v>1433.9090000000001</v>
      </c>
      <c r="L226" s="2">
        <v>1377.623</v>
      </c>
      <c r="M226" s="2">
        <v>1350.3140000000001</v>
      </c>
      <c r="N226" s="2">
        <v>1323.546</v>
      </c>
      <c r="O226" s="2">
        <v>1221.6769999999999</v>
      </c>
      <c r="P226" s="2">
        <v>1221.6769999999999</v>
      </c>
      <c r="Q226" s="2">
        <v>1150.4549999999999</v>
      </c>
      <c r="R226" s="2">
        <v>1127.6489999999999</v>
      </c>
      <c r="S226" s="2">
        <v>1061.9079999999999</v>
      </c>
      <c r="T226" s="2">
        <v>1061.9079999999999</v>
      </c>
      <c r="U226" s="2">
        <v>1020.224</v>
      </c>
      <c r="V226" s="2">
        <v>960.74599999999998</v>
      </c>
      <c r="W226" s="2">
        <v>886.80100000000004</v>
      </c>
      <c r="X226" s="2">
        <v>818.54700000000003</v>
      </c>
      <c r="Y226" s="2">
        <v>786.41600000000005</v>
      </c>
      <c r="Z226" s="208">
        <v>770.82600000000002</v>
      </c>
      <c r="AA226" s="2"/>
    </row>
    <row r="227" spans="1:27" ht="15" customHeight="1">
      <c r="A227" s="174">
        <v>41</v>
      </c>
      <c r="B227" s="179">
        <v>3</v>
      </c>
      <c r="C227" s="2">
        <v>17872.030999999999</v>
      </c>
      <c r="D227" s="2">
        <v>13776.232</v>
      </c>
      <c r="E227" s="2">
        <v>11504.548000000001</v>
      </c>
      <c r="F227" s="2">
        <v>9607.4619999999995</v>
      </c>
      <c r="G227" s="2">
        <v>8692.2139999999999</v>
      </c>
      <c r="H227" s="2">
        <v>8351.0120000000006</v>
      </c>
      <c r="I227" s="2">
        <v>7864.1570000000002</v>
      </c>
      <c r="J227" s="2">
        <v>6973.9409999999998</v>
      </c>
      <c r="K227" s="2">
        <v>6567.3670000000002</v>
      </c>
      <c r="L227" s="2">
        <v>6309.5730000000003</v>
      </c>
      <c r="M227" s="2">
        <v>5823.9470000000001</v>
      </c>
      <c r="N227" s="2">
        <v>5484.4170000000004</v>
      </c>
      <c r="O227" s="2">
        <v>5062.299</v>
      </c>
      <c r="P227" s="2">
        <v>4400.259</v>
      </c>
      <c r="Q227" s="2">
        <v>4143.7290000000003</v>
      </c>
      <c r="R227" s="2">
        <v>4143.7290000000003</v>
      </c>
      <c r="S227" s="2">
        <v>3748.9789999999998</v>
      </c>
      <c r="T227" s="2">
        <v>3324.598</v>
      </c>
      <c r="U227" s="2">
        <v>3130.777</v>
      </c>
      <c r="V227" s="2">
        <v>2667.393</v>
      </c>
      <c r="W227" s="2">
        <v>2511.886</v>
      </c>
      <c r="X227" s="2">
        <v>1897.846</v>
      </c>
      <c r="Y227" s="2">
        <v>1787.203</v>
      </c>
      <c r="Z227" s="208">
        <v>2667.393</v>
      </c>
      <c r="AA227" s="2"/>
    </row>
    <row r="228" spans="1:27" ht="15" customHeight="1">
      <c r="A228" s="174">
        <v>41</v>
      </c>
      <c r="B228" s="179">
        <v>4</v>
      </c>
      <c r="C228" s="2">
        <v>182334.8</v>
      </c>
      <c r="D228" s="2">
        <v>132354.628</v>
      </c>
      <c r="E228" s="2">
        <v>86922.145000000004</v>
      </c>
      <c r="F228" s="2">
        <v>63095.733999999997</v>
      </c>
      <c r="G228" s="2">
        <v>47671.724999999999</v>
      </c>
      <c r="H228" s="2">
        <v>35304.177000000003</v>
      </c>
      <c r="I228" s="2">
        <v>26673.927</v>
      </c>
      <c r="J228" s="2">
        <v>19362.280999999999</v>
      </c>
      <c r="K228" s="2">
        <v>16496.481</v>
      </c>
      <c r="L228" s="2">
        <v>12715.921</v>
      </c>
      <c r="M228" s="2">
        <v>10408.575999999999</v>
      </c>
      <c r="N228" s="2">
        <v>8351.0120000000006</v>
      </c>
      <c r="O228" s="2">
        <v>7114.9840000000004</v>
      </c>
      <c r="P228" s="2">
        <v>6184.4960000000001</v>
      </c>
      <c r="Q228" s="2">
        <v>5062.299</v>
      </c>
      <c r="R228" s="2">
        <v>4313.0309999999999</v>
      </c>
      <c r="S228" s="2">
        <v>3674.6619999999998</v>
      </c>
      <c r="T228" s="2">
        <v>3130.777</v>
      </c>
      <c r="U228" s="2">
        <v>2667.393</v>
      </c>
      <c r="V228" s="2">
        <v>2462.0920000000001</v>
      </c>
      <c r="W228" s="2">
        <v>2140.1039999999998</v>
      </c>
      <c r="X228" s="2">
        <v>1936.2280000000001</v>
      </c>
      <c r="Y228" s="2">
        <v>1787.203</v>
      </c>
      <c r="Z228" s="208">
        <v>2562.6880000000001</v>
      </c>
      <c r="AA228" s="2"/>
    </row>
    <row r="229" spans="1:27" ht="15" customHeight="1">
      <c r="A229" s="174">
        <v>41</v>
      </c>
      <c r="B229" s="179">
        <v>5</v>
      </c>
      <c r="C229" s="2">
        <v>537569.701</v>
      </c>
      <c r="D229" s="2">
        <v>390215.34899999999</v>
      </c>
      <c r="E229" s="2">
        <v>277637.587</v>
      </c>
      <c r="F229" s="2">
        <v>193622.81099999999</v>
      </c>
      <c r="G229" s="2">
        <v>135031.40400000001</v>
      </c>
      <c r="H229" s="2">
        <v>98017.664000000004</v>
      </c>
      <c r="I229" s="2">
        <v>69739.409</v>
      </c>
      <c r="J229" s="2">
        <v>50622.993999999999</v>
      </c>
      <c r="K229" s="2">
        <v>38247.997000000003</v>
      </c>
      <c r="L229" s="2">
        <v>28898.117999999999</v>
      </c>
      <c r="M229" s="2">
        <v>22275.43</v>
      </c>
      <c r="N229" s="2">
        <v>17517.746999999999</v>
      </c>
      <c r="O229" s="2">
        <v>13235.463</v>
      </c>
      <c r="P229" s="2">
        <v>10000</v>
      </c>
      <c r="Q229" s="2">
        <v>8185.4669999999996</v>
      </c>
      <c r="R229" s="2">
        <v>6835.6940000000004</v>
      </c>
      <c r="S229" s="2">
        <v>5269.1329999999998</v>
      </c>
      <c r="T229" s="2">
        <v>4489.2510000000002</v>
      </c>
      <c r="U229" s="2">
        <v>3748.9789999999998</v>
      </c>
      <c r="V229" s="2">
        <v>3130.777</v>
      </c>
      <c r="W229" s="2">
        <v>2562.6880000000001</v>
      </c>
      <c r="X229" s="2">
        <v>1936.2280000000001</v>
      </c>
      <c r="Y229" s="2">
        <v>5062.299</v>
      </c>
      <c r="Z229" s="208">
        <v>7864.1570000000002</v>
      </c>
      <c r="AA229" s="2"/>
    </row>
    <row r="230" spans="1:27" ht="15" customHeight="1">
      <c r="A230" s="174">
        <v>41</v>
      </c>
      <c r="B230" s="179">
        <v>6</v>
      </c>
      <c r="C230" s="2">
        <v>2667392.6889999998</v>
      </c>
      <c r="D230" s="2">
        <v>1897845.5660000001</v>
      </c>
      <c r="E230" s="2">
        <v>1246384.8859999999</v>
      </c>
      <c r="F230" s="2">
        <v>869221.45</v>
      </c>
      <c r="G230" s="2">
        <v>582394.66899999999</v>
      </c>
      <c r="H230" s="2">
        <v>431303.12900000002</v>
      </c>
      <c r="I230" s="2">
        <v>300788.25199999998</v>
      </c>
      <c r="J230" s="2">
        <v>205609.64300000001</v>
      </c>
      <c r="K230" s="2">
        <v>137762.31599999999</v>
      </c>
      <c r="L230" s="2">
        <v>98017.664000000004</v>
      </c>
      <c r="M230" s="2">
        <v>69739.409</v>
      </c>
      <c r="N230" s="2">
        <v>51646.807000000001</v>
      </c>
      <c r="O230" s="2">
        <v>36018.178</v>
      </c>
      <c r="P230" s="2">
        <v>27213.387999999999</v>
      </c>
      <c r="Q230" s="2">
        <v>19362.280999999999</v>
      </c>
      <c r="R230" s="2">
        <v>13235.463</v>
      </c>
      <c r="S230" s="2">
        <v>10202.243</v>
      </c>
      <c r="T230" s="2">
        <v>7555.4589999999998</v>
      </c>
      <c r="U230" s="2">
        <v>5269.1329999999998</v>
      </c>
      <c r="V230" s="2">
        <v>3902.1529999999998</v>
      </c>
      <c r="W230" s="2">
        <v>3194.0949999999998</v>
      </c>
      <c r="X230" s="30">
        <v>1683.011</v>
      </c>
      <c r="Y230" s="30">
        <v>2832.5259999999998</v>
      </c>
      <c r="Z230" s="209">
        <v>4672.6710000000003</v>
      </c>
      <c r="AA230" s="2"/>
    </row>
    <row r="231" spans="1:27" ht="15" customHeight="1">
      <c r="A231" s="177">
        <v>42</v>
      </c>
      <c r="B231" s="178" t="s">
        <v>220</v>
      </c>
      <c r="C231" s="206">
        <v>293.44900000000001</v>
      </c>
      <c r="D231" s="206">
        <v>361.77800000000002</v>
      </c>
      <c r="E231" s="206">
        <v>411.83100000000002</v>
      </c>
      <c r="F231" s="206">
        <v>454.99700000000001</v>
      </c>
      <c r="G231" s="206">
        <v>483.04</v>
      </c>
      <c r="H231" s="206">
        <v>497.702</v>
      </c>
      <c r="I231" s="206">
        <v>533.66999999999996</v>
      </c>
      <c r="J231" s="206">
        <v>549.87</v>
      </c>
      <c r="K231" s="206">
        <v>566.56100000000004</v>
      </c>
      <c r="L231" s="206">
        <v>555.37800000000004</v>
      </c>
      <c r="M231" s="206">
        <v>566.56100000000004</v>
      </c>
      <c r="N231" s="206">
        <v>566.56100000000004</v>
      </c>
      <c r="O231" s="206">
        <v>549.87</v>
      </c>
      <c r="P231" s="206">
        <v>539.01599999999996</v>
      </c>
      <c r="Q231" s="206">
        <v>528.37699999999995</v>
      </c>
      <c r="R231" s="206">
        <v>483.04</v>
      </c>
      <c r="S231" s="206">
        <v>441.59199999999998</v>
      </c>
      <c r="T231" s="206">
        <v>365.40199999999999</v>
      </c>
      <c r="U231" s="206">
        <v>299.358</v>
      </c>
      <c r="V231" s="206">
        <v>242.81800000000001</v>
      </c>
      <c r="W231" s="207">
        <v>204.96899999999999</v>
      </c>
      <c r="X231" s="2"/>
      <c r="Y231" s="2"/>
      <c r="Z231" s="2"/>
    </row>
    <row r="232" spans="1:27" ht="15" customHeight="1">
      <c r="A232" s="174">
        <v>42</v>
      </c>
      <c r="B232" s="179" t="s">
        <v>221</v>
      </c>
      <c r="C232" s="2">
        <v>533.66999999999996</v>
      </c>
      <c r="D232" s="2">
        <v>625.94600000000003</v>
      </c>
      <c r="E232" s="2">
        <v>698.48299999999995</v>
      </c>
      <c r="F232" s="2">
        <v>756.46299999999997</v>
      </c>
      <c r="G232" s="2">
        <v>779.42600000000004</v>
      </c>
      <c r="H232" s="2">
        <v>779.42600000000004</v>
      </c>
      <c r="I232" s="2">
        <v>795.12</v>
      </c>
      <c r="J232" s="2">
        <v>764.04100000000005</v>
      </c>
      <c r="K232" s="2">
        <v>764.04100000000005</v>
      </c>
      <c r="L232" s="2">
        <v>734.17700000000002</v>
      </c>
      <c r="M232" s="2">
        <v>719.68600000000004</v>
      </c>
      <c r="N232" s="2">
        <v>698.48299999999995</v>
      </c>
      <c r="O232" s="2">
        <v>671.18100000000004</v>
      </c>
      <c r="P232" s="2">
        <v>651.40800000000002</v>
      </c>
      <c r="Q232" s="2">
        <v>607.505</v>
      </c>
      <c r="R232" s="2">
        <v>595.51400000000001</v>
      </c>
      <c r="S232" s="2">
        <v>533.66999999999996</v>
      </c>
      <c r="T232" s="2">
        <v>459.55500000000001</v>
      </c>
      <c r="U232" s="2">
        <v>340.77499999999998</v>
      </c>
      <c r="V232" s="2">
        <v>284.80399999999997</v>
      </c>
      <c r="W232" s="208">
        <v>235.66499999999999</v>
      </c>
      <c r="X232" s="2"/>
    </row>
    <row r="233" spans="1:27" ht="15" customHeight="1">
      <c r="A233" s="174">
        <v>42</v>
      </c>
      <c r="B233" s="179" t="s">
        <v>222</v>
      </c>
      <c r="C233" s="2">
        <v>21330.662</v>
      </c>
      <c r="D233" s="2">
        <v>9051.2790000000005</v>
      </c>
      <c r="E233" s="2">
        <v>4328.7610000000004</v>
      </c>
      <c r="F233" s="2">
        <v>2876.567</v>
      </c>
      <c r="G233" s="2">
        <v>2404.0990000000002</v>
      </c>
      <c r="H233" s="2">
        <v>2242.0709999999999</v>
      </c>
      <c r="I233" s="2">
        <v>2049.6909999999998</v>
      </c>
      <c r="J233" s="2">
        <v>1911.548</v>
      </c>
      <c r="K233" s="2">
        <v>1836.8309999999999</v>
      </c>
      <c r="L233" s="2">
        <v>1679.222</v>
      </c>
      <c r="M233" s="2">
        <v>1613.586</v>
      </c>
      <c r="N233" s="2">
        <v>1519.9110000000001</v>
      </c>
      <c r="O233" s="2">
        <v>1389.4949999999999</v>
      </c>
      <c r="P233" s="2">
        <v>1308.83</v>
      </c>
      <c r="Q233" s="2">
        <v>1184.6579999999999</v>
      </c>
      <c r="R233" s="2">
        <v>960.91300000000001</v>
      </c>
      <c r="S233" s="2">
        <v>756.46299999999997</v>
      </c>
      <c r="T233" s="2">
        <v>589.60699999999997</v>
      </c>
      <c r="U233" s="2">
        <v>265.60899999999998</v>
      </c>
      <c r="V233" s="2">
        <v>337.39499999999998</v>
      </c>
      <c r="W233" s="208">
        <v>183.68299999999999</v>
      </c>
      <c r="X233" s="2"/>
    </row>
    <row r="234" spans="1:27" ht="15" customHeight="1">
      <c r="A234" s="174">
        <v>42</v>
      </c>
      <c r="B234" s="179" t="s">
        <v>224</v>
      </c>
      <c r="C234" s="2"/>
      <c r="D234" s="9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08"/>
      <c r="X234" s="2"/>
    </row>
    <row r="235" spans="1:27" ht="15" customHeight="1">
      <c r="A235" s="174">
        <v>42</v>
      </c>
      <c r="B235" s="179" t="s">
        <v>225</v>
      </c>
      <c r="C235" s="2"/>
      <c r="D235" s="9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08"/>
      <c r="X235" s="2"/>
    </row>
    <row r="236" spans="1:27" ht="15" customHeight="1">
      <c r="A236" s="174">
        <v>42</v>
      </c>
      <c r="B236" s="179" t="s">
        <v>226</v>
      </c>
      <c r="C236" s="2"/>
      <c r="D236" s="9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30"/>
      <c r="T236" s="30"/>
      <c r="U236" s="30"/>
      <c r="V236" s="30"/>
      <c r="W236" s="209"/>
      <c r="X236" s="2"/>
    </row>
    <row r="237" spans="1:27" ht="15" customHeight="1">
      <c r="A237" s="201">
        <v>43</v>
      </c>
      <c r="B237" s="58">
        <v>1</v>
      </c>
      <c r="C237" s="206">
        <v>385.43599999999998</v>
      </c>
      <c r="D237" s="206">
        <v>400.48599999999999</v>
      </c>
      <c r="E237" s="206">
        <v>361.59800000000001</v>
      </c>
      <c r="F237" s="206">
        <v>322.34300000000002</v>
      </c>
      <c r="G237" s="206">
        <v>287.34899999999999</v>
      </c>
      <c r="H237" s="206">
        <v>266.15699999999998</v>
      </c>
      <c r="I237" s="206">
        <v>259.447</v>
      </c>
      <c r="J237" s="206">
        <v>252.905</v>
      </c>
      <c r="K237" s="206">
        <v>243.40100000000001</v>
      </c>
      <c r="L237" s="206">
        <v>237.26400000000001</v>
      </c>
      <c r="M237" s="206">
        <v>225.45</v>
      </c>
      <c r="N237" s="206">
        <v>214.22399999999999</v>
      </c>
      <c r="O237" s="206">
        <v>211.506</v>
      </c>
      <c r="P237" s="206">
        <v>195.90799999999999</v>
      </c>
      <c r="Q237" s="206">
        <v>179.15700000000001</v>
      </c>
      <c r="R237" s="207">
        <v>161.76</v>
      </c>
      <c r="S237" s="2"/>
      <c r="T237" s="2"/>
      <c r="U237" s="2"/>
      <c r="V237" s="2"/>
      <c r="W237" s="2"/>
    </row>
    <row r="238" spans="1:27" ht="15" customHeight="1">
      <c r="A238" s="200">
        <v>43</v>
      </c>
      <c r="B238" s="59">
        <v>2</v>
      </c>
      <c r="C238" s="2">
        <v>142.37</v>
      </c>
      <c r="D238" s="2">
        <v>138.78100000000001</v>
      </c>
      <c r="E238" s="2">
        <v>133.565</v>
      </c>
      <c r="F238" s="2">
        <v>120.595</v>
      </c>
      <c r="G238" s="2">
        <v>102.151</v>
      </c>
      <c r="H238" s="2">
        <v>99.575000000000003</v>
      </c>
      <c r="I238" s="2">
        <v>98.311999999999998</v>
      </c>
      <c r="J238" s="2">
        <v>98.311999999999998</v>
      </c>
      <c r="K238" s="2">
        <v>93.417000000000002</v>
      </c>
      <c r="L238" s="2">
        <v>95.832999999999998</v>
      </c>
      <c r="M238" s="2">
        <v>88.765000000000001</v>
      </c>
      <c r="N238" s="2">
        <v>84.346000000000004</v>
      </c>
      <c r="O238" s="2">
        <v>83.275999999999996</v>
      </c>
      <c r="P238" s="2">
        <v>80.146000000000001</v>
      </c>
      <c r="Q238" s="2">
        <v>77.134</v>
      </c>
      <c r="R238" s="208">
        <v>73.293000000000006</v>
      </c>
      <c r="S238" s="2"/>
    </row>
    <row r="239" spans="1:27" ht="15" customHeight="1">
      <c r="A239" s="202">
        <v>43</v>
      </c>
      <c r="B239" s="203">
        <v>3</v>
      </c>
      <c r="C239" s="30">
        <v>4829.683</v>
      </c>
      <c r="D239" s="30">
        <v>4196.8220000000001</v>
      </c>
      <c r="E239" s="30">
        <v>3089.1120000000001</v>
      </c>
      <c r="F239" s="30">
        <v>1950.758</v>
      </c>
      <c r="G239" s="30">
        <v>1247.723</v>
      </c>
      <c r="H239" s="30">
        <v>930.20100000000002</v>
      </c>
      <c r="I239" s="30">
        <v>748.69799999999998</v>
      </c>
      <c r="J239" s="30">
        <v>565.34100000000001</v>
      </c>
      <c r="K239" s="30">
        <v>416.125</v>
      </c>
      <c r="L239" s="30">
        <v>322.34300000000002</v>
      </c>
      <c r="M239" s="30">
        <v>262.78100000000001</v>
      </c>
      <c r="N239" s="30">
        <v>211.506</v>
      </c>
      <c r="O239" s="30">
        <v>181.46</v>
      </c>
      <c r="P239" s="30">
        <v>153.70599999999999</v>
      </c>
      <c r="Q239" s="30">
        <v>133.565</v>
      </c>
      <c r="R239" s="209">
        <v>110.28400000000001</v>
      </c>
      <c r="S239" s="2"/>
    </row>
    <row r="240" spans="1:27" ht="15" customHeight="1">
      <c r="A240" s="200">
        <v>44</v>
      </c>
      <c r="B240" s="59" t="s">
        <v>220</v>
      </c>
      <c r="C240" s="20">
        <v>3.3570000000000002</v>
      </c>
      <c r="D240" s="20">
        <v>3.6349999999999998</v>
      </c>
      <c r="E240" s="20">
        <v>3.8130000000000002</v>
      </c>
      <c r="F240" s="20">
        <v>3.9369999999999998</v>
      </c>
      <c r="G240" s="20">
        <v>4.13</v>
      </c>
      <c r="H240" s="20">
        <v>4.3319999999999999</v>
      </c>
      <c r="I240" s="20">
        <v>4.4720000000000004</v>
      </c>
      <c r="J240" s="20">
        <v>4.5439999999999996</v>
      </c>
      <c r="K240" s="20">
        <v>4.7670000000000003</v>
      </c>
      <c r="L240" s="20">
        <v>4.9210000000000003</v>
      </c>
      <c r="M240" s="198">
        <v>4.9210000000000003</v>
      </c>
      <c r="N240" s="2"/>
      <c r="O240" s="2"/>
      <c r="P240" s="2"/>
      <c r="Q240" s="2"/>
      <c r="R240" s="2"/>
    </row>
    <row r="241" spans="1:14" ht="15" customHeight="1">
      <c r="A241" s="200">
        <v>44</v>
      </c>
      <c r="B241" s="59" t="s">
        <v>221</v>
      </c>
      <c r="C241" s="20">
        <v>17.327999999999999</v>
      </c>
      <c r="D241" s="20">
        <v>18.469000000000001</v>
      </c>
      <c r="E241" s="20">
        <v>18.469000000000001</v>
      </c>
      <c r="F241" s="20">
        <v>19.373000000000001</v>
      </c>
      <c r="G241" s="20">
        <v>20.648</v>
      </c>
      <c r="H241" s="20">
        <v>20.98</v>
      </c>
      <c r="I241" s="20">
        <v>22.007000000000001</v>
      </c>
      <c r="J241" s="20">
        <v>20.98</v>
      </c>
      <c r="K241" s="20">
        <v>21.317</v>
      </c>
      <c r="L241" s="20">
        <v>21.658999999999999</v>
      </c>
      <c r="M241" s="198">
        <v>18.765000000000001</v>
      </c>
      <c r="N241" s="2"/>
    </row>
    <row r="242" spans="1:14" ht="15" customHeight="1">
      <c r="A242" s="200">
        <v>44</v>
      </c>
      <c r="B242" s="59" t="s">
        <v>222</v>
      </c>
      <c r="C242" s="20">
        <v>11.090999999999999</v>
      </c>
      <c r="D242" s="20">
        <v>12.4</v>
      </c>
      <c r="E242" s="20">
        <v>12.010999999999999</v>
      </c>
      <c r="F242" s="20">
        <v>12.599</v>
      </c>
      <c r="G242" s="20">
        <v>13.215999999999999</v>
      </c>
      <c r="H242" s="20">
        <v>13.644</v>
      </c>
      <c r="I242" s="20">
        <v>14.542</v>
      </c>
      <c r="J242" s="20">
        <v>14.542</v>
      </c>
      <c r="K242" s="20">
        <v>14.776</v>
      </c>
      <c r="L242" s="20">
        <v>14.311999999999999</v>
      </c>
      <c r="M242" s="198">
        <v>13.007</v>
      </c>
      <c r="N242" s="2"/>
    </row>
    <row r="243" spans="1:14" ht="15" customHeight="1">
      <c r="A243" s="200">
        <v>44</v>
      </c>
      <c r="B243" s="59" t="s">
        <v>223</v>
      </c>
      <c r="C243" s="20">
        <v>7.9370000000000003</v>
      </c>
      <c r="D243" s="20">
        <v>8.5950000000000006</v>
      </c>
      <c r="E243" s="20">
        <v>9.016</v>
      </c>
      <c r="F243" s="20">
        <v>9.1609999999999996</v>
      </c>
      <c r="G243" s="20">
        <v>9.3079999999999998</v>
      </c>
      <c r="H243" s="20">
        <v>9.9209999999999994</v>
      </c>
      <c r="I243" s="20">
        <v>10.08</v>
      </c>
      <c r="J243" s="20">
        <v>10.242000000000001</v>
      </c>
      <c r="K243" s="20">
        <v>9.9209999999999994</v>
      </c>
      <c r="L243" s="20">
        <v>10.406000000000001</v>
      </c>
      <c r="M243" s="198">
        <v>9.609</v>
      </c>
      <c r="N243" s="2"/>
    </row>
    <row r="244" spans="1:14" ht="15" customHeight="1">
      <c r="A244" s="200">
        <v>44</v>
      </c>
      <c r="B244" s="59" t="s">
        <v>228</v>
      </c>
      <c r="C244" s="26">
        <v>6.7679999999999998</v>
      </c>
      <c r="D244" s="26">
        <v>7.5659999999999998</v>
      </c>
      <c r="E244" s="26">
        <v>7.5659999999999998</v>
      </c>
      <c r="F244" s="26">
        <v>8.0640000000000001</v>
      </c>
      <c r="G244" s="26">
        <v>8.0640000000000001</v>
      </c>
      <c r="H244" s="26">
        <v>8.3260000000000005</v>
      </c>
      <c r="I244" s="26">
        <v>8.5950000000000006</v>
      </c>
      <c r="J244" s="26">
        <v>8.4589999999999996</v>
      </c>
      <c r="K244" s="26">
        <v>8.4589999999999996</v>
      </c>
      <c r="L244" s="26">
        <v>8.3260000000000005</v>
      </c>
      <c r="M244" s="204">
        <v>7.4470000000000001</v>
      </c>
      <c r="N244" s="2"/>
    </row>
    <row r="245" spans="1:14" ht="15" customHeight="1">
      <c r="A245" s="200">
        <v>44</v>
      </c>
      <c r="B245" s="59" t="s">
        <v>224</v>
      </c>
      <c r="C245" s="20">
        <v>300.53100000000001</v>
      </c>
      <c r="D245" s="20">
        <v>243.55099999999999</v>
      </c>
      <c r="E245" s="20">
        <v>182.41300000000001</v>
      </c>
      <c r="F245" s="20">
        <v>140.26</v>
      </c>
      <c r="G245" s="20">
        <v>122.991</v>
      </c>
      <c r="H245" s="20">
        <v>103.679</v>
      </c>
      <c r="I245" s="20">
        <v>94.569000000000003</v>
      </c>
      <c r="J245" s="20">
        <v>89.727000000000004</v>
      </c>
      <c r="K245" s="20"/>
      <c r="L245" s="20"/>
      <c r="M245" s="2"/>
    </row>
    <row r="246" spans="1:14" ht="15" customHeight="1">
      <c r="A246" s="200">
        <v>44</v>
      </c>
      <c r="B246" s="59" t="s">
        <v>225</v>
      </c>
      <c r="C246" s="20">
        <v>652.45500000000004</v>
      </c>
      <c r="D246" s="20">
        <v>542.83100000000002</v>
      </c>
      <c r="E246" s="20">
        <v>380.714</v>
      </c>
      <c r="F246" s="20">
        <v>308.53300000000002</v>
      </c>
      <c r="G246" s="20">
        <v>246.77199999999999</v>
      </c>
      <c r="H246" s="20">
        <v>210.77699999999999</v>
      </c>
      <c r="I246" s="20">
        <v>187.27</v>
      </c>
      <c r="J246" s="20">
        <v>234.13800000000001</v>
      </c>
      <c r="K246" s="20"/>
      <c r="L246" s="20"/>
    </row>
    <row r="247" spans="1:14" ht="15" customHeight="1">
      <c r="A247" s="200">
        <v>44</v>
      </c>
      <c r="B247" s="59" t="s">
        <v>226</v>
      </c>
      <c r="C247" s="20">
        <v>342.72800000000001</v>
      </c>
      <c r="D247" s="20">
        <v>267.01400000000001</v>
      </c>
      <c r="E247" s="20">
        <v>208.02600000000001</v>
      </c>
      <c r="F247" s="20">
        <v>170.815</v>
      </c>
      <c r="G247" s="20">
        <v>140.26</v>
      </c>
      <c r="H247" s="20">
        <v>118.23699999999999</v>
      </c>
      <c r="I247" s="20">
        <v>110.71899999999999</v>
      </c>
      <c r="J247" s="20">
        <v>134.839</v>
      </c>
      <c r="K247" s="20"/>
      <c r="L247" s="20"/>
    </row>
    <row r="248" spans="1:14" ht="15" customHeight="1">
      <c r="A248" s="200">
        <v>44</v>
      </c>
      <c r="B248" s="59" t="s">
        <v>227</v>
      </c>
      <c r="C248" s="20">
        <v>380.714</v>
      </c>
      <c r="D248" s="20">
        <v>270.54500000000002</v>
      </c>
      <c r="E248" s="20">
        <v>168.58500000000001</v>
      </c>
      <c r="F248" s="20">
        <v>140.26</v>
      </c>
      <c r="G248" s="20">
        <v>109.274</v>
      </c>
      <c r="H248" s="20">
        <v>92.116</v>
      </c>
      <c r="I248" s="20">
        <v>86.259</v>
      </c>
      <c r="J248" s="20">
        <v>97.087000000000003</v>
      </c>
      <c r="K248" s="20"/>
      <c r="L248" s="20"/>
    </row>
    <row r="249" spans="1:14" ht="15" customHeight="1">
      <c r="A249" s="205">
        <v>44</v>
      </c>
      <c r="B249" s="59" t="s">
        <v>229</v>
      </c>
      <c r="C249" s="20">
        <v>177.68199999999999</v>
      </c>
      <c r="D249" s="20">
        <v>143.994</v>
      </c>
      <c r="E249" s="20">
        <v>102.32599999999999</v>
      </c>
      <c r="F249" s="20">
        <v>82.924999999999997</v>
      </c>
      <c r="G249" s="20">
        <v>70.828999999999994</v>
      </c>
      <c r="H249" s="20">
        <v>59.707999999999998</v>
      </c>
      <c r="I249" s="20">
        <v>53.750999999999998</v>
      </c>
      <c r="J249" s="20">
        <v>54.462000000000003</v>
      </c>
      <c r="K249" s="20"/>
      <c r="L249" s="20"/>
    </row>
    <row r="250" spans="1:14" ht="15" customHeight="1">
      <c r="A250" s="177">
        <v>45</v>
      </c>
      <c r="B250" s="178" t="s">
        <v>220</v>
      </c>
      <c r="C250" s="194">
        <v>28.597999999999999</v>
      </c>
      <c r="D250" s="194">
        <v>26.457000000000001</v>
      </c>
      <c r="E250" s="194">
        <v>23.541</v>
      </c>
      <c r="F250" s="194">
        <v>24.004000000000001</v>
      </c>
      <c r="G250" s="194">
        <v>24.956</v>
      </c>
      <c r="H250" s="194">
        <v>22.643000000000001</v>
      </c>
      <c r="I250" s="194">
        <v>20.148</v>
      </c>
      <c r="J250" s="194">
        <v>17.928000000000001</v>
      </c>
      <c r="K250" s="194">
        <v>10.808999999999999</v>
      </c>
      <c r="L250" s="197">
        <v>4.1660000000000004</v>
      </c>
      <c r="M250" s="2"/>
    </row>
    <row r="251" spans="1:14" ht="15" customHeight="1">
      <c r="A251" s="174">
        <v>45</v>
      </c>
      <c r="B251" s="179" t="s">
        <v>221</v>
      </c>
      <c r="C251" s="20">
        <v>204.108</v>
      </c>
      <c r="D251" s="20">
        <v>178.11699999999999</v>
      </c>
      <c r="E251" s="20">
        <v>161.60300000000001</v>
      </c>
      <c r="F251" s="20">
        <v>133.02799999999999</v>
      </c>
      <c r="G251" s="20">
        <v>113.851</v>
      </c>
      <c r="H251" s="20">
        <v>91.914000000000001</v>
      </c>
      <c r="I251" s="20">
        <v>74.203000000000003</v>
      </c>
      <c r="J251" s="20">
        <v>53.304000000000002</v>
      </c>
      <c r="K251" s="20">
        <v>23.088000000000001</v>
      </c>
      <c r="L251" s="198">
        <v>6.5179999999999998</v>
      </c>
      <c r="M251" s="2"/>
    </row>
    <row r="252" spans="1:14" ht="15" customHeight="1">
      <c r="A252" s="174">
        <v>45</v>
      </c>
      <c r="B252" s="179" t="s">
        <v>222</v>
      </c>
      <c r="C252" s="20">
        <v>453.25</v>
      </c>
      <c r="D252" s="20">
        <v>411.23</v>
      </c>
      <c r="E252" s="20">
        <v>358.86399999999998</v>
      </c>
      <c r="F252" s="20">
        <v>295.40800000000002</v>
      </c>
      <c r="G252" s="20">
        <v>243.173</v>
      </c>
      <c r="H252" s="20">
        <v>185.185</v>
      </c>
      <c r="I252" s="20">
        <v>138.30699999999999</v>
      </c>
      <c r="J252" s="20">
        <v>80.209000000000003</v>
      </c>
      <c r="K252" s="20">
        <v>32.14</v>
      </c>
      <c r="L252" s="198">
        <v>7.9180000000000001</v>
      </c>
      <c r="M252" s="2"/>
    </row>
    <row r="253" spans="1:14" ht="15" customHeight="1">
      <c r="A253" s="174">
        <v>45</v>
      </c>
      <c r="B253" s="179" t="s">
        <v>223</v>
      </c>
      <c r="C253" s="20">
        <v>1006.5069999999999</v>
      </c>
      <c r="D253" s="20">
        <v>987.11099999999999</v>
      </c>
      <c r="E253" s="20">
        <v>949.43399999999997</v>
      </c>
      <c r="F253" s="20">
        <v>737.23400000000004</v>
      </c>
      <c r="G253" s="20">
        <v>618.79899999999998</v>
      </c>
      <c r="H253" s="20">
        <v>489.93799999999999</v>
      </c>
      <c r="I253" s="20">
        <v>373.10500000000002</v>
      </c>
      <c r="J253" s="20">
        <v>247.95099999999999</v>
      </c>
      <c r="K253" s="20">
        <v>91.914000000000001</v>
      </c>
      <c r="L253" s="198">
        <v>17.582000000000001</v>
      </c>
      <c r="M253" s="2"/>
    </row>
    <row r="254" spans="1:14" ht="15" customHeight="1">
      <c r="A254" s="174">
        <v>45</v>
      </c>
      <c r="B254" s="179" t="s">
        <v>224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198"/>
      <c r="M254" s="2"/>
    </row>
    <row r="255" spans="1:14" ht="15" customHeight="1">
      <c r="A255" s="174">
        <v>45</v>
      </c>
      <c r="B255" s="179" t="s">
        <v>225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198"/>
      <c r="M255" s="2"/>
    </row>
    <row r="256" spans="1:14" ht="15" customHeight="1">
      <c r="A256" s="174">
        <v>45</v>
      </c>
      <c r="B256" s="179" t="s">
        <v>226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198"/>
      <c r="M256" s="2"/>
    </row>
    <row r="257" spans="1:22" ht="15" customHeight="1">
      <c r="A257" s="174">
        <v>45</v>
      </c>
      <c r="B257" s="179" t="s">
        <v>227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198"/>
      <c r="M257" s="2"/>
      <c r="N257" s="2"/>
      <c r="O257" s="2"/>
      <c r="P257" s="2"/>
      <c r="Q257" s="2"/>
      <c r="R257" s="2"/>
      <c r="S257" s="2"/>
      <c r="T257" s="2"/>
      <c r="U257" s="2"/>
    </row>
    <row r="258" spans="1:22" ht="15" customHeight="1">
      <c r="A258" s="177">
        <v>46</v>
      </c>
      <c r="B258" s="178">
        <v>1</v>
      </c>
      <c r="C258" s="206">
        <v>215.44300000000001</v>
      </c>
      <c r="D258" s="206">
        <v>129.155</v>
      </c>
      <c r="E258" s="206">
        <v>100</v>
      </c>
      <c r="F258" s="206">
        <v>66.691999999999993</v>
      </c>
      <c r="G258" s="206">
        <v>51.637</v>
      </c>
      <c r="H258" s="206">
        <v>39.981000000000002</v>
      </c>
      <c r="I258" s="206">
        <v>29.663</v>
      </c>
      <c r="J258" s="206">
        <v>25.012</v>
      </c>
      <c r="K258" s="206">
        <v>20.645</v>
      </c>
      <c r="L258" s="206">
        <v>17.783000000000001</v>
      </c>
      <c r="M258" s="206">
        <v>16.329000000000001</v>
      </c>
      <c r="N258" s="206">
        <v>14.678000000000001</v>
      </c>
      <c r="O258" s="206">
        <v>13.769</v>
      </c>
      <c r="P258" s="206">
        <v>13.769</v>
      </c>
      <c r="Q258" s="206">
        <v>12.914999999999999</v>
      </c>
      <c r="R258" s="206">
        <v>12.643000000000001</v>
      </c>
      <c r="S258" s="206">
        <v>12.115</v>
      </c>
      <c r="T258" s="206">
        <v>12.115</v>
      </c>
      <c r="U258" s="207">
        <v>11.86</v>
      </c>
      <c r="V258" s="2"/>
    </row>
    <row r="259" spans="1:22" ht="15" customHeight="1">
      <c r="A259" s="174">
        <v>46</v>
      </c>
      <c r="B259" s="179">
        <v>2</v>
      </c>
      <c r="C259" s="2">
        <v>116095.34699999999</v>
      </c>
      <c r="D259" s="2">
        <v>84319.092999999993</v>
      </c>
      <c r="E259" s="2">
        <v>61240.262000000002</v>
      </c>
      <c r="F259" s="2">
        <v>41722.504999999997</v>
      </c>
      <c r="G259" s="2">
        <v>28425.210999999999</v>
      </c>
      <c r="H259" s="2">
        <v>19783.188999999998</v>
      </c>
      <c r="I259" s="2">
        <v>13768.572</v>
      </c>
      <c r="J259" s="2">
        <v>9582.5589999999993</v>
      </c>
      <c r="K259" s="2">
        <v>6812.9210000000003</v>
      </c>
      <c r="L259" s="2">
        <v>4447.83</v>
      </c>
      <c r="M259" s="2">
        <v>3230.422</v>
      </c>
      <c r="N259" s="2">
        <v>2154.4349999999999</v>
      </c>
      <c r="O259" s="2">
        <v>1531.74</v>
      </c>
      <c r="P259" s="2">
        <v>1043.5630000000001</v>
      </c>
      <c r="Q259" s="2">
        <v>741.94299999999998</v>
      </c>
      <c r="R259" s="2">
        <v>527.5</v>
      </c>
      <c r="S259" s="2">
        <v>367.12599999999998</v>
      </c>
      <c r="T259" s="2">
        <v>266.64</v>
      </c>
      <c r="U259" s="208">
        <v>202.095</v>
      </c>
      <c r="V259" s="2"/>
    </row>
    <row r="260" spans="1:22" ht="15" customHeight="1">
      <c r="A260" s="174">
        <v>46</v>
      </c>
      <c r="B260" s="179">
        <v>3</v>
      </c>
      <c r="C260" s="2">
        <v>131938.144</v>
      </c>
      <c r="D260" s="2">
        <v>97890.543999999994</v>
      </c>
      <c r="E260" s="2">
        <v>65285.211000000003</v>
      </c>
      <c r="F260" s="2">
        <v>42621.588000000003</v>
      </c>
      <c r="G260" s="2">
        <v>28425.210999999999</v>
      </c>
      <c r="H260" s="2">
        <v>20209.499</v>
      </c>
      <c r="I260" s="2">
        <v>13768.572</v>
      </c>
      <c r="J260" s="2">
        <v>10000</v>
      </c>
      <c r="K260" s="2">
        <v>6812.9210000000003</v>
      </c>
      <c r="L260" s="2">
        <v>4641.5889999999999</v>
      </c>
      <c r="M260" s="2">
        <v>3162.2779999999998</v>
      </c>
      <c r="N260" s="2">
        <v>2200.8609999999999</v>
      </c>
      <c r="O260" s="2">
        <v>1564.748</v>
      </c>
      <c r="P260" s="2">
        <v>1066.05</v>
      </c>
      <c r="Q260" s="2">
        <v>825.404</v>
      </c>
      <c r="R260" s="2">
        <v>550.47900000000004</v>
      </c>
      <c r="S260" s="2">
        <v>399.80799999999999</v>
      </c>
      <c r="T260" s="2">
        <v>272.38600000000002</v>
      </c>
      <c r="U260" s="208">
        <v>220.08600000000001</v>
      </c>
      <c r="V260" s="2"/>
    </row>
    <row r="261" spans="1:22" ht="15" customHeight="1">
      <c r="A261" s="174">
        <v>46</v>
      </c>
      <c r="B261" s="179">
        <v>4</v>
      </c>
      <c r="C261" s="2">
        <v>181659.97899999999</v>
      </c>
      <c r="D261" s="2">
        <v>129155</v>
      </c>
      <c r="E261" s="2">
        <v>86136.096000000005</v>
      </c>
      <c r="F261" s="2">
        <v>58683.839</v>
      </c>
      <c r="G261" s="2">
        <v>42621.588000000003</v>
      </c>
      <c r="H261" s="2">
        <v>29663.488000000001</v>
      </c>
      <c r="I261" s="2">
        <v>19783.188999999998</v>
      </c>
      <c r="J261" s="2">
        <v>14065.272000000001</v>
      </c>
      <c r="K261" s="2">
        <v>9380.4189999999999</v>
      </c>
      <c r="L261" s="2">
        <v>6669.2049999999999</v>
      </c>
      <c r="M261" s="2">
        <v>4543.6769999999997</v>
      </c>
      <c r="N261" s="2">
        <v>3095.5709999999999</v>
      </c>
      <c r="O261" s="2">
        <v>2200.8609999999999</v>
      </c>
      <c r="P261" s="2">
        <v>1531.74</v>
      </c>
      <c r="Q261" s="2">
        <v>1066.05</v>
      </c>
      <c r="R261" s="2">
        <v>726.29200000000003</v>
      </c>
      <c r="S261" s="2">
        <v>538.86699999999996</v>
      </c>
      <c r="T261" s="2">
        <v>375.03699999999998</v>
      </c>
      <c r="U261" s="208">
        <v>278.25599999999997</v>
      </c>
      <c r="V261" s="2"/>
    </row>
    <row r="262" spans="1:22" ht="15" customHeight="1">
      <c r="A262" s="174">
        <v>46</v>
      </c>
      <c r="B262" s="179">
        <v>5</v>
      </c>
      <c r="C262" s="2">
        <v>89888.410999999993</v>
      </c>
      <c r="D262" s="2">
        <v>66692.051000000007</v>
      </c>
      <c r="E262" s="2">
        <v>44478.296999999999</v>
      </c>
      <c r="F262" s="2">
        <v>30302.710999999999</v>
      </c>
      <c r="G262" s="2">
        <v>21089.878000000001</v>
      </c>
      <c r="H262" s="2">
        <v>14677.993</v>
      </c>
      <c r="I262" s="2">
        <v>10215.491</v>
      </c>
      <c r="J262" s="2">
        <v>6669.2049999999999</v>
      </c>
      <c r="K262" s="2">
        <v>4641.5889999999999</v>
      </c>
      <c r="L262" s="2">
        <v>3300.0349999999999</v>
      </c>
      <c r="M262" s="2">
        <v>2296.7359999999999</v>
      </c>
      <c r="N262" s="2">
        <v>1632.913</v>
      </c>
      <c r="O262" s="2">
        <v>1160.953</v>
      </c>
      <c r="P262" s="2">
        <v>790.94799999999998</v>
      </c>
      <c r="Q262" s="2">
        <v>562.34100000000001</v>
      </c>
      <c r="R262" s="2">
        <v>408.42399999999998</v>
      </c>
      <c r="S262" s="2">
        <v>290.37799999999999</v>
      </c>
      <c r="T262" s="2">
        <v>215.44300000000001</v>
      </c>
      <c r="U262" s="208">
        <v>159.84700000000001</v>
      </c>
      <c r="V262" s="2"/>
    </row>
    <row r="263" spans="1:22" ht="15" customHeight="1">
      <c r="A263" s="175">
        <v>46</v>
      </c>
      <c r="B263" s="180">
        <v>6</v>
      </c>
      <c r="C263" s="30">
        <v>33000.347999999998</v>
      </c>
      <c r="D263" s="30">
        <v>24484.366999999998</v>
      </c>
      <c r="E263" s="30">
        <v>17040.467000000001</v>
      </c>
      <c r="F263" s="30">
        <v>11859.71</v>
      </c>
      <c r="G263" s="30">
        <v>8254.0419999999995</v>
      </c>
      <c r="H263" s="30">
        <v>5744.5929999999998</v>
      </c>
      <c r="I263" s="30">
        <v>4172.25</v>
      </c>
      <c r="J263" s="30">
        <v>2903.7750000000001</v>
      </c>
      <c r="K263" s="30">
        <v>1978.319</v>
      </c>
      <c r="L263" s="30">
        <v>1499.4290000000001</v>
      </c>
      <c r="M263" s="30">
        <v>1112.49</v>
      </c>
      <c r="N263" s="30">
        <v>825.404</v>
      </c>
      <c r="O263" s="30">
        <v>652.85199999999998</v>
      </c>
      <c r="P263" s="30">
        <v>516.37199999999996</v>
      </c>
      <c r="Q263" s="30">
        <v>399.80799999999999</v>
      </c>
      <c r="R263" s="30">
        <v>309.55700000000002</v>
      </c>
      <c r="S263" s="30">
        <v>239.679</v>
      </c>
      <c r="T263" s="30">
        <v>210.899</v>
      </c>
      <c r="U263" s="209">
        <v>166.81</v>
      </c>
      <c r="V263" s="2"/>
    </row>
    <row r="264" spans="1:22" ht="15" customHeight="1">
      <c r="A264" s="174">
        <v>47</v>
      </c>
      <c r="B264" s="179" t="s">
        <v>220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2" ht="15" customHeight="1">
      <c r="A265" s="174">
        <v>47</v>
      </c>
      <c r="B265" s="179">
        <v>2</v>
      </c>
    </row>
    <row r="266" spans="1:22" ht="15" customHeight="1">
      <c r="A266" s="174">
        <v>47</v>
      </c>
      <c r="B266" s="179">
        <v>3</v>
      </c>
    </row>
    <row r="267" spans="1:22" ht="15" customHeight="1">
      <c r="A267" s="174">
        <v>47</v>
      </c>
      <c r="B267" s="179" t="s">
        <v>223</v>
      </c>
    </row>
    <row r="268" spans="1:22" ht="15" customHeight="1">
      <c r="A268" s="174">
        <v>47</v>
      </c>
      <c r="B268" s="179">
        <v>5</v>
      </c>
    </row>
    <row r="269" spans="1:22" ht="15" customHeight="1">
      <c r="A269" s="174">
        <v>47</v>
      </c>
      <c r="B269" s="179" t="s">
        <v>224</v>
      </c>
    </row>
    <row r="270" spans="1:22" ht="15" customHeight="1">
      <c r="A270" s="174">
        <v>47</v>
      </c>
      <c r="B270" s="179" t="s">
        <v>227</v>
      </c>
      <c r="C270" s="2"/>
      <c r="D270" s="2"/>
      <c r="E270" s="2"/>
      <c r="F270" s="2"/>
      <c r="G270" s="2"/>
      <c r="H270" s="2"/>
      <c r="I270" s="2"/>
      <c r="J270" s="2"/>
    </row>
    <row r="271" spans="1:22" ht="15" customHeight="1">
      <c r="A271" s="177">
        <v>48</v>
      </c>
      <c r="B271" s="178">
        <v>1</v>
      </c>
      <c r="C271" s="206">
        <v>1214.6310000000001</v>
      </c>
      <c r="D271" s="206">
        <v>2068.0239999999999</v>
      </c>
      <c r="E271" s="206">
        <v>2362.2910000000002</v>
      </c>
      <c r="F271" s="206">
        <v>2726.1860000000001</v>
      </c>
      <c r="G271" s="206">
        <v>2563.828</v>
      </c>
      <c r="H271" s="206">
        <v>2026.127</v>
      </c>
      <c r="I271" s="206">
        <v>1373.3389999999999</v>
      </c>
      <c r="J271" s="207">
        <v>840.32</v>
      </c>
      <c r="K271" s="2"/>
    </row>
    <row r="272" spans="1:22" ht="15" customHeight="1">
      <c r="A272" s="174">
        <v>48</v>
      </c>
      <c r="B272" s="179">
        <v>2</v>
      </c>
      <c r="C272" s="2">
        <v>2132.4989999999998</v>
      </c>
      <c r="D272" s="2">
        <v>3485.1559999999999</v>
      </c>
      <c r="E272" s="2">
        <v>3630.7809999999999</v>
      </c>
      <c r="F272" s="2">
        <v>3311.3110000000001</v>
      </c>
      <c r="G272" s="2">
        <v>2176.596</v>
      </c>
      <c r="H272" s="2">
        <v>1387.4659999999999</v>
      </c>
      <c r="I272" s="2">
        <v>857.69600000000003</v>
      </c>
      <c r="J272" s="208">
        <v>519.46400000000006</v>
      </c>
      <c r="K272" s="2"/>
    </row>
    <row r="273" spans="1:19" ht="15" customHeight="1">
      <c r="A273" s="174">
        <v>48</v>
      </c>
      <c r="B273" s="179">
        <v>3</v>
      </c>
      <c r="C273" s="2">
        <v>4986.2929999999997</v>
      </c>
      <c r="D273" s="2">
        <v>7207.3860000000004</v>
      </c>
      <c r="E273" s="2">
        <v>7134.0039999999999</v>
      </c>
      <c r="F273" s="2">
        <v>5356.5959999999995</v>
      </c>
      <c r="G273" s="2">
        <v>2928.645</v>
      </c>
      <c r="H273" s="2">
        <v>1552.7840000000001</v>
      </c>
      <c r="I273" s="2">
        <v>806.61599999999999</v>
      </c>
      <c r="J273" s="208">
        <v>473.75700000000001</v>
      </c>
      <c r="K273" s="2"/>
    </row>
    <row r="274" spans="1:19" ht="15" customHeight="1">
      <c r="A274" s="174">
        <v>48</v>
      </c>
      <c r="B274" s="179">
        <v>4</v>
      </c>
      <c r="C274" s="2">
        <v>951.99</v>
      </c>
      <c r="D274" s="2">
        <v>1752.2239999999999</v>
      </c>
      <c r="E274" s="2">
        <v>2197.2539999999999</v>
      </c>
      <c r="F274" s="2">
        <v>2154.4349999999999</v>
      </c>
      <c r="G274" s="2">
        <v>1769.5519999999999</v>
      </c>
      <c r="H274" s="2">
        <v>1370.1</v>
      </c>
      <c r="I274" s="2">
        <v>933.43799999999999</v>
      </c>
      <c r="J274" s="208">
        <v>642.23299999999995</v>
      </c>
      <c r="K274" s="2"/>
    </row>
    <row r="275" spans="1:19" ht="15" customHeight="1">
      <c r="A275" s="174">
        <v>48</v>
      </c>
      <c r="B275" s="179">
        <v>5</v>
      </c>
      <c r="C275" s="2">
        <v>1356.684</v>
      </c>
      <c r="D275" s="2">
        <v>2218.982</v>
      </c>
      <c r="E275" s="2">
        <v>2728.3330000000001</v>
      </c>
      <c r="F275" s="2">
        <v>2597.3470000000002</v>
      </c>
      <c r="G275" s="2">
        <v>1991.3389999999999</v>
      </c>
      <c r="H275" s="2">
        <v>1467.799</v>
      </c>
      <c r="I275" s="2">
        <v>1040.145</v>
      </c>
      <c r="J275" s="208">
        <v>766.68200000000002</v>
      </c>
      <c r="K275" s="2"/>
    </row>
    <row r="276" spans="1:19" ht="15" customHeight="1">
      <c r="A276" s="174">
        <v>48</v>
      </c>
      <c r="B276" s="179">
        <v>6</v>
      </c>
      <c r="C276" s="2">
        <v>9152.473</v>
      </c>
      <c r="D276" s="2">
        <v>10000</v>
      </c>
      <c r="E276" s="2">
        <v>7156.5029999999997</v>
      </c>
      <c r="F276" s="2">
        <v>4332.6350000000002</v>
      </c>
      <c r="G276" s="2">
        <v>2448.4369999999999</v>
      </c>
      <c r="H276" s="2">
        <v>1526.7249999999999</v>
      </c>
      <c r="I276" s="2">
        <v>1029.96</v>
      </c>
      <c r="J276" s="208">
        <v>737.09100000000001</v>
      </c>
      <c r="K276" s="2"/>
    </row>
    <row r="277" spans="1:19" ht="15" customHeight="1">
      <c r="A277" s="174">
        <v>48</v>
      </c>
      <c r="B277" s="179">
        <v>7</v>
      </c>
      <c r="C277" s="2">
        <v>21757.392</v>
      </c>
      <c r="D277" s="2">
        <v>19334.136999999999</v>
      </c>
      <c r="E277" s="2">
        <v>11034.052</v>
      </c>
      <c r="F277" s="2">
        <v>5433.0379999999996</v>
      </c>
      <c r="G277" s="2">
        <v>2330.8879999999999</v>
      </c>
      <c r="H277" s="2">
        <v>1217.5029999999999</v>
      </c>
      <c r="I277" s="2">
        <v>774.26400000000001</v>
      </c>
      <c r="J277" s="208">
        <v>492.38799999999998</v>
      </c>
      <c r="K277" s="2"/>
    </row>
    <row r="278" spans="1:19" ht="15" customHeight="1">
      <c r="A278" s="174">
        <v>48</v>
      </c>
      <c r="B278" s="179">
        <v>8</v>
      </c>
      <c r="C278" s="2">
        <v>1194.684</v>
      </c>
      <c r="D278" s="2">
        <v>2271.0320000000002</v>
      </c>
      <c r="E278" s="2">
        <v>2767.3240000000001</v>
      </c>
      <c r="F278" s="2">
        <v>2660.0680000000002</v>
      </c>
      <c r="G278" s="2">
        <v>2183.0100000000002</v>
      </c>
      <c r="H278" s="2">
        <v>1455.761</v>
      </c>
      <c r="I278" s="2">
        <v>1040.3209999999999</v>
      </c>
      <c r="J278" s="208">
        <v>837.04100000000005</v>
      </c>
      <c r="K278" s="2"/>
    </row>
    <row r="279" spans="1:19" ht="15" customHeight="1">
      <c r="A279" s="174">
        <v>48</v>
      </c>
      <c r="B279" s="179">
        <v>9</v>
      </c>
      <c r="C279" s="2">
        <v>1345.1020000000001</v>
      </c>
      <c r="D279" s="2">
        <v>2582.3620000000001</v>
      </c>
      <c r="E279" s="2">
        <v>3024.7310000000002</v>
      </c>
      <c r="F279" s="2">
        <v>2878.9059999999999</v>
      </c>
      <c r="G279" s="2">
        <v>2037.1020000000001</v>
      </c>
      <c r="H279" s="2">
        <v>1358.461</v>
      </c>
      <c r="I279" s="2">
        <v>961.24199999999996</v>
      </c>
      <c r="J279" s="208">
        <v>765.80799999999999</v>
      </c>
      <c r="K279" s="2"/>
    </row>
    <row r="280" spans="1:19" ht="15" customHeight="1">
      <c r="A280" s="174">
        <v>48</v>
      </c>
      <c r="B280" s="179">
        <v>10</v>
      </c>
      <c r="C280" s="2">
        <v>7217.2060000000001</v>
      </c>
      <c r="D280" s="2">
        <v>7658.085</v>
      </c>
      <c r="E280" s="2">
        <v>7734.14</v>
      </c>
      <c r="F280" s="2">
        <v>6347.0969999999998</v>
      </c>
      <c r="G280" s="2">
        <v>4274.6570000000002</v>
      </c>
      <c r="H280" s="2">
        <v>2556.9679999999998</v>
      </c>
      <c r="I280" s="2">
        <v>1671.768</v>
      </c>
      <c r="J280" s="208">
        <v>1318.778</v>
      </c>
      <c r="K280" s="2"/>
    </row>
    <row r="281" spans="1:19" ht="15" customHeight="1">
      <c r="A281" s="174">
        <v>48</v>
      </c>
      <c r="B281" s="179">
        <v>11</v>
      </c>
      <c r="C281" s="2">
        <v>1827.269</v>
      </c>
      <c r="D281" s="2">
        <v>3054.77</v>
      </c>
      <c r="E281" s="2">
        <v>3508.0390000000002</v>
      </c>
      <c r="F281" s="2">
        <v>3306.08</v>
      </c>
      <c r="G281" s="2">
        <v>2362.6019999999999</v>
      </c>
      <c r="H281" s="2">
        <v>1529.5</v>
      </c>
      <c r="I281" s="2">
        <v>1114.8340000000001</v>
      </c>
      <c r="J281" s="208">
        <v>914.9</v>
      </c>
      <c r="K281" s="2"/>
    </row>
    <row r="282" spans="1:19" ht="15" customHeight="1">
      <c r="A282" s="175">
        <v>48</v>
      </c>
      <c r="B282" s="180">
        <v>12</v>
      </c>
      <c r="C282" s="30">
        <v>3306.08</v>
      </c>
      <c r="D282" s="30">
        <v>6222.88</v>
      </c>
      <c r="E282" s="30">
        <v>6869.259</v>
      </c>
      <c r="F282" s="30">
        <v>5637.3239999999996</v>
      </c>
      <c r="G282" s="30">
        <v>3834.3429999999998</v>
      </c>
      <c r="H282" s="30">
        <v>2248.6990000000001</v>
      </c>
      <c r="I282" s="30">
        <v>1427.271</v>
      </c>
      <c r="J282" s="209">
        <v>1125.9059999999999</v>
      </c>
      <c r="K282" s="2"/>
      <c r="L282" s="2"/>
      <c r="M282" s="2"/>
      <c r="N282" s="2"/>
      <c r="O282" s="2"/>
      <c r="P282" s="2"/>
      <c r="Q282" s="2"/>
      <c r="R282" s="2"/>
    </row>
    <row r="283" spans="1:19" ht="15" customHeight="1">
      <c r="A283" s="210">
        <v>49</v>
      </c>
      <c r="B283" s="59">
        <v>1</v>
      </c>
      <c r="C283" s="20">
        <v>58.539000000000001</v>
      </c>
      <c r="D283" s="20">
        <v>57.76</v>
      </c>
      <c r="E283" s="20">
        <v>88.649000000000001</v>
      </c>
      <c r="F283" s="20">
        <v>101.348</v>
      </c>
      <c r="G283" s="20">
        <v>109.824</v>
      </c>
      <c r="H283" s="20">
        <v>127.248</v>
      </c>
      <c r="I283" s="20">
        <v>145.476</v>
      </c>
      <c r="J283" s="20">
        <v>151.43700000000001</v>
      </c>
      <c r="K283" s="194">
        <v>155.547</v>
      </c>
      <c r="L283" s="194">
        <v>161.92099999999999</v>
      </c>
      <c r="M283" s="194">
        <v>159.767</v>
      </c>
      <c r="N283" s="194">
        <v>157.643</v>
      </c>
      <c r="O283" s="194">
        <v>153.47800000000001</v>
      </c>
      <c r="P283" s="194">
        <v>145.476</v>
      </c>
      <c r="Q283" s="194">
        <v>136.05699999999999</v>
      </c>
      <c r="R283" s="197">
        <v>125.556</v>
      </c>
      <c r="S283" s="2"/>
    </row>
    <row r="284" spans="1:19" ht="15" customHeight="1">
      <c r="A284" s="210">
        <v>49</v>
      </c>
      <c r="B284" s="59">
        <v>2</v>
      </c>
      <c r="C284" s="20">
        <v>164.10300000000001</v>
      </c>
      <c r="D284" s="20">
        <v>127.248</v>
      </c>
      <c r="E284" s="20">
        <v>77.542000000000002</v>
      </c>
      <c r="F284" s="20">
        <v>132.46299999999999</v>
      </c>
      <c r="G284" s="20">
        <v>123.886</v>
      </c>
      <c r="H284" s="20">
        <v>115.86499999999999</v>
      </c>
      <c r="I284" s="20">
        <v>127.248</v>
      </c>
      <c r="J284" s="20">
        <v>132.46299999999999</v>
      </c>
      <c r="K284" s="20">
        <v>132.46299999999999</v>
      </c>
      <c r="L284" s="20">
        <v>128.96299999999999</v>
      </c>
      <c r="M284" s="20">
        <v>127.248</v>
      </c>
      <c r="N284" s="20">
        <v>122.239</v>
      </c>
      <c r="O284" s="20">
        <v>115.86499999999999</v>
      </c>
      <c r="P284" s="20">
        <v>112.804</v>
      </c>
      <c r="Q284" s="20">
        <v>101.348</v>
      </c>
      <c r="R284" s="198">
        <v>94.786000000000001</v>
      </c>
      <c r="S284" s="2"/>
    </row>
    <row r="285" spans="1:19" ht="15" customHeight="1">
      <c r="A285" s="210">
        <v>49</v>
      </c>
      <c r="B285" s="59">
        <v>3</v>
      </c>
      <c r="C285" s="20">
        <v>1040.979</v>
      </c>
      <c r="D285" s="20">
        <v>886.49099999999999</v>
      </c>
      <c r="E285" s="20">
        <v>874.70299999999997</v>
      </c>
      <c r="F285" s="20">
        <v>796.45799999999997</v>
      </c>
      <c r="G285" s="20">
        <v>725.21199999999999</v>
      </c>
      <c r="H285" s="20">
        <v>796.45799999999997</v>
      </c>
      <c r="I285" s="20">
        <v>796.45799999999997</v>
      </c>
      <c r="J285" s="20">
        <v>785.86699999999996</v>
      </c>
      <c r="K285" s="20">
        <v>754.93100000000004</v>
      </c>
      <c r="L285" s="20">
        <v>687.4</v>
      </c>
      <c r="M285" s="20">
        <v>634.34500000000003</v>
      </c>
      <c r="N285" s="20">
        <v>554.86300000000006</v>
      </c>
      <c r="O285" s="20">
        <v>472.51799999999997</v>
      </c>
      <c r="P285" s="20">
        <v>402.39400000000001</v>
      </c>
      <c r="Q285" s="20">
        <v>316.22800000000001</v>
      </c>
      <c r="R285" s="198">
        <v>265.71699999999998</v>
      </c>
      <c r="S285" s="2"/>
    </row>
    <row r="286" spans="1:19" ht="15" customHeight="1">
      <c r="A286" s="205">
        <v>50</v>
      </c>
      <c r="B286" s="59">
        <v>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9" ht="15" customHeight="1">
      <c r="A287" s="205">
        <v>50</v>
      </c>
      <c r="B287" s="59">
        <v>2</v>
      </c>
    </row>
    <row r="288" spans="1:19" ht="15" customHeight="1">
      <c r="A288" s="205">
        <v>50</v>
      </c>
      <c r="B288" s="59">
        <v>3</v>
      </c>
    </row>
    <row r="289" spans="1:9" ht="15" customHeight="1">
      <c r="A289" s="205">
        <v>50</v>
      </c>
      <c r="B289" s="59">
        <v>4</v>
      </c>
    </row>
    <row r="290" spans="1:9" ht="15" customHeight="1">
      <c r="A290" s="201">
        <v>51</v>
      </c>
      <c r="B290" s="58">
        <v>1</v>
      </c>
    </row>
    <row r="291" spans="1:9" ht="15" customHeight="1">
      <c r="A291" s="200">
        <v>51</v>
      </c>
      <c r="B291" s="59">
        <v>2</v>
      </c>
    </row>
    <row r="292" spans="1:9" ht="15" customHeight="1">
      <c r="A292" s="200">
        <v>51</v>
      </c>
      <c r="B292" s="59">
        <v>3</v>
      </c>
    </row>
    <row r="293" spans="1:9" ht="15" customHeight="1">
      <c r="A293" s="200">
        <v>51</v>
      </c>
      <c r="B293" s="59">
        <v>4</v>
      </c>
    </row>
    <row r="294" spans="1:9" ht="15" customHeight="1">
      <c r="A294" s="200">
        <v>51</v>
      </c>
      <c r="B294" s="59">
        <v>5</v>
      </c>
    </row>
    <row r="295" spans="1:9" ht="15" customHeight="1">
      <c r="A295" s="200">
        <v>51</v>
      </c>
      <c r="B295" s="59">
        <v>6</v>
      </c>
    </row>
    <row r="296" spans="1:9" ht="15" customHeight="1">
      <c r="A296" s="200">
        <v>51</v>
      </c>
      <c r="B296" s="59">
        <v>7</v>
      </c>
    </row>
    <row r="297" spans="1:9" ht="15" customHeight="1">
      <c r="A297" s="237">
        <v>52</v>
      </c>
      <c r="B297" s="178">
        <v>1</v>
      </c>
    </row>
    <row r="298" spans="1:9" ht="15" customHeight="1">
      <c r="A298" s="205">
        <v>52</v>
      </c>
      <c r="B298" s="179">
        <v>2</v>
      </c>
    </row>
    <row r="299" spans="1:9" ht="15" customHeight="1">
      <c r="A299" s="205">
        <v>52</v>
      </c>
      <c r="B299" s="179">
        <v>3</v>
      </c>
    </row>
    <row r="300" spans="1:9" ht="15" customHeight="1">
      <c r="A300" s="205">
        <v>52</v>
      </c>
      <c r="B300" s="179">
        <v>4</v>
      </c>
      <c r="C300" s="2"/>
      <c r="D300" s="2"/>
      <c r="E300" s="2"/>
      <c r="F300" s="2"/>
      <c r="G300" s="2"/>
      <c r="H300" s="2"/>
    </row>
    <row r="301" spans="1:9" ht="15" customHeight="1">
      <c r="A301" s="201">
        <v>53</v>
      </c>
      <c r="B301" s="178">
        <v>1</v>
      </c>
      <c r="C301" s="206">
        <v>753.91099999999994</v>
      </c>
      <c r="D301" s="206">
        <v>856.36199999999997</v>
      </c>
      <c r="E301" s="206">
        <v>985.20899999999995</v>
      </c>
      <c r="F301" s="206">
        <v>1407.578</v>
      </c>
      <c r="G301" s="206">
        <v>1886.896</v>
      </c>
      <c r="H301" s="207">
        <v>494290.217</v>
      </c>
      <c r="I301" s="2"/>
    </row>
    <row r="302" spans="1:9" ht="15" customHeight="1">
      <c r="A302" s="200">
        <v>53</v>
      </c>
      <c r="B302" s="179">
        <v>2</v>
      </c>
      <c r="C302" s="2">
        <v>369.34500000000003</v>
      </c>
      <c r="D302" s="2">
        <v>476.548</v>
      </c>
      <c r="E302" s="2">
        <v>534.45399999999995</v>
      </c>
      <c r="F302" s="2">
        <v>680.84900000000005</v>
      </c>
      <c r="G302" s="2">
        <v>936.25400000000002</v>
      </c>
      <c r="H302" s="208">
        <v>613840.01500000001</v>
      </c>
      <c r="I302" s="2"/>
    </row>
    <row r="303" spans="1:9" ht="15" customHeight="1">
      <c r="A303" s="200">
        <v>53</v>
      </c>
      <c r="B303" s="179">
        <v>3</v>
      </c>
      <c r="C303" s="2">
        <v>190.405</v>
      </c>
      <c r="D303" s="2">
        <v>230.50700000000001</v>
      </c>
      <c r="E303" s="2">
        <v>268.58999999999997</v>
      </c>
      <c r="F303" s="2">
        <v>342.161</v>
      </c>
      <c r="G303" s="2">
        <v>555.279</v>
      </c>
      <c r="H303" s="208">
        <v>513550.51</v>
      </c>
      <c r="I303" s="2"/>
    </row>
    <row r="304" spans="1:9" ht="15" customHeight="1">
      <c r="A304" s="200">
        <v>53</v>
      </c>
      <c r="B304" s="179">
        <v>4</v>
      </c>
      <c r="C304" s="2">
        <v>140.239</v>
      </c>
      <c r="D304" s="2">
        <v>169.77600000000001</v>
      </c>
      <c r="E304" s="2">
        <v>210.83799999999999</v>
      </c>
      <c r="F304" s="2">
        <v>261.83100000000002</v>
      </c>
      <c r="G304" s="2">
        <v>337.82799999999997</v>
      </c>
      <c r="H304" s="208">
        <v>45044.66</v>
      </c>
      <c r="I304" s="2"/>
    </row>
    <row r="305" spans="1:19" ht="15" customHeight="1">
      <c r="A305" s="202">
        <v>53</v>
      </c>
      <c r="B305" s="180">
        <v>5</v>
      </c>
      <c r="C305" s="30">
        <v>140.239</v>
      </c>
      <c r="D305" s="30">
        <v>169.77600000000001</v>
      </c>
      <c r="E305" s="30">
        <v>210.83799999999999</v>
      </c>
      <c r="F305" s="30">
        <v>261.83100000000002</v>
      </c>
      <c r="G305" s="30">
        <v>337.82799999999997</v>
      </c>
      <c r="H305" s="209">
        <v>22067.603999999999</v>
      </c>
      <c r="I305" s="2"/>
    </row>
    <row r="306" spans="1:19" ht="15" customHeight="1">
      <c r="A306" s="201">
        <v>54</v>
      </c>
      <c r="B306" s="178">
        <v>1</v>
      </c>
      <c r="C306" s="2"/>
      <c r="D306" s="2"/>
      <c r="E306" s="2"/>
      <c r="F306" s="2"/>
      <c r="G306" s="2"/>
      <c r="H306" s="2"/>
    </row>
    <row r="307" spans="1:19" ht="15" customHeight="1">
      <c r="A307" s="200">
        <v>54</v>
      </c>
      <c r="B307" s="179">
        <v>2</v>
      </c>
    </row>
    <row r="308" spans="1:19" ht="15" customHeight="1">
      <c r="A308" s="200">
        <v>54</v>
      </c>
      <c r="B308" s="179">
        <v>3</v>
      </c>
    </row>
    <row r="309" spans="1:19" ht="15" customHeight="1">
      <c r="A309" s="200">
        <v>54</v>
      </c>
      <c r="B309" s="179">
        <v>4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9" ht="15" customHeight="1">
      <c r="A310" s="201">
        <v>55</v>
      </c>
      <c r="B310" s="178" t="s">
        <v>220</v>
      </c>
      <c r="C310" s="206">
        <v>462.04899999999998</v>
      </c>
      <c r="D310" s="206">
        <v>763.46500000000003</v>
      </c>
      <c r="E310" s="206">
        <v>1150.3520000000001</v>
      </c>
      <c r="F310" s="206">
        <v>1456.145</v>
      </c>
      <c r="G310" s="206">
        <v>1805.829</v>
      </c>
      <c r="H310" s="206">
        <v>1940.143</v>
      </c>
      <c r="I310" s="206">
        <v>2063.194</v>
      </c>
      <c r="J310" s="206">
        <v>2127.616</v>
      </c>
      <c r="K310" s="206">
        <v>2127.616</v>
      </c>
      <c r="L310" s="206">
        <v>2063.194</v>
      </c>
      <c r="M310" s="206">
        <v>1980.3219999999999</v>
      </c>
      <c r="N310" s="206">
        <v>1824.432</v>
      </c>
      <c r="O310" s="206">
        <v>1646.71</v>
      </c>
      <c r="P310" s="206">
        <v>1426.6010000000001</v>
      </c>
      <c r="Q310" s="206">
        <v>1186.271</v>
      </c>
      <c r="R310" s="207">
        <v>956.56</v>
      </c>
      <c r="S310" s="2"/>
    </row>
    <row r="311" spans="1:19" ht="15" customHeight="1">
      <c r="A311" s="200">
        <v>55</v>
      </c>
      <c r="B311" s="179" t="s">
        <v>221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08"/>
      <c r="S311" s="2"/>
    </row>
    <row r="312" spans="1:19" ht="15" customHeight="1">
      <c r="A312" s="200">
        <v>55</v>
      </c>
      <c r="B312" s="179" t="s">
        <v>222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08"/>
      <c r="S312" s="2"/>
    </row>
    <row r="313" spans="1:19" ht="15" customHeight="1">
      <c r="A313" s="200">
        <v>55</v>
      </c>
      <c r="B313" s="179" t="s">
        <v>224</v>
      </c>
      <c r="C313" s="2">
        <v>115.824</v>
      </c>
      <c r="D313" s="2">
        <v>201.44399999999999</v>
      </c>
      <c r="E313" s="2">
        <v>316.22800000000001</v>
      </c>
      <c r="F313" s="2">
        <v>438.96800000000002</v>
      </c>
      <c r="G313" s="2">
        <v>522.51800000000003</v>
      </c>
      <c r="H313" s="2">
        <v>596.98599999999999</v>
      </c>
      <c r="I313" s="2">
        <v>647.99699999999996</v>
      </c>
      <c r="J313" s="2">
        <v>668.23</v>
      </c>
      <c r="K313" s="2">
        <v>717.93200000000002</v>
      </c>
      <c r="L313" s="2">
        <v>740.34900000000005</v>
      </c>
      <c r="M313" s="2">
        <v>747.97500000000002</v>
      </c>
      <c r="N313" s="2">
        <v>740.34900000000005</v>
      </c>
      <c r="O313" s="2">
        <v>740.34900000000005</v>
      </c>
      <c r="P313" s="2">
        <v>675.11400000000003</v>
      </c>
      <c r="Q313" s="2">
        <v>590.899</v>
      </c>
      <c r="R313" s="208">
        <v>517.19000000000005</v>
      </c>
      <c r="S313" s="2"/>
    </row>
    <row r="314" spans="1:19" ht="15" customHeight="1">
      <c r="A314" s="200">
        <v>55</v>
      </c>
      <c r="B314" s="179" t="s">
        <v>225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08"/>
      <c r="S314" s="2"/>
    </row>
    <row r="315" spans="1:19" ht="15" customHeight="1">
      <c r="A315" s="200">
        <v>55</v>
      </c>
      <c r="B315" s="179" t="s">
        <v>226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08"/>
      <c r="S315" s="2"/>
    </row>
    <row r="316" spans="1:19" ht="15" customHeight="1">
      <c r="A316" s="200">
        <v>55</v>
      </c>
      <c r="B316" s="179" t="s">
        <v>230</v>
      </c>
      <c r="C316" s="2">
        <v>46.046999999999997</v>
      </c>
      <c r="D316" s="2">
        <v>53.152000000000001</v>
      </c>
      <c r="E316" s="2">
        <v>93.396000000000001</v>
      </c>
      <c r="F316" s="2">
        <v>143.63800000000001</v>
      </c>
      <c r="G316" s="2">
        <v>183.69399999999999</v>
      </c>
      <c r="H316" s="2">
        <v>214.22</v>
      </c>
      <c r="I316" s="2">
        <v>232.52500000000001</v>
      </c>
      <c r="J316" s="2">
        <v>244.751</v>
      </c>
      <c r="K316" s="2">
        <v>257.62</v>
      </c>
      <c r="L316" s="2">
        <v>282.51299999999998</v>
      </c>
      <c r="M316" s="2">
        <v>297.36799999999999</v>
      </c>
      <c r="N316" s="2">
        <v>313.00299999999999</v>
      </c>
      <c r="O316" s="2">
        <v>322.77699999999999</v>
      </c>
      <c r="P316" s="2">
        <v>326.10199999999998</v>
      </c>
      <c r="Q316" s="2">
        <v>306.65300000000002</v>
      </c>
      <c r="R316" s="208">
        <v>297.36799999999999</v>
      </c>
      <c r="S316" s="2"/>
    </row>
    <row r="317" spans="1:19" ht="15" customHeight="1">
      <c r="A317" s="200">
        <v>55</v>
      </c>
      <c r="B317" s="179" t="s">
        <v>231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08"/>
      <c r="S317" s="2"/>
    </row>
    <row r="318" spans="1:19" ht="15" customHeight="1">
      <c r="A318" s="200">
        <v>55</v>
      </c>
      <c r="B318" s="179" t="s">
        <v>232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08"/>
      <c r="S318" s="2"/>
    </row>
    <row r="319" spans="1:19" ht="15" customHeight="1">
      <c r="A319" s="177">
        <v>56</v>
      </c>
      <c r="B319" s="178" t="s">
        <v>220</v>
      </c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7"/>
      <c r="S319" s="2"/>
    </row>
    <row r="320" spans="1:19" ht="15" customHeight="1">
      <c r="A320" s="175">
        <v>56</v>
      </c>
      <c r="B320" s="180" t="s">
        <v>224</v>
      </c>
      <c r="C320" s="30">
        <v>114.58799999999999</v>
      </c>
      <c r="D320" s="30">
        <v>78.067999999999998</v>
      </c>
      <c r="E320" s="30">
        <v>58.002000000000002</v>
      </c>
      <c r="F320" s="30">
        <v>42.563000000000002</v>
      </c>
      <c r="G320" s="30">
        <v>31.234000000000002</v>
      </c>
      <c r="H320" s="30">
        <v>23.206</v>
      </c>
      <c r="I320" s="30">
        <v>20.001999999999999</v>
      </c>
      <c r="J320" s="30">
        <v>15.233000000000001</v>
      </c>
      <c r="K320" s="30">
        <v>12.041</v>
      </c>
      <c r="L320" s="30">
        <v>10.125</v>
      </c>
      <c r="M320" s="30">
        <v>8.6199999999999992</v>
      </c>
      <c r="N320" s="30">
        <v>7.3380000000000001</v>
      </c>
      <c r="O320" s="30">
        <v>6.4039999999999999</v>
      </c>
      <c r="P320" s="30">
        <v>5.452</v>
      </c>
      <c r="Q320" s="30">
        <v>4.758</v>
      </c>
      <c r="R320" s="209">
        <v>4.3090000000000002</v>
      </c>
      <c r="S320" s="2"/>
    </row>
    <row r="321" spans="1:18" ht="15" customHeight="1">
      <c r="A321" s="177">
        <v>57</v>
      </c>
      <c r="B321" s="178">
        <v>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5" customHeight="1">
      <c r="A322" s="175">
        <v>57</v>
      </c>
      <c r="B322" s="180">
        <v>2</v>
      </c>
    </row>
    <row r="323" spans="1:18" ht="15" customHeight="1">
      <c r="A323" s="201">
        <v>58</v>
      </c>
      <c r="B323" s="58">
        <v>1</v>
      </c>
    </row>
    <row r="324" spans="1:18" ht="15" customHeight="1">
      <c r="A324" s="200">
        <v>58</v>
      </c>
      <c r="B324" s="59">
        <v>2</v>
      </c>
    </row>
    <row r="325" spans="1:18" ht="15" customHeight="1">
      <c r="A325" s="200">
        <v>58</v>
      </c>
      <c r="B325" s="59">
        <v>3</v>
      </c>
    </row>
    <row r="326" spans="1:18" ht="15" customHeight="1">
      <c r="A326" s="201">
        <v>59</v>
      </c>
      <c r="B326" s="58">
        <v>1</v>
      </c>
    </row>
    <row r="327" spans="1:18" ht="15" customHeight="1">
      <c r="A327" s="200">
        <v>59</v>
      </c>
      <c r="B327" s="59">
        <v>2</v>
      </c>
    </row>
    <row r="328" spans="1:18" ht="15" customHeight="1">
      <c r="A328" s="200">
        <v>59</v>
      </c>
      <c r="B328" s="59">
        <v>3</v>
      </c>
    </row>
    <row r="329" spans="1:18" ht="15" customHeight="1">
      <c r="A329" s="200">
        <v>59</v>
      </c>
      <c r="B329" s="59">
        <v>4</v>
      </c>
    </row>
    <row r="330" spans="1:18" ht="15" customHeight="1">
      <c r="A330" s="200">
        <v>59</v>
      </c>
      <c r="B330" s="59">
        <v>5</v>
      </c>
    </row>
    <row r="331" spans="1:18" ht="15" customHeight="1">
      <c r="A331" s="202">
        <v>59</v>
      </c>
      <c r="B331" s="203">
        <v>6</v>
      </c>
    </row>
    <row r="332" spans="1:18" ht="15" customHeight="1">
      <c r="A332" s="205">
        <v>60</v>
      </c>
      <c r="B332" s="58">
        <v>1</v>
      </c>
    </row>
    <row r="333" spans="1:18" ht="15" customHeight="1">
      <c r="A333" s="205">
        <v>60</v>
      </c>
      <c r="B333" s="59">
        <v>2</v>
      </c>
    </row>
    <row r="334" spans="1:18" ht="15" customHeight="1">
      <c r="A334" s="205">
        <v>60</v>
      </c>
      <c r="B334" s="59">
        <v>3</v>
      </c>
    </row>
    <row r="335" spans="1:18" ht="15" customHeight="1">
      <c r="A335" s="205">
        <v>60</v>
      </c>
      <c r="B335" s="59">
        <v>4</v>
      </c>
    </row>
    <row r="336" spans="1:18" ht="15" customHeight="1">
      <c r="A336" s="205">
        <v>60</v>
      </c>
      <c r="B336" s="59">
        <v>5</v>
      </c>
    </row>
    <row r="337" spans="1:2" ht="15" customHeight="1">
      <c r="A337" s="213">
        <v>61</v>
      </c>
      <c r="B337" s="246">
        <v>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985"/>
  <sheetViews>
    <sheetView topLeftCell="A330" zoomScale="80" zoomScaleNormal="80" workbookViewId="0">
      <selection activeCell="A348" activeCellId="11" sqref="A10:XFD10 A226:XFD226 A230:XFD230 A229:XFD229 A228:XFD228 A227:XFD227 A292:XFD292 A333:XFD333 A334:XFD334 A346:XFD346 A347:XFD347 A348:XFD348"/>
    </sheetView>
  </sheetViews>
  <sheetFormatPr defaultColWidth="12.5703125" defaultRowHeight="15" customHeight="1"/>
  <cols>
    <col min="1" max="4" width="8.5703125" customWidth="1"/>
    <col min="5" max="5" width="8.28515625" customWidth="1"/>
    <col min="6" max="26" width="8.5703125" customWidth="1"/>
  </cols>
  <sheetData>
    <row r="1" spans="1:2">
      <c r="A1" s="16" t="s">
        <v>218</v>
      </c>
      <c r="B1" s="15" t="s">
        <v>219</v>
      </c>
    </row>
    <row r="2" spans="1:2">
      <c r="A2" s="337">
        <v>1</v>
      </c>
      <c r="B2" s="255">
        <v>1</v>
      </c>
    </row>
    <row r="3" spans="1:2">
      <c r="A3" s="337">
        <v>1</v>
      </c>
      <c r="B3" s="255">
        <v>2</v>
      </c>
    </row>
    <row r="4" spans="1:2">
      <c r="A4" s="338">
        <v>1</v>
      </c>
      <c r="B4" s="255">
        <v>3</v>
      </c>
    </row>
    <row r="5" spans="1:2">
      <c r="A5" s="338">
        <v>1</v>
      </c>
      <c r="B5" s="255">
        <v>4</v>
      </c>
    </row>
    <row r="6" spans="1:2">
      <c r="A6" s="338">
        <v>1</v>
      </c>
      <c r="B6" s="255">
        <v>5</v>
      </c>
    </row>
    <row r="7" spans="1:2">
      <c r="A7" s="177">
        <v>2</v>
      </c>
      <c r="B7" s="178">
        <v>1</v>
      </c>
    </row>
    <row r="8" spans="1:2">
      <c r="A8" s="174">
        <v>2</v>
      </c>
      <c r="B8" s="179">
        <v>2</v>
      </c>
    </row>
    <row r="9" spans="1:2">
      <c r="A9" s="174">
        <v>2</v>
      </c>
      <c r="B9" s="179">
        <v>3</v>
      </c>
    </row>
    <row r="10" spans="1:2">
      <c r="A10" s="181">
        <v>3</v>
      </c>
      <c r="B10" s="178">
        <v>1</v>
      </c>
    </row>
    <row r="11" spans="1:2">
      <c r="A11" s="182">
        <v>3</v>
      </c>
      <c r="B11" s="179">
        <v>2</v>
      </c>
    </row>
    <row r="12" spans="1:2">
      <c r="A12" s="182">
        <v>3</v>
      </c>
      <c r="B12" s="179">
        <v>3</v>
      </c>
    </row>
    <row r="13" spans="1:2">
      <c r="A13" s="183">
        <v>3</v>
      </c>
      <c r="B13" s="180">
        <v>4</v>
      </c>
    </row>
    <row r="14" spans="1:2">
      <c r="A14" s="182">
        <v>4</v>
      </c>
      <c r="B14" s="179">
        <v>1</v>
      </c>
    </row>
    <row r="15" spans="1:2">
      <c r="A15" s="182">
        <v>4</v>
      </c>
      <c r="B15" s="179">
        <v>2</v>
      </c>
    </row>
    <row r="16" spans="1:2">
      <c r="A16" s="182">
        <v>4</v>
      </c>
      <c r="B16" s="179">
        <v>3</v>
      </c>
    </row>
    <row r="17" spans="1:22">
      <c r="A17" s="181">
        <v>5</v>
      </c>
      <c r="B17" s="178">
        <v>1</v>
      </c>
    </row>
    <row r="18" spans="1:22">
      <c r="A18" s="182">
        <v>5</v>
      </c>
      <c r="B18" s="179">
        <v>2</v>
      </c>
    </row>
    <row r="19" spans="1:22">
      <c r="A19" s="182">
        <v>5</v>
      </c>
      <c r="B19" s="179">
        <v>3</v>
      </c>
    </row>
    <row r="20" spans="1:22" ht="15.75" customHeight="1">
      <c r="A20" s="182">
        <v>5</v>
      </c>
      <c r="B20" s="179">
        <v>4</v>
      </c>
    </row>
    <row r="21" spans="1:22" ht="15.75" customHeight="1">
      <c r="A21" s="182">
        <v>5</v>
      </c>
      <c r="B21" s="179">
        <v>5</v>
      </c>
    </row>
    <row r="22" spans="1:22" ht="15.75" customHeight="1">
      <c r="A22" s="183">
        <v>5</v>
      </c>
      <c r="B22" s="180">
        <v>6</v>
      </c>
    </row>
    <row r="23" spans="1:22" ht="15.75" customHeight="1">
      <c r="A23" s="181">
        <v>6</v>
      </c>
      <c r="B23" s="178">
        <v>1</v>
      </c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</row>
    <row r="24" spans="1:22" ht="15.75" customHeight="1">
      <c r="A24" s="182">
        <v>6</v>
      </c>
      <c r="B24" s="179">
        <v>2</v>
      </c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</row>
    <row r="25" spans="1:22" ht="15.75" customHeight="1">
      <c r="A25" s="182">
        <v>6</v>
      </c>
      <c r="B25" s="179">
        <v>3</v>
      </c>
      <c r="C25" s="228"/>
      <c r="D25" s="228"/>
      <c r="E25" s="228"/>
      <c r="F25" s="228"/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</row>
    <row r="26" spans="1:22" ht="15.75" customHeight="1">
      <c r="A26" s="182">
        <v>6</v>
      </c>
      <c r="B26" s="179">
        <v>4</v>
      </c>
      <c r="C26" s="326"/>
      <c r="D26" s="32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</row>
    <row r="27" spans="1:22" ht="15.75" customHeight="1">
      <c r="A27" s="181">
        <v>7</v>
      </c>
      <c r="B27" s="178">
        <v>1</v>
      </c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</row>
    <row r="28" spans="1:22" ht="15.75" customHeight="1">
      <c r="A28" s="182">
        <v>7</v>
      </c>
      <c r="B28" s="179">
        <v>2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</row>
    <row r="29" spans="1:22" ht="15.75" customHeight="1">
      <c r="A29" s="181">
        <v>8</v>
      </c>
      <c r="B29" s="178">
        <v>1</v>
      </c>
      <c r="C29" s="373">
        <v>6.3556797020484099E-2</v>
      </c>
      <c r="D29" s="373">
        <v>6.5232774674115396E-2</v>
      </c>
      <c r="E29" s="373">
        <v>6.9329608938547393E-2</v>
      </c>
      <c r="F29" s="373">
        <v>7.0353817504655497E-2</v>
      </c>
      <c r="G29" s="373">
        <v>5.97392923649906E-2</v>
      </c>
      <c r="H29" s="373">
        <v>4.6424581005586503E-2</v>
      </c>
      <c r="I29" s="373">
        <v>4.4748603351955303E-2</v>
      </c>
      <c r="J29" s="373">
        <v>4.9124767225325799E-2</v>
      </c>
      <c r="K29" s="373">
        <v>5.6014897579143297E-2</v>
      </c>
      <c r="L29" s="373">
        <v>6.4394785847299796E-2</v>
      </c>
      <c r="M29" s="373">
        <v>7.3798882681564204E-2</v>
      </c>
      <c r="N29" s="373">
        <v>8.2085661080074396E-2</v>
      </c>
      <c r="O29" s="373">
        <v>8.7206703910614497E-2</v>
      </c>
      <c r="P29" s="373">
        <v>8.6741154562383599E-2</v>
      </c>
      <c r="Q29" s="297"/>
      <c r="R29" s="239"/>
      <c r="S29" s="239"/>
      <c r="T29" s="374"/>
      <c r="U29" s="374"/>
      <c r="V29" s="239"/>
    </row>
    <row r="30" spans="1:22" ht="15.75" customHeight="1">
      <c r="A30" s="182">
        <v>8</v>
      </c>
      <c r="B30" s="179">
        <v>2</v>
      </c>
      <c r="C30" s="375">
        <v>6.1135940409683398E-2</v>
      </c>
      <c r="D30" s="375">
        <v>6.3649906890130295E-2</v>
      </c>
      <c r="E30" s="375">
        <v>6.7374301675977605E-2</v>
      </c>
      <c r="F30" s="375">
        <v>6.8305400372439401E-2</v>
      </c>
      <c r="G30" s="375">
        <v>5.97392923649906E-2</v>
      </c>
      <c r="H30" s="375">
        <v>4.8379888268156403E-2</v>
      </c>
      <c r="I30" s="375">
        <v>4.7914338919925498E-2</v>
      </c>
      <c r="J30" s="375">
        <v>5.2383612662942197E-2</v>
      </c>
      <c r="K30" s="375">
        <v>5.7411545623836102E-2</v>
      </c>
      <c r="L30" s="375">
        <v>6.2253258845437601E-2</v>
      </c>
      <c r="M30" s="375">
        <v>6.8770949720670299E-2</v>
      </c>
      <c r="N30" s="375">
        <v>7.5102420856610799E-2</v>
      </c>
      <c r="O30" s="375">
        <v>8.2644320297951504E-2</v>
      </c>
      <c r="P30" s="375">
        <v>8.7579143389199199E-2</v>
      </c>
      <c r="Q30" s="295"/>
      <c r="R30" s="283"/>
      <c r="S30" s="283"/>
      <c r="T30" s="375"/>
      <c r="U30" s="375"/>
      <c r="V30" s="283"/>
    </row>
    <row r="31" spans="1:22" ht="15.75" customHeight="1">
      <c r="A31" s="182">
        <v>8</v>
      </c>
      <c r="B31" s="179">
        <v>3</v>
      </c>
      <c r="C31" s="374">
        <v>5.3035381750465502E-2</v>
      </c>
      <c r="D31" s="374">
        <v>5.4338919925512097E-2</v>
      </c>
      <c r="E31" s="374">
        <v>6.0763500931098599E-2</v>
      </c>
      <c r="F31" s="374">
        <v>6.58845437616387E-2</v>
      </c>
      <c r="G31" s="374">
        <v>6.3649906890130295E-2</v>
      </c>
      <c r="H31" s="374">
        <v>5.2942271880819299E-2</v>
      </c>
      <c r="I31" s="374">
        <v>5.0335195530726198E-2</v>
      </c>
      <c r="J31" s="374">
        <v>5.9459962756052101E-2</v>
      </c>
      <c r="K31" s="374">
        <v>6.8491620111731794E-2</v>
      </c>
      <c r="L31" s="374">
        <v>7.5940409683426399E-2</v>
      </c>
      <c r="M31" s="374">
        <v>8.4785847299813699E-2</v>
      </c>
      <c r="N31" s="374">
        <v>9.2979515828677806E-2</v>
      </c>
      <c r="O31" s="374">
        <v>0.100800744878957</v>
      </c>
      <c r="P31" s="374">
        <v>0.104432029795158</v>
      </c>
      <c r="Q31" s="297"/>
      <c r="R31" s="239"/>
      <c r="S31" s="374"/>
      <c r="T31" s="374"/>
      <c r="U31" s="376"/>
      <c r="V31" s="239"/>
    </row>
    <row r="32" spans="1:22" ht="15.75" customHeight="1">
      <c r="A32" s="182">
        <v>8</v>
      </c>
      <c r="B32" s="179">
        <v>4</v>
      </c>
      <c r="C32" s="375">
        <v>5.7411545623836102E-2</v>
      </c>
      <c r="D32" s="375">
        <v>5.9553072625698297E-2</v>
      </c>
      <c r="E32" s="375">
        <v>6.4860335195530694E-2</v>
      </c>
      <c r="F32" s="375">
        <v>6.6163873370577206E-2</v>
      </c>
      <c r="G32" s="375">
        <v>6.0856610800744802E-2</v>
      </c>
      <c r="H32" s="375">
        <v>5.24767225325884E-2</v>
      </c>
      <c r="I32" s="375">
        <v>4.7355679702048403E-2</v>
      </c>
      <c r="J32" s="375">
        <v>4.5214152700186201E-2</v>
      </c>
      <c r="K32" s="375">
        <v>4.6052141527001801E-2</v>
      </c>
      <c r="L32" s="375">
        <v>5.1731843575418997E-2</v>
      </c>
      <c r="M32" s="375">
        <v>6.2625698324022303E-2</v>
      </c>
      <c r="N32" s="375">
        <v>7.6033519553072595E-2</v>
      </c>
      <c r="O32" s="375">
        <v>8.9348230912476706E-2</v>
      </c>
      <c r="P32" s="375">
        <v>9.5493482309124703E-2</v>
      </c>
      <c r="Q32" s="295"/>
      <c r="R32" s="283"/>
      <c r="S32" s="377"/>
      <c r="T32" s="377"/>
      <c r="U32" s="377"/>
      <c r="V32" s="283"/>
    </row>
    <row r="33" spans="1:22" ht="15.75" customHeight="1">
      <c r="A33" s="181">
        <v>9</v>
      </c>
      <c r="B33" s="178">
        <v>1</v>
      </c>
      <c r="C33" s="373">
        <v>0.101851851851851</v>
      </c>
      <c r="D33" s="373">
        <v>0.103988603988603</v>
      </c>
      <c r="E33" s="373">
        <v>0.106837606837606</v>
      </c>
      <c r="F33" s="373">
        <v>0.10933048433048401</v>
      </c>
      <c r="G33" s="373">
        <v>0.115384615384615</v>
      </c>
      <c r="H33" s="373">
        <v>0.15527065527065501</v>
      </c>
      <c r="I33" s="373">
        <v>0.19871794871794801</v>
      </c>
      <c r="J33" s="373">
        <v>0.161324786324786</v>
      </c>
      <c r="K33" s="373">
        <v>0.11502849002849</v>
      </c>
      <c r="L33" s="373">
        <v>8.26210826210826E-2</v>
      </c>
      <c r="M33" s="373">
        <v>8.0840455840455794E-2</v>
      </c>
      <c r="N33" s="373">
        <v>8.5826210826210794E-2</v>
      </c>
      <c r="O33" s="373">
        <v>9.3304843304843302E-2</v>
      </c>
      <c r="P33" s="373">
        <v>0.107905982905982</v>
      </c>
      <c r="Q33" s="378"/>
      <c r="R33" s="379"/>
      <c r="S33" s="380"/>
      <c r="T33" s="380"/>
      <c r="U33" s="228"/>
      <c r="V33" s="228"/>
    </row>
    <row r="34" spans="1:22" ht="15.75" customHeight="1">
      <c r="A34" s="182">
        <v>9</v>
      </c>
      <c r="B34" s="179">
        <v>2</v>
      </c>
      <c r="C34" s="375">
        <v>2.02991452991453E-2</v>
      </c>
      <c r="D34" s="375">
        <v>1.9943019943019901E-2</v>
      </c>
      <c r="E34" s="375">
        <v>2.2792022792022699E-2</v>
      </c>
      <c r="F34" s="375">
        <v>2.3860398860398799E-2</v>
      </c>
      <c r="G34" s="375">
        <v>3.5612535612535599E-2</v>
      </c>
      <c r="H34" s="375">
        <v>7.6566951566951494E-2</v>
      </c>
      <c r="I34" s="375">
        <v>0.144943019943019</v>
      </c>
      <c r="J34" s="375">
        <v>0.12606837606837601</v>
      </c>
      <c r="K34" s="375">
        <v>8.7606837606837601E-2</v>
      </c>
      <c r="L34" s="375">
        <v>5.2350427350427303E-2</v>
      </c>
      <c r="M34" s="375">
        <v>5.2350427350427303E-2</v>
      </c>
      <c r="N34" s="375">
        <v>6.4458689458689405E-2</v>
      </c>
      <c r="O34" s="375">
        <v>7.3717948717948706E-2</v>
      </c>
      <c r="P34" s="375">
        <v>8.5113960113960094E-2</v>
      </c>
      <c r="Q34" s="295"/>
      <c r="R34" s="283"/>
      <c r="S34" s="377"/>
      <c r="T34" s="377"/>
      <c r="U34" s="283"/>
      <c r="V34" s="283"/>
    </row>
    <row r="35" spans="1:22" ht="15.75" customHeight="1">
      <c r="A35" s="182">
        <v>9</v>
      </c>
      <c r="B35" s="179">
        <v>3</v>
      </c>
      <c r="C35" s="374">
        <v>6.4102564102564097E-2</v>
      </c>
      <c r="D35" s="374">
        <v>6.1965811965811898E-2</v>
      </c>
      <c r="E35" s="374">
        <v>6.2678062678062599E-2</v>
      </c>
      <c r="F35" s="374">
        <v>6.3390313390313396E-2</v>
      </c>
      <c r="G35" s="374">
        <v>7.2293447293447194E-2</v>
      </c>
      <c r="H35" s="374">
        <v>0.113960113960113</v>
      </c>
      <c r="I35" s="374">
        <v>0.187678062678062</v>
      </c>
      <c r="J35" s="374">
        <v>0.17236467236467201</v>
      </c>
      <c r="K35" s="374">
        <v>0.12678062678062599</v>
      </c>
      <c r="L35" s="374">
        <v>9.9358974358974297E-2</v>
      </c>
      <c r="M35" s="374">
        <v>9.7578347578347505E-2</v>
      </c>
      <c r="N35" s="374">
        <v>0.102207977207977</v>
      </c>
      <c r="O35" s="374">
        <v>0.112179487179487</v>
      </c>
      <c r="P35" s="374">
        <v>0.12250712250712199</v>
      </c>
      <c r="Q35" s="297"/>
      <c r="R35" s="239"/>
      <c r="S35" s="376"/>
      <c r="T35" s="376"/>
      <c r="U35" s="239"/>
      <c r="V35" s="239"/>
    </row>
    <row r="36" spans="1:22" ht="15.75" customHeight="1">
      <c r="A36" s="182">
        <v>9</v>
      </c>
      <c r="B36" s="179">
        <v>4</v>
      </c>
      <c r="C36" s="375">
        <v>5.5199430199430202E-2</v>
      </c>
      <c r="D36" s="375">
        <v>5.6267806267806197E-2</v>
      </c>
      <c r="E36" s="375">
        <v>5.5555555555555497E-2</v>
      </c>
      <c r="F36" s="375">
        <v>5.9472934472934398E-2</v>
      </c>
      <c r="G36" s="375">
        <v>7.1581196581196493E-2</v>
      </c>
      <c r="H36" s="375">
        <v>0.112891737891737</v>
      </c>
      <c r="I36" s="375">
        <v>0.187321937321937</v>
      </c>
      <c r="J36" s="375">
        <v>0.17236467236467201</v>
      </c>
      <c r="K36" s="375">
        <v>0.12749287749287699</v>
      </c>
      <c r="L36" s="375">
        <v>9.5085470085470095E-2</v>
      </c>
      <c r="M36" s="375">
        <v>9.1168091168091103E-2</v>
      </c>
      <c r="N36" s="375">
        <v>0.119658119658119</v>
      </c>
      <c r="O36" s="375">
        <v>0.15242165242165201</v>
      </c>
      <c r="P36" s="349"/>
      <c r="Q36" s="283"/>
      <c r="R36" s="283"/>
      <c r="S36" s="377"/>
      <c r="T36" s="377"/>
      <c r="U36" s="283"/>
      <c r="V36" s="283"/>
    </row>
    <row r="37" spans="1:22" ht="15.75" customHeight="1">
      <c r="A37" s="181">
        <v>11</v>
      </c>
      <c r="B37" s="178" t="s">
        <v>220</v>
      </c>
      <c r="C37" s="216"/>
      <c r="D37" s="373"/>
      <c r="E37" s="373"/>
      <c r="F37" s="373"/>
      <c r="G37" s="373"/>
      <c r="H37" s="216"/>
      <c r="I37" s="216"/>
      <c r="J37" s="373"/>
      <c r="K37" s="373"/>
      <c r="L37" s="373"/>
      <c r="M37" s="216"/>
      <c r="N37" s="216"/>
      <c r="O37" s="216"/>
      <c r="P37" s="216"/>
      <c r="Q37" s="216"/>
      <c r="R37" s="239"/>
      <c r="S37" s="376"/>
      <c r="T37" s="376"/>
      <c r="U37" s="239"/>
      <c r="V37" s="239"/>
    </row>
    <row r="38" spans="1:22" ht="15.75" customHeight="1">
      <c r="A38" s="182">
        <v>11</v>
      </c>
      <c r="B38" s="179" t="s">
        <v>221</v>
      </c>
      <c r="C38" s="283"/>
      <c r="D38" s="375"/>
      <c r="E38" s="375"/>
      <c r="F38" s="375"/>
      <c r="G38" s="375"/>
      <c r="H38" s="283"/>
      <c r="I38" s="283"/>
      <c r="J38" s="375"/>
      <c r="K38" s="375"/>
      <c r="L38" s="375"/>
      <c r="M38" s="283"/>
      <c r="N38" s="283"/>
      <c r="O38" s="283"/>
      <c r="P38" s="283"/>
      <c r="Q38" s="283"/>
      <c r="R38" s="283"/>
      <c r="S38" s="377"/>
      <c r="T38" s="377"/>
      <c r="U38" s="283"/>
      <c r="V38" s="283"/>
    </row>
    <row r="39" spans="1:22" ht="15.75" customHeight="1">
      <c r="A39" s="182">
        <v>11</v>
      </c>
      <c r="B39" s="179" t="s">
        <v>222</v>
      </c>
      <c r="C39" s="239"/>
      <c r="D39" s="374"/>
      <c r="E39" s="374"/>
      <c r="F39" s="374"/>
      <c r="G39" s="374"/>
      <c r="H39" s="239"/>
      <c r="I39" s="239"/>
      <c r="J39" s="374"/>
      <c r="K39" s="374"/>
      <c r="L39" s="374"/>
      <c r="M39" s="239"/>
      <c r="N39" s="239"/>
      <c r="O39" s="239"/>
      <c r="P39" s="239"/>
      <c r="Q39" s="239"/>
      <c r="R39" s="239"/>
      <c r="S39" s="376"/>
      <c r="T39" s="376"/>
      <c r="U39" s="239"/>
      <c r="V39" s="239"/>
    </row>
    <row r="40" spans="1:22" ht="15.75" customHeight="1">
      <c r="A40" s="182">
        <v>11</v>
      </c>
      <c r="B40" s="179" t="s">
        <v>223</v>
      </c>
      <c r="C40" s="283"/>
      <c r="D40" s="375"/>
      <c r="E40" s="375"/>
      <c r="F40" s="375"/>
      <c r="G40" s="375"/>
      <c r="H40" s="283"/>
      <c r="I40" s="283"/>
      <c r="J40" s="375"/>
      <c r="K40" s="375"/>
      <c r="L40" s="375"/>
      <c r="M40" s="283"/>
      <c r="N40" s="283"/>
      <c r="O40" s="283"/>
      <c r="P40" s="283"/>
      <c r="Q40" s="283"/>
      <c r="R40" s="283"/>
      <c r="S40" s="377"/>
      <c r="T40" s="377"/>
      <c r="U40" s="283"/>
      <c r="V40" s="283"/>
    </row>
    <row r="41" spans="1:22" ht="15.75" customHeight="1">
      <c r="A41" s="181">
        <v>11</v>
      </c>
      <c r="B41" s="178" t="s">
        <v>224</v>
      </c>
      <c r="C41" s="373">
        <v>1.37042459736456E-2</v>
      </c>
      <c r="D41" s="373">
        <v>1.55490483162518E-2</v>
      </c>
      <c r="E41" s="373">
        <v>2.0029282576866699E-2</v>
      </c>
      <c r="F41" s="373">
        <v>2.5036603221083399E-2</v>
      </c>
      <c r="G41" s="373">
        <v>2.47730600292825E-2</v>
      </c>
      <c r="H41" s="373">
        <v>2.1610541727672E-2</v>
      </c>
      <c r="I41" s="373">
        <v>2.2137628111273702E-2</v>
      </c>
      <c r="J41" s="373">
        <v>2.95168374816983E-2</v>
      </c>
      <c r="K41" s="373">
        <v>4.9546120058565103E-2</v>
      </c>
      <c r="L41" s="373">
        <v>7.8799414348462604E-2</v>
      </c>
      <c r="M41" s="373">
        <v>9.9092240117130304E-2</v>
      </c>
      <c r="N41" s="373">
        <v>0.109370424597364</v>
      </c>
      <c r="O41" s="373">
        <v>0.115168374816983</v>
      </c>
      <c r="P41" s="297"/>
      <c r="Q41" s="239"/>
      <c r="R41" s="239"/>
      <c r="S41" s="376"/>
      <c r="T41" s="376"/>
      <c r="U41" s="239"/>
      <c r="V41" s="239"/>
    </row>
    <row r="42" spans="1:22" ht="15.75" customHeight="1">
      <c r="A42" s="182">
        <v>11</v>
      </c>
      <c r="B42" s="179" t="s">
        <v>225</v>
      </c>
      <c r="C42" s="375">
        <v>1.5285505124450901E-2</v>
      </c>
      <c r="D42" s="375">
        <v>1.9502196193265001E-2</v>
      </c>
      <c r="E42" s="375">
        <v>2.4509516837481701E-2</v>
      </c>
      <c r="F42" s="375">
        <v>3.2942898975109797E-2</v>
      </c>
      <c r="G42" s="375">
        <v>3.3733528550512398E-2</v>
      </c>
      <c r="H42" s="375">
        <v>3.3469985358711499E-2</v>
      </c>
      <c r="I42" s="375">
        <v>3.4787701317715899E-2</v>
      </c>
      <c r="J42" s="375">
        <v>4.2957540263543197E-2</v>
      </c>
      <c r="K42" s="375">
        <v>6.5622254758418694E-2</v>
      </c>
      <c r="L42" s="375">
        <v>8.9604685212298599E-2</v>
      </c>
      <c r="M42" s="375">
        <v>0.106734992679355</v>
      </c>
      <c r="N42" s="375">
        <v>0.11701317715959</v>
      </c>
      <c r="O42" s="375">
        <v>0.119385065885797</v>
      </c>
      <c r="P42" s="295"/>
      <c r="Q42" s="283"/>
      <c r="R42" s="283"/>
      <c r="S42" s="377"/>
      <c r="T42" s="377"/>
      <c r="U42" s="283"/>
      <c r="V42" s="283"/>
    </row>
    <row r="43" spans="1:22" ht="15.75" customHeight="1">
      <c r="A43" s="182">
        <v>11</v>
      </c>
      <c r="B43" s="179" t="s">
        <v>226</v>
      </c>
      <c r="C43" s="374">
        <v>1.5021961932649999E-2</v>
      </c>
      <c r="D43" s="374">
        <v>1.8711566617862298E-2</v>
      </c>
      <c r="E43" s="374">
        <v>2.3718887262078998E-2</v>
      </c>
      <c r="F43" s="374">
        <v>3.1625183016105403E-2</v>
      </c>
      <c r="G43" s="374">
        <v>3.0043923865300099E-2</v>
      </c>
      <c r="H43" s="374">
        <v>2.8199121522694E-2</v>
      </c>
      <c r="I43" s="374">
        <v>2.95168374816983E-2</v>
      </c>
      <c r="J43" s="374">
        <v>3.8740849194729102E-2</v>
      </c>
      <c r="K43" s="374">
        <v>6.4831625183016106E-2</v>
      </c>
      <c r="L43" s="374">
        <v>8.8814055636895997E-2</v>
      </c>
      <c r="M43" s="374">
        <v>0.105680819912152</v>
      </c>
      <c r="N43" s="374">
        <v>0.115431918008784</v>
      </c>
      <c r="O43" s="374">
        <v>0.117540263543191</v>
      </c>
      <c r="P43" s="297"/>
      <c r="Q43" s="239"/>
      <c r="R43" s="239"/>
      <c r="S43" s="376"/>
      <c r="T43" s="376"/>
      <c r="U43" s="239"/>
      <c r="V43" s="239"/>
    </row>
    <row r="44" spans="1:22" ht="15.75" customHeight="1">
      <c r="A44" s="182">
        <v>11</v>
      </c>
      <c r="B44" s="179" t="s">
        <v>227</v>
      </c>
      <c r="C44" s="375">
        <v>2.1610541727672E-2</v>
      </c>
      <c r="D44" s="375">
        <v>2.4245973645680801E-2</v>
      </c>
      <c r="E44" s="375">
        <v>3.0834553440702701E-2</v>
      </c>
      <c r="F44" s="375">
        <v>3.9795021961932603E-2</v>
      </c>
      <c r="G44" s="375">
        <v>4.2693997071742297E-2</v>
      </c>
      <c r="H44" s="375">
        <v>4.8491947291361602E-2</v>
      </c>
      <c r="I44" s="375">
        <v>5.8243045387994102E-2</v>
      </c>
      <c r="J44" s="375">
        <v>6.9838945827232796E-2</v>
      </c>
      <c r="K44" s="375">
        <v>9.8301610541727605E-2</v>
      </c>
      <c r="L44" s="375">
        <v>0.12017569546119999</v>
      </c>
      <c r="M44" s="375">
        <v>0.130980966325036</v>
      </c>
      <c r="N44" s="375">
        <v>0.140204978038067</v>
      </c>
      <c r="O44" s="375">
        <v>0.14442166910688101</v>
      </c>
      <c r="P44" s="295"/>
      <c r="Q44" s="283"/>
      <c r="R44" s="283"/>
      <c r="S44" s="377"/>
      <c r="T44" s="377"/>
      <c r="U44" s="283"/>
      <c r="V44" s="283"/>
    </row>
    <row r="45" spans="1:22" ht="15.75" customHeight="1">
      <c r="A45" s="181">
        <v>12</v>
      </c>
      <c r="B45" s="178" t="s">
        <v>220</v>
      </c>
      <c r="C45" s="373"/>
      <c r="D45" s="373"/>
      <c r="E45" s="373"/>
      <c r="F45" s="373"/>
      <c r="G45" s="373"/>
      <c r="H45" s="216"/>
      <c r="I45" s="216"/>
      <c r="J45" s="373"/>
      <c r="K45" s="373"/>
      <c r="L45" s="373"/>
      <c r="M45" s="373"/>
      <c r="N45" s="373"/>
      <c r="O45" s="216"/>
      <c r="P45" s="239"/>
      <c r="Q45" s="239"/>
      <c r="R45" s="239"/>
      <c r="S45" s="239"/>
      <c r="T45" s="239"/>
      <c r="U45" s="239"/>
      <c r="V45" s="239"/>
    </row>
    <row r="46" spans="1:22" ht="15.75" customHeight="1">
      <c r="A46" s="182">
        <v>12</v>
      </c>
      <c r="B46" s="179" t="s">
        <v>221</v>
      </c>
      <c r="C46" s="375"/>
      <c r="D46" s="313"/>
      <c r="E46" s="375"/>
      <c r="F46" s="375"/>
      <c r="G46" s="375"/>
      <c r="H46" s="283"/>
      <c r="I46" s="283"/>
      <c r="J46" s="375"/>
      <c r="K46" s="375"/>
      <c r="L46" s="375"/>
      <c r="M46" s="375"/>
      <c r="N46" s="375"/>
      <c r="O46" s="283"/>
      <c r="P46" s="283"/>
      <c r="Q46" s="283"/>
      <c r="R46" s="283"/>
      <c r="S46" s="283"/>
      <c r="T46" s="283"/>
      <c r="U46" s="283"/>
      <c r="V46" s="283"/>
    </row>
    <row r="47" spans="1:22" ht="15.75" customHeight="1">
      <c r="A47" s="182">
        <v>12</v>
      </c>
      <c r="B47" s="179" t="s">
        <v>222</v>
      </c>
      <c r="C47" s="374"/>
      <c r="D47" s="374"/>
      <c r="E47" s="239"/>
      <c r="F47" s="239"/>
      <c r="G47" s="239"/>
      <c r="H47" s="239"/>
      <c r="I47" s="239"/>
      <c r="J47" s="239"/>
      <c r="K47" s="239"/>
      <c r="L47" s="239"/>
      <c r="M47" s="374"/>
      <c r="N47" s="374"/>
      <c r="O47" s="239"/>
      <c r="P47" s="239"/>
      <c r="Q47" s="239"/>
      <c r="R47" s="239"/>
      <c r="S47" s="239"/>
      <c r="T47" s="239"/>
      <c r="U47" s="239"/>
      <c r="V47" s="239"/>
    </row>
    <row r="48" spans="1:22" ht="15.75" customHeight="1">
      <c r="A48" s="182">
        <v>12</v>
      </c>
      <c r="B48" s="179" t="s">
        <v>223</v>
      </c>
      <c r="C48" s="375"/>
      <c r="D48" s="375"/>
      <c r="E48" s="283"/>
      <c r="F48" s="283"/>
      <c r="G48" s="283"/>
      <c r="H48" s="283"/>
      <c r="I48" s="283"/>
      <c r="J48" s="283"/>
      <c r="K48" s="283"/>
      <c r="L48" s="283"/>
      <c r="M48" s="375"/>
      <c r="N48" s="375"/>
      <c r="O48" s="375"/>
      <c r="P48" s="283"/>
      <c r="Q48" s="283"/>
      <c r="R48" s="283"/>
      <c r="S48" s="283"/>
      <c r="T48" s="375"/>
      <c r="U48" s="375"/>
      <c r="V48" s="283"/>
    </row>
    <row r="49" spans="1:22" ht="15.75" customHeight="1">
      <c r="A49" s="182">
        <v>12</v>
      </c>
      <c r="B49" s="179" t="s">
        <v>228</v>
      </c>
      <c r="C49" s="374"/>
      <c r="D49" s="374"/>
      <c r="E49" s="239"/>
      <c r="F49" s="239"/>
      <c r="G49" s="239"/>
      <c r="H49" s="239"/>
      <c r="I49" s="239"/>
      <c r="J49" s="239"/>
      <c r="K49" s="239"/>
      <c r="L49" s="239"/>
      <c r="M49" s="374"/>
      <c r="N49" s="374"/>
      <c r="O49" s="374"/>
      <c r="P49" s="239"/>
      <c r="Q49" s="239"/>
      <c r="R49" s="239"/>
      <c r="S49" s="239"/>
      <c r="T49" s="374"/>
      <c r="U49" s="374"/>
      <c r="V49" s="239"/>
    </row>
    <row r="50" spans="1:22" ht="15.75" customHeight="1">
      <c r="A50" s="177">
        <v>12</v>
      </c>
      <c r="B50" s="178" t="s">
        <v>224</v>
      </c>
      <c r="C50" s="381">
        <v>1.46125515014933E-2</v>
      </c>
      <c r="D50" s="381">
        <v>1.59409445436965E-2</v>
      </c>
      <c r="E50" s="381">
        <v>1.99261996827255E-2</v>
      </c>
      <c r="F50" s="381">
        <v>4.7490760708012003E-2</v>
      </c>
      <c r="G50" s="381">
        <v>6.1771213948954601E-2</v>
      </c>
      <c r="H50" s="381">
        <v>5.0811793988466199E-2</v>
      </c>
      <c r="I50" s="381">
        <v>8.8339480192588707E-2</v>
      </c>
      <c r="J50" s="140">
        <v>0.11457564817567201</v>
      </c>
      <c r="K50" s="283"/>
      <c r="L50" s="283"/>
      <c r="M50" s="375"/>
      <c r="N50" s="375"/>
      <c r="O50" s="375"/>
      <c r="P50" s="283"/>
      <c r="Q50" s="283"/>
      <c r="R50" s="283"/>
      <c r="S50" s="283"/>
      <c r="T50" s="375"/>
      <c r="U50" s="375"/>
      <c r="V50" s="283"/>
    </row>
    <row r="51" spans="1:22" ht="15.75" customHeight="1">
      <c r="A51" s="174">
        <v>12</v>
      </c>
      <c r="B51" s="179" t="s">
        <v>225</v>
      </c>
      <c r="C51" s="374">
        <v>1.8265683042498398E-2</v>
      </c>
      <c r="D51" s="374">
        <v>1.6937264662821999E-2</v>
      </c>
      <c r="E51" s="374">
        <v>2.3579331223730501E-2</v>
      </c>
      <c r="F51" s="374">
        <v>7.7047974640286093E-2</v>
      </c>
      <c r="G51" s="374">
        <v>5.2472310628693397E-2</v>
      </c>
      <c r="H51" s="374">
        <v>5.3136532487268101E-2</v>
      </c>
      <c r="I51" s="374">
        <v>8.5682630764499404E-2</v>
      </c>
      <c r="J51" s="141">
        <v>0.11889298890651499</v>
      </c>
      <c r="K51" s="239"/>
      <c r="L51" s="239"/>
      <c r="M51" s="374"/>
      <c r="N51" s="374"/>
      <c r="O51" s="374"/>
      <c r="P51" s="239"/>
      <c r="Q51" s="239"/>
      <c r="R51" s="239"/>
      <c r="S51" s="239"/>
      <c r="T51" s="374"/>
      <c r="U51" s="374"/>
      <c r="V51" s="239"/>
    </row>
    <row r="52" spans="1:22" ht="15.75" customHeight="1">
      <c r="A52" s="174">
        <v>12</v>
      </c>
      <c r="B52" s="179" t="s">
        <v>226</v>
      </c>
      <c r="C52" s="375">
        <v>1.52767480225949E-2</v>
      </c>
      <c r="D52" s="375">
        <v>1.29520348612662E-2</v>
      </c>
      <c r="E52" s="375">
        <v>2.5571946124508499E-2</v>
      </c>
      <c r="F52" s="375">
        <v>9.4649448492946403E-2</v>
      </c>
      <c r="G52" s="375">
        <v>5.44649508669445E-2</v>
      </c>
      <c r="H52" s="375">
        <v>5.34686307478189E-2</v>
      </c>
      <c r="I52" s="375">
        <v>8.5018446912134393E-2</v>
      </c>
      <c r="J52" s="142">
        <v>0.113579340725283</v>
      </c>
      <c r="K52" s="283"/>
      <c r="L52" s="283"/>
      <c r="M52" s="375"/>
      <c r="N52" s="375"/>
      <c r="O52" s="375"/>
      <c r="P52" s="283"/>
      <c r="Q52" s="283"/>
      <c r="R52" s="283"/>
      <c r="S52" s="283"/>
      <c r="T52" s="375"/>
      <c r="U52" s="375"/>
      <c r="V52" s="283"/>
    </row>
    <row r="53" spans="1:22" ht="15.75" customHeight="1">
      <c r="A53" s="174">
        <v>12</v>
      </c>
      <c r="B53" s="179" t="s">
        <v>227</v>
      </c>
      <c r="C53" s="374">
        <v>1.59409445436965E-2</v>
      </c>
      <c r="D53" s="374">
        <v>1.4944649762044101E-2</v>
      </c>
      <c r="E53" s="374">
        <v>1.99261996827255E-2</v>
      </c>
      <c r="F53" s="374">
        <v>5.34686307478189E-2</v>
      </c>
      <c r="G53" s="374">
        <v>5.67896640282732E-2</v>
      </c>
      <c r="H53" s="374">
        <v>5.04796957279154E-2</v>
      </c>
      <c r="I53" s="374">
        <v>8.9003664044953704E-2</v>
      </c>
      <c r="J53" s="141">
        <v>0.13682657368846199</v>
      </c>
      <c r="K53" s="239"/>
      <c r="L53" s="239"/>
      <c r="M53" s="374"/>
      <c r="N53" s="374"/>
      <c r="O53" s="374"/>
      <c r="P53" s="239"/>
      <c r="Q53" s="374"/>
      <c r="R53" s="374"/>
      <c r="S53" s="239"/>
      <c r="T53" s="374"/>
      <c r="U53" s="374"/>
      <c r="V53" s="239"/>
    </row>
    <row r="54" spans="1:22" ht="15.75" customHeight="1">
      <c r="A54" s="175">
        <v>12</v>
      </c>
      <c r="B54" s="180" t="s">
        <v>229</v>
      </c>
      <c r="C54" s="382">
        <v>1.1623616481589801E-2</v>
      </c>
      <c r="D54" s="382">
        <v>1.5608846283145799E-2</v>
      </c>
      <c r="E54" s="382">
        <v>2.5904044385059301E-2</v>
      </c>
      <c r="F54" s="382">
        <v>8.4022114124272296E-2</v>
      </c>
      <c r="G54" s="382">
        <v>5.67896640282732E-2</v>
      </c>
      <c r="H54" s="382">
        <v>5.1476015847041E-2</v>
      </c>
      <c r="I54" s="382">
        <v>8.3025832011356507E-2</v>
      </c>
      <c r="J54" s="143">
        <v>0.12752767036820101</v>
      </c>
      <c r="K54" s="283"/>
      <c r="L54" s="283"/>
      <c r="M54" s="375"/>
      <c r="N54" s="375"/>
      <c r="O54" s="375"/>
      <c r="P54" s="283"/>
      <c r="Q54" s="375"/>
      <c r="R54" s="375"/>
      <c r="S54" s="283"/>
      <c r="T54" s="375"/>
      <c r="U54" s="375"/>
      <c r="V54" s="283"/>
    </row>
    <row r="55" spans="1:22" ht="15.75" customHeight="1">
      <c r="A55" s="182">
        <v>13</v>
      </c>
      <c r="B55" s="179">
        <v>1</v>
      </c>
      <c r="C55" s="374"/>
      <c r="D55" s="374"/>
      <c r="E55" s="239"/>
      <c r="F55" s="239"/>
      <c r="G55" s="239"/>
      <c r="H55" s="239"/>
      <c r="I55" s="239"/>
      <c r="J55" s="239"/>
      <c r="K55" s="239"/>
      <c r="L55" s="239"/>
      <c r="M55" s="374"/>
      <c r="N55" s="374"/>
      <c r="O55" s="374"/>
      <c r="P55" s="239"/>
      <c r="Q55" s="374"/>
      <c r="R55" s="374"/>
      <c r="S55" s="239"/>
      <c r="T55" s="374"/>
      <c r="U55" s="374"/>
      <c r="V55" s="239"/>
    </row>
    <row r="56" spans="1:22" ht="15.75" customHeight="1">
      <c r="A56" s="182">
        <v>13</v>
      </c>
      <c r="B56" s="179">
        <v>2</v>
      </c>
      <c r="C56" s="313"/>
      <c r="D56" s="375"/>
      <c r="E56" s="375"/>
      <c r="F56" s="283"/>
      <c r="G56" s="283"/>
      <c r="H56" s="283"/>
      <c r="I56" s="283"/>
      <c r="J56" s="283"/>
      <c r="K56" s="283"/>
      <c r="L56" s="283"/>
      <c r="M56" s="375"/>
      <c r="N56" s="375"/>
      <c r="O56" s="375"/>
      <c r="P56" s="283"/>
      <c r="Q56" s="375"/>
      <c r="R56" s="375"/>
      <c r="S56" s="283"/>
      <c r="T56" s="375"/>
      <c r="U56" s="375"/>
      <c r="V56" s="283"/>
    </row>
    <row r="57" spans="1:22" ht="15.75" customHeight="1">
      <c r="A57" s="182">
        <v>13</v>
      </c>
      <c r="B57" s="179">
        <v>3</v>
      </c>
      <c r="C57" s="315"/>
      <c r="D57" s="374"/>
      <c r="E57" s="374"/>
      <c r="F57" s="239"/>
      <c r="G57" s="374"/>
      <c r="H57" s="374"/>
      <c r="I57" s="239"/>
      <c r="J57" s="239"/>
      <c r="K57" s="239"/>
      <c r="L57" s="239"/>
      <c r="M57" s="239"/>
      <c r="N57" s="374"/>
      <c r="O57" s="374"/>
      <c r="P57" s="239"/>
      <c r="Q57" s="374"/>
      <c r="R57" s="374"/>
      <c r="S57" s="239"/>
      <c r="T57" s="374"/>
      <c r="U57" s="374"/>
      <c r="V57" s="239"/>
    </row>
    <row r="58" spans="1:22" ht="15.75" customHeight="1">
      <c r="A58" s="182">
        <v>13</v>
      </c>
      <c r="B58" s="179">
        <v>4</v>
      </c>
      <c r="C58" s="313"/>
      <c r="D58" s="375"/>
      <c r="E58" s="375"/>
      <c r="F58" s="283"/>
      <c r="G58" s="375"/>
      <c r="H58" s="375"/>
      <c r="I58" s="283"/>
      <c r="J58" s="283"/>
      <c r="K58" s="283"/>
      <c r="L58" s="283"/>
      <c r="M58" s="283"/>
      <c r="N58" s="375"/>
      <c r="O58" s="375"/>
      <c r="P58" s="283"/>
      <c r="Q58" s="375"/>
      <c r="R58" s="375"/>
      <c r="S58" s="283"/>
      <c r="T58" s="375"/>
      <c r="U58" s="375"/>
      <c r="V58" s="283"/>
    </row>
    <row r="59" spans="1:22" ht="15.75" customHeight="1">
      <c r="A59" s="182">
        <v>13</v>
      </c>
      <c r="B59" s="179">
        <v>5</v>
      </c>
      <c r="C59" s="315"/>
      <c r="D59" s="374"/>
      <c r="E59" s="374"/>
      <c r="F59" s="239"/>
      <c r="G59" s="374"/>
      <c r="H59" s="374"/>
      <c r="I59" s="239"/>
      <c r="J59" s="239"/>
      <c r="K59" s="239"/>
      <c r="L59" s="239"/>
      <c r="M59" s="239"/>
      <c r="N59" s="374"/>
      <c r="O59" s="374"/>
      <c r="P59" s="239"/>
      <c r="Q59" s="374"/>
      <c r="R59" s="374"/>
      <c r="S59" s="239"/>
      <c r="T59" s="374"/>
      <c r="U59" s="374"/>
      <c r="V59" s="239"/>
    </row>
    <row r="60" spans="1:22" ht="15.75" customHeight="1">
      <c r="A60" s="182">
        <v>13</v>
      </c>
      <c r="B60" s="179">
        <v>6</v>
      </c>
      <c r="C60" s="283"/>
      <c r="D60" s="375"/>
      <c r="E60" s="375"/>
      <c r="F60" s="283"/>
      <c r="G60" s="375"/>
      <c r="H60" s="375"/>
      <c r="I60" s="283"/>
      <c r="J60" s="283"/>
      <c r="K60" s="283"/>
      <c r="L60" s="283"/>
      <c r="M60" s="283"/>
      <c r="N60" s="375"/>
      <c r="O60" s="375"/>
      <c r="P60" s="283"/>
      <c r="Q60" s="375"/>
      <c r="R60" s="375"/>
      <c r="S60" s="283"/>
      <c r="T60" s="375"/>
      <c r="U60" s="375"/>
      <c r="V60" s="283"/>
    </row>
    <row r="61" spans="1:22" ht="15.75" customHeight="1">
      <c r="A61" s="182">
        <v>13</v>
      </c>
      <c r="B61" s="179">
        <v>7</v>
      </c>
      <c r="C61" s="239"/>
      <c r="D61" s="374"/>
      <c r="E61" s="374"/>
      <c r="F61" s="239"/>
      <c r="G61" s="374"/>
      <c r="H61" s="374"/>
      <c r="I61" s="239"/>
      <c r="J61" s="239"/>
      <c r="K61" s="239"/>
      <c r="L61" s="239"/>
      <c r="M61" s="239"/>
      <c r="N61" s="374"/>
      <c r="O61" s="374"/>
      <c r="P61" s="239"/>
      <c r="Q61" s="374"/>
      <c r="R61" s="374"/>
      <c r="S61" s="239"/>
      <c r="T61" s="374"/>
      <c r="U61" s="374"/>
      <c r="V61" s="239"/>
    </row>
    <row r="62" spans="1:22" ht="15.75" customHeight="1">
      <c r="A62" s="182">
        <v>13</v>
      </c>
      <c r="B62" s="179">
        <v>8</v>
      </c>
      <c r="C62" s="283"/>
      <c r="D62" s="375"/>
      <c r="E62" s="375"/>
      <c r="F62" s="283"/>
      <c r="G62" s="375"/>
      <c r="H62" s="375"/>
      <c r="I62" s="283"/>
      <c r="J62" s="283"/>
      <c r="K62" s="283"/>
      <c r="L62" s="283"/>
      <c r="M62" s="283"/>
      <c r="N62" s="283"/>
      <c r="O62" s="283"/>
      <c r="P62" s="283"/>
      <c r="Q62" s="375"/>
      <c r="R62" s="375"/>
      <c r="S62" s="283"/>
      <c r="T62" s="283"/>
      <c r="U62" s="283"/>
      <c r="V62" s="283"/>
    </row>
    <row r="63" spans="1:22" ht="15.75" customHeight="1">
      <c r="A63" s="181">
        <v>14</v>
      </c>
      <c r="B63" s="178">
        <v>1</v>
      </c>
      <c r="C63" s="239"/>
      <c r="D63" s="374"/>
      <c r="E63" s="374"/>
      <c r="F63" s="239"/>
      <c r="G63" s="374"/>
      <c r="H63" s="374"/>
      <c r="I63" s="239"/>
      <c r="J63" s="239"/>
      <c r="K63" s="239"/>
      <c r="L63" s="239"/>
      <c r="M63" s="239"/>
      <c r="N63" s="239"/>
      <c r="O63" s="239"/>
      <c r="P63" s="239"/>
      <c r="Q63" s="374"/>
      <c r="R63" s="374"/>
      <c r="S63" s="239"/>
      <c r="T63" s="239"/>
      <c r="U63" s="239"/>
      <c r="V63" s="239"/>
    </row>
    <row r="64" spans="1:22" ht="15.75" customHeight="1">
      <c r="A64" s="182">
        <v>14</v>
      </c>
      <c r="B64" s="179">
        <v>2</v>
      </c>
      <c r="C64" s="283"/>
      <c r="D64" s="375"/>
      <c r="E64" s="375"/>
      <c r="F64" s="283"/>
      <c r="G64" s="375"/>
      <c r="H64" s="375"/>
      <c r="I64" s="283"/>
      <c r="J64" s="283"/>
      <c r="K64" s="283"/>
      <c r="L64" s="283"/>
      <c r="M64" s="283"/>
      <c r="N64" s="283"/>
      <c r="O64" s="283"/>
      <c r="P64" s="283"/>
      <c r="Q64" s="375"/>
      <c r="R64" s="375"/>
      <c r="S64" s="283"/>
      <c r="T64" s="283"/>
      <c r="U64" s="283"/>
      <c r="V64" s="283"/>
    </row>
    <row r="65" spans="1:22" ht="15.75" customHeight="1">
      <c r="A65" s="182">
        <v>14</v>
      </c>
      <c r="B65" s="179">
        <v>3</v>
      </c>
      <c r="C65" s="239"/>
      <c r="D65" s="374"/>
      <c r="E65" s="374"/>
      <c r="F65" s="239"/>
      <c r="G65" s="374"/>
      <c r="H65" s="374"/>
      <c r="I65" s="239"/>
      <c r="J65" s="239"/>
      <c r="K65" s="239"/>
      <c r="L65" s="239"/>
      <c r="M65" s="239"/>
      <c r="N65" s="239"/>
      <c r="O65" s="239"/>
      <c r="P65" s="239"/>
      <c r="Q65" s="374"/>
      <c r="R65" s="374"/>
      <c r="S65" s="239"/>
      <c r="T65" s="239"/>
      <c r="U65" s="239"/>
      <c r="V65" s="239"/>
    </row>
    <row r="66" spans="1:22" ht="15.75" customHeight="1">
      <c r="A66" s="182">
        <v>14</v>
      </c>
      <c r="B66" s="179">
        <v>4</v>
      </c>
      <c r="C66" s="283"/>
      <c r="D66" s="375"/>
      <c r="E66" s="375"/>
      <c r="F66" s="283"/>
      <c r="G66" s="283"/>
      <c r="H66" s="283"/>
      <c r="I66" s="283"/>
      <c r="J66" s="283"/>
      <c r="K66" s="283"/>
      <c r="L66" s="283"/>
      <c r="M66" s="283"/>
      <c r="N66" s="283"/>
      <c r="O66" s="283"/>
      <c r="P66" s="283"/>
      <c r="Q66" s="375"/>
      <c r="R66" s="375"/>
      <c r="S66" s="283"/>
      <c r="T66" s="283"/>
      <c r="U66" s="283"/>
      <c r="V66" s="283"/>
    </row>
    <row r="67" spans="1:22" ht="15.75" customHeight="1">
      <c r="A67" s="182">
        <v>14</v>
      </c>
      <c r="B67" s="179">
        <v>5</v>
      </c>
      <c r="C67" s="239"/>
      <c r="D67" s="374"/>
      <c r="E67" s="374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</row>
    <row r="68" spans="1:22" ht="15.75" customHeight="1">
      <c r="A68" s="182">
        <v>14</v>
      </c>
      <c r="B68" s="179">
        <v>6</v>
      </c>
      <c r="C68" s="283"/>
      <c r="D68" s="375"/>
      <c r="E68" s="375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</row>
    <row r="69" spans="1:22" ht="15.75" customHeight="1">
      <c r="A69" s="182">
        <v>14</v>
      </c>
      <c r="B69" s="179">
        <v>7</v>
      </c>
      <c r="C69" s="239"/>
      <c r="D69" s="374"/>
      <c r="E69" s="374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</row>
    <row r="70" spans="1:22" ht="15.75" customHeight="1">
      <c r="A70" s="182">
        <v>14</v>
      </c>
      <c r="B70" s="179">
        <v>8</v>
      </c>
      <c r="C70" s="283"/>
      <c r="D70" s="375"/>
      <c r="E70" s="375"/>
      <c r="F70" s="283"/>
      <c r="G70" s="283"/>
      <c r="H70" s="283"/>
      <c r="I70" s="283"/>
      <c r="J70" s="283"/>
      <c r="K70" s="283"/>
      <c r="L70" s="283"/>
      <c r="M70" s="283"/>
      <c r="N70" s="283"/>
      <c r="O70" s="283"/>
      <c r="P70" s="283"/>
      <c r="Q70" s="283"/>
      <c r="R70" s="283"/>
      <c r="S70" s="283"/>
      <c r="T70" s="283"/>
      <c r="U70" s="283"/>
      <c r="V70" s="283"/>
    </row>
    <row r="71" spans="1:22" ht="15.75" customHeight="1">
      <c r="A71" s="182">
        <v>14</v>
      </c>
      <c r="B71" s="179">
        <v>9</v>
      </c>
      <c r="C71" s="239"/>
      <c r="D71" s="374"/>
      <c r="E71" s="374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</row>
    <row r="72" spans="1:22" ht="15.75" customHeight="1">
      <c r="A72" s="182">
        <v>14</v>
      </c>
      <c r="B72" s="179">
        <v>10</v>
      </c>
      <c r="C72" s="283"/>
      <c r="D72" s="375"/>
      <c r="E72" s="375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</row>
    <row r="73" spans="1:22" ht="15.75" customHeight="1">
      <c r="A73" s="181">
        <v>15</v>
      </c>
      <c r="B73" s="178">
        <v>1</v>
      </c>
      <c r="C73" s="239"/>
      <c r="D73" s="374"/>
      <c r="E73" s="374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</row>
    <row r="74" spans="1:22" ht="15.75" customHeight="1">
      <c r="A74" s="182">
        <v>15</v>
      </c>
      <c r="B74" s="179">
        <v>2</v>
      </c>
      <c r="C74" s="283"/>
      <c r="D74" s="375"/>
      <c r="E74" s="375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</row>
    <row r="75" spans="1:22" ht="15.75" customHeight="1">
      <c r="A75" s="182">
        <v>15</v>
      </c>
      <c r="B75" s="179">
        <v>3</v>
      </c>
      <c r="C75" s="239"/>
      <c r="D75" s="374"/>
      <c r="E75" s="374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</row>
    <row r="76" spans="1:22" ht="15.75" customHeight="1">
      <c r="A76" s="182">
        <v>15</v>
      </c>
      <c r="B76" s="179">
        <v>4</v>
      </c>
      <c r="C76" s="283"/>
      <c r="D76" s="375"/>
      <c r="E76" s="375"/>
      <c r="F76" s="283"/>
      <c r="G76" s="283"/>
      <c r="H76" s="283"/>
      <c r="I76" s="283"/>
      <c r="J76" s="283"/>
      <c r="K76" s="283"/>
      <c r="L76" s="283"/>
      <c r="M76" s="283"/>
      <c r="N76" s="283"/>
      <c r="O76" s="283"/>
      <c r="P76" s="283"/>
      <c r="Q76" s="283"/>
      <c r="R76" s="283"/>
      <c r="S76" s="283"/>
      <c r="T76" s="283"/>
      <c r="U76" s="283"/>
      <c r="V76" s="283"/>
    </row>
    <row r="77" spans="1:22" ht="15.75" customHeight="1">
      <c r="A77" s="182">
        <v>15</v>
      </c>
      <c r="B77" s="179">
        <v>5</v>
      </c>
      <c r="C77" s="239"/>
      <c r="D77" s="374"/>
      <c r="E77" s="374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</row>
    <row r="78" spans="1:22" ht="15.75" customHeight="1">
      <c r="A78" s="182">
        <v>15</v>
      </c>
      <c r="B78" s="179">
        <v>6</v>
      </c>
      <c r="C78" s="283"/>
      <c r="D78" s="375"/>
      <c r="E78" s="375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</row>
    <row r="79" spans="1:22" ht="15.75" customHeight="1">
      <c r="A79" s="177">
        <v>16</v>
      </c>
      <c r="B79" s="58">
        <v>1</v>
      </c>
      <c r="C79" s="239"/>
      <c r="D79" s="374"/>
      <c r="E79" s="374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</row>
    <row r="80" spans="1:22" ht="15.75" customHeight="1">
      <c r="A80" s="174">
        <v>16</v>
      </c>
      <c r="B80" s="59">
        <v>2</v>
      </c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</row>
    <row r="81" spans="1:22" ht="15.75" customHeight="1">
      <c r="A81" s="200">
        <v>16</v>
      </c>
      <c r="B81" s="59">
        <v>3</v>
      </c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</row>
    <row r="82" spans="1:22" ht="15.75" customHeight="1">
      <c r="A82" s="201">
        <v>17</v>
      </c>
      <c r="B82" s="58">
        <v>1</v>
      </c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</row>
    <row r="83" spans="1:22" ht="15.75" customHeight="1">
      <c r="A83" s="200">
        <v>17</v>
      </c>
      <c r="B83" s="59">
        <v>2</v>
      </c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</row>
    <row r="84" spans="1:22" ht="15.75" customHeight="1">
      <c r="A84" s="200">
        <v>17</v>
      </c>
      <c r="B84" s="59">
        <v>3</v>
      </c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</row>
    <row r="85" spans="1:22" ht="15.75" customHeight="1">
      <c r="A85" s="200">
        <v>17</v>
      </c>
      <c r="B85" s="59">
        <v>4</v>
      </c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  <c r="V85" s="228"/>
    </row>
    <row r="86" spans="1:22" ht="15.75" customHeight="1">
      <c r="A86" s="201">
        <v>18</v>
      </c>
      <c r="B86" s="58">
        <v>1</v>
      </c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</row>
    <row r="87" spans="1:22" ht="15.75" customHeight="1">
      <c r="A87" s="200">
        <v>18</v>
      </c>
      <c r="B87" s="59">
        <v>2</v>
      </c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  <c r="V87" s="228"/>
    </row>
    <row r="88" spans="1:22" ht="15.75" customHeight="1">
      <c r="A88" s="201">
        <v>19</v>
      </c>
      <c r="B88" s="58">
        <v>1</v>
      </c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</row>
    <row r="89" spans="1:22" ht="15.75" customHeight="1">
      <c r="A89" s="200">
        <v>19</v>
      </c>
      <c r="B89" s="59">
        <v>2</v>
      </c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</row>
    <row r="90" spans="1:22" ht="15.75" customHeight="1">
      <c r="A90" s="200">
        <v>19</v>
      </c>
      <c r="B90" s="59">
        <v>3</v>
      </c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</row>
    <row r="91" spans="1:22" ht="15.75" customHeight="1">
      <c r="A91" s="200">
        <v>19</v>
      </c>
      <c r="B91" s="59">
        <v>4</v>
      </c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  <c r="V91" s="228"/>
    </row>
    <row r="92" spans="1:22" ht="15.75" customHeight="1">
      <c r="A92" s="202">
        <v>19</v>
      </c>
      <c r="B92" s="203">
        <v>5</v>
      </c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</row>
    <row r="93" spans="1:22" ht="15.75" customHeight="1">
      <c r="A93" s="237">
        <v>20</v>
      </c>
      <c r="B93" s="178" t="s">
        <v>220</v>
      </c>
    </row>
    <row r="94" spans="1:22" ht="15.75" customHeight="1">
      <c r="A94" s="205">
        <v>20</v>
      </c>
      <c r="B94" s="179" t="s">
        <v>221</v>
      </c>
    </row>
    <row r="95" spans="1:22" ht="15.75" customHeight="1">
      <c r="A95" s="205">
        <v>20</v>
      </c>
      <c r="B95" s="179" t="s">
        <v>222</v>
      </c>
    </row>
    <row r="96" spans="1:22" ht="15.75" customHeight="1">
      <c r="A96" s="205">
        <v>20</v>
      </c>
      <c r="B96" s="179" t="s">
        <v>223</v>
      </c>
    </row>
    <row r="97" spans="1:27" ht="15.75" customHeight="1">
      <c r="A97" s="205">
        <v>20</v>
      </c>
      <c r="B97" s="179" t="s">
        <v>224</v>
      </c>
    </row>
    <row r="98" spans="1:27" ht="15.75" customHeight="1">
      <c r="A98" s="205">
        <v>20</v>
      </c>
      <c r="B98" s="179" t="s">
        <v>225</v>
      </c>
    </row>
    <row r="99" spans="1:27" ht="15.75" customHeight="1">
      <c r="A99" s="205">
        <v>20</v>
      </c>
      <c r="B99" s="179" t="s">
        <v>226</v>
      </c>
    </row>
    <row r="100" spans="1:27" ht="15.75" customHeight="1">
      <c r="A100" s="205">
        <v>20</v>
      </c>
      <c r="B100" s="179" t="s">
        <v>227</v>
      </c>
    </row>
    <row r="101" spans="1:27" ht="15.75" customHeight="1">
      <c r="A101" s="205">
        <v>20</v>
      </c>
      <c r="B101" s="179" t="s">
        <v>230</v>
      </c>
    </row>
    <row r="102" spans="1:27" ht="15.75" customHeight="1">
      <c r="A102" s="205">
        <v>20</v>
      </c>
      <c r="B102" s="179" t="s">
        <v>231</v>
      </c>
    </row>
    <row r="103" spans="1:27" ht="15.75" customHeight="1">
      <c r="A103" s="205">
        <v>20</v>
      </c>
      <c r="B103" s="179" t="s">
        <v>232</v>
      </c>
    </row>
    <row r="104" spans="1:27" ht="15.75" customHeight="1">
      <c r="A104" s="205">
        <v>20</v>
      </c>
      <c r="B104" s="179" t="s">
        <v>233</v>
      </c>
    </row>
    <row r="105" spans="1:27" ht="15.75" customHeight="1">
      <c r="A105" s="200">
        <v>20</v>
      </c>
      <c r="B105" s="59" t="s">
        <v>234</v>
      </c>
    </row>
    <row r="106" spans="1:27" ht="15.75" customHeight="1">
      <c r="A106" s="200">
        <v>20</v>
      </c>
      <c r="B106" s="59" t="s">
        <v>235</v>
      </c>
    </row>
    <row r="107" spans="1:27" ht="15.75" customHeight="1">
      <c r="A107" s="200">
        <v>20</v>
      </c>
      <c r="B107" s="59" t="s">
        <v>236</v>
      </c>
    </row>
    <row r="108" spans="1:27" ht="15.75" customHeight="1">
      <c r="A108" s="200">
        <v>20</v>
      </c>
      <c r="B108" s="59" t="s">
        <v>237</v>
      </c>
    </row>
    <row r="109" spans="1:27" ht="15.75" customHeight="1">
      <c r="A109" s="205">
        <v>20</v>
      </c>
      <c r="B109" s="59" t="s">
        <v>238</v>
      </c>
      <c r="C109" s="8">
        <v>1.41918525406695E-2</v>
      </c>
      <c r="D109" s="8">
        <v>1.5637308977659699E-2</v>
      </c>
      <c r="E109" s="131">
        <v>2.1999999999999999E-2</v>
      </c>
      <c r="F109" s="8">
        <v>2.99605805935035E-2</v>
      </c>
      <c r="G109" s="8">
        <v>3.9290396545442301E-2</v>
      </c>
      <c r="H109" s="8">
        <v>5.6898820214915498E-2</v>
      </c>
      <c r="I109" s="8">
        <v>6.6491456271329005E-2</v>
      </c>
      <c r="J109" s="8">
        <v>7.7266751217600196E-2</v>
      </c>
      <c r="K109" s="8">
        <v>8.5282520784786098E-2</v>
      </c>
      <c r="L109" s="8">
        <v>8.9487511623798296E-2</v>
      </c>
      <c r="M109" s="8">
        <v>8.1865963190387706E-2</v>
      </c>
      <c r="N109" s="8">
        <v>6.5571612974477902E-2</v>
      </c>
      <c r="O109" s="8">
        <v>5.3350857079748099E-2</v>
      </c>
      <c r="P109" s="8">
        <v>4.2444147569771197E-2</v>
      </c>
      <c r="Q109" s="8">
        <v>3.8764783405303198E-2</v>
      </c>
      <c r="R109" s="8">
        <v>4.4152433134172997E-2</v>
      </c>
      <c r="S109" s="8">
        <v>5.0328507084719698E-2</v>
      </c>
      <c r="T109" s="8">
        <v>5.78186544888298E-2</v>
      </c>
      <c r="U109" s="8">
        <v>6.7674110649718205E-2</v>
      </c>
      <c r="V109" s="8">
        <v>7.9369248892840499E-2</v>
      </c>
      <c r="W109" s="8">
        <v>9.10643826244944E-2</v>
      </c>
      <c r="X109" s="8">
        <v>9.8948746650911398E-2</v>
      </c>
    </row>
    <row r="110" spans="1:27" ht="15.75" customHeight="1">
      <c r="A110" s="205">
        <v>20</v>
      </c>
      <c r="B110" s="59" t="s">
        <v>239</v>
      </c>
      <c r="C110" s="8">
        <v>3.1800258164268999E-2</v>
      </c>
      <c r="D110" s="8">
        <v>3.2325889350281703E-2</v>
      </c>
      <c r="E110" s="8">
        <v>3.6925087788663997E-2</v>
      </c>
      <c r="F110" s="8">
        <v>5.2431013782896899E-2</v>
      </c>
      <c r="G110" s="8">
        <v>6.6622866323566399E-2</v>
      </c>
      <c r="H110" s="8">
        <v>7.3718788082432804E-2</v>
      </c>
      <c r="I110" s="8">
        <v>5.86070877334436E-2</v>
      </c>
      <c r="J110" s="8">
        <v>4.5597889571163203E-2</v>
      </c>
      <c r="K110" s="8">
        <v>3.8633373353065797E-2</v>
      </c>
      <c r="L110" s="8">
        <v>4.4152433134172997E-2</v>
      </c>
      <c r="M110" s="8">
        <v>5.5190534650513601E-2</v>
      </c>
      <c r="N110" s="8">
        <v>6.6754267352867006E-2</v>
      </c>
      <c r="O110" s="8">
        <v>8.1471746568080802E-2</v>
      </c>
      <c r="P110" s="8">
        <v>9.5532193567981399E-2</v>
      </c>
    </row>
    <row r="111" spans="1:27" ht="15.75" customHeight="1">
      <c r="A111" s="205">
        <v>20</v>
      </c>
      <c r="B111" s="59" t="s">
        <v>240</v>
      </c>
      <c r="C111" s="8">
        <v>3.5742433410274901E-2</v>
      </c>
      <c r="D111" s="8">
        <v>4.9934285950944401E-2</v>
      </c>
      <c r="E111" s="8">
        <v>6.3337714269937007E-2</v>
      </c>
      <c r="F111" s="8">
        <v>8.0157686648922699E-2</v>
      </c>
      <c r="G111" s="8">
        <v>8.8436267297646601E-2</v>
      </c>
      <c r="H111" s="8">
        <v>7.5295663594597204E-2</v>
      </c>
      <c r="I111" s="8">
        <v>6.3074903188399103E-2</v>
      </c>
      <c r="J111" s="8">
        <v>4.7831797298640899E-2</v>
      </c>
      <c r="K111" s="8">
        <v>4.3101179785084397E-2</v>
      </c>
      <c r="L111" s="8">
        <v>4.82260184324163E-2</v>
      </c>
      <c r="M111" s="8">
        <v>6.2286460920848399E-2</v>
      </c>
      <c r="N111" s="8">
        <v>8.1340341027311802E-2</v>
      </c>
      <c r="O111" s="8">
        <v>9.9868594459231005E-2</v>
      </c>
    </row>
    <row r="112" spans="1:27" ht="15.75" customHeight="1">
      <c r="A112" s="213">
        <v>20</v>
      </c>
      <c r="B112" s="203" t="s">
        <v>241</v>
      </c>
      <c r="C112" s="30">
        <v>1.1038110539277401E-2</v>
      </c>
      <c r="D112" s="30">
        <v>1.27463870807424E-2</v>
      </c>
      <c r="E112" s="30">
        <v>2.50985440047727E-2</v>
      </c>
      <c r="F112" s="30">
        <v>4.5860709675638003E-2</v>
      </c>
      <c r="G112" s="30">
        <v>3.7976350160689398E-2</v>
      </c>
      <c r="H112" s="30">
        <v>2.96977695119655E-2</v>
      </c>
      <c r="I112" s="30">
        <v>2.91721383259528E-2</v>
      </c>
      <c r="J112" s="30">
        <v>3.8896184434603798E-2</v>
      </c>
      <c r="K112" s="30">
        <v>6.6228645189791102E-2</v>
      </c>
      <c r="L112" s="30">
        <v>8.9618921676035704E-2</v>
      </c>
      <c r="M112" s="30">
        <v>9.8948746650911398E-2</v>
      </c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5.75" customHeight="1">
      <c r="A113" s="205">
        <v>21</v>
      </c>
      <c r="B113" s="59" t="s">
        <v>220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05">
        <v>21</v>
      </c>
      <c r="B114" s="59" t="s">
        <v>221</v>
      </c>
    </row>
    <row r="115" spans="1:27" ht="15.75" customHeight="1">
      <c r="A115" s="205">
        <v>21</v>
      </c>
      <c r="B115" s="59" t="s">
        <v>222</v>
      </c>
    </row>
    <row r="116" spans="1:27" ht="15.75" customHeight="1">
      <c r="A116" s="205">
        <v>21</v>
      </c>
      <c r="B116" s="59" t="s">
        <v>223</v>
      </c>
    </row>
    <row r="117" spans="1:27" ht="15.75" customHeight="1">
      <c r="A117" s="205">
        <v>21</v>
      </c>
      <c r="B117" s="59" t="s">
        <v>228</v>
      </c>
    </row>
    <row r="118" spans="1:27" ht="15.75" customHeight="1">
      <c r="A118" s="205">
        <v>21</v>
      </c>
      <c r="B118" s="59" t="s">
        <v>242</v>
      </c>
    </row>
    <row r="119" spans="1:27" ht="15.75" customHeight="1">
      <c r="A119" s="205">
        <v>21</v>
      </c>
      <c r="B119" s="59" t="s">
        <v>243</v>
      </c>
    </row>
    <row r="120" spans="1:27" ht="15.75" customHeight="1">
      <c r="A120" s="205">
        <v>21</v>
      </c>
      <c r="B120" s="59" t="s">
        <v>244</v>
      </c>
      <c r="C120" s="2"/>
    </row>
    <row r="121" spans="1:27" ht="15.75" customHeight="1">
      <c r="A121" s="200">
        <v>21</v>
      </c>
      <c r="B121" s="59" t="s">
        <v>224</v>
      </c>
    </row>
    <row r="122" spans="1:27" ht="15.75" customHeight="1">
      <c r="A122" s="200">
        <v>21</v>
      </c>
      <c r="B122" s="59" t="s">
        <v>225</v>
      </c>
    </row>
    <row r="123" spans="1:27" ht="15.75" customHeight="1">
      <c r="A123" s="200">
        <v>21</v>
      </c>
      <c r="B123" s="59" t="s">
        <v>226</v>
      </c>
    </row>
    <row r="124" spans="1:27" ht="15.75" customHeight="1">
      <c r="A124" s="200">
        <v>21</v>
      </c>
      <c r="B124" s="59" t="s">
        <v>227</v>
      </c>
    </row>
    <row r="125" spans="1:27" ht="15.75" customHeight="1">
      <c r="A125" s="200">
        <v>21</v>
      </c>
      <c r="B125" s="59" t="s">
        <v>229</v>
      </c>
    </row>
    <row r="126" spans="1:27" ht="15.75" customHeight="1">
      <c r="A126" s="200">
        <v>21</v>
      </c>
      <c r="B126" s="59" t="s">
        <v>245</v>
      </c>
    </row>
    <row r="127" spans="1:27" ht="15.75" customHeight="1">
      <c r="A127" s="200">
        <v>21</v>
      </c>
      <c r="B127" s="59" t="s">
        <v>246</v>
      </c>
    </row>
    <row r="128" spans="1:27" ht="15.75" customHeight="1">
      <c r="A128" s="202">
        <v>21</v>
      </c>
      <c r="B128" s="203" t="s">
        <v>247</v>
      </c>
    </row>
    <row r="129" spans="1:2" ht="15.75" customHeight="1">
      <c r="A129" s="200">
        <v>22</v>
      </c>
      <c r="B129" s="59">
        <v>1</v>
      </c>
    </row>
    <row r="130" spans="1:2" ht="15.75" customHeight="1">
      <c r="A130" s="200">
        <v>22</v>
      </c>
      <c r="B130" s="59">
        <v>2</v>
      </c>
    </row>
    <row r="131" spans="1:2" ht="15.75" customHeight="1">
      <c r="A131" s="200">
        <v>22</v>
      </c>
      <c r="B131" s="59">
        <v>3</v>
      </c>
    </row>
    <row r="132" spans="1:2" ht="15.75" customHeight="1">
      <c r="A132" s="200">
        <v>22</v>
      </c>
      <c r="B132" s="59">
        <v>4</v>
      </c>
    </row>
    <row r="133" spans="1:2" ht="15.75" customHeight="1">
      <c r="A133" s="200">
        <v>22</v>
      </c>
      <c r="B133" s="59">
        <v>5</v>
      </c>
    </row>
    <row r="134" spans="1:2" ht="15.75" customHeight="1">
      <c r="A134" s="200">
        <v>22</v>
      </c>
      <c r="B134" s="59">
        <v>6</v>
      </c>
    </row>
    <row r="135" spans="1:2" ht="15.75" customHeight="1">
      <c r="A135" s="200">
        <v>22</v>
      </c>
      <c r="B135" s="59">
        <v>7</v>
      </c>
    </row>
    <row r="136" spans="1:2" ht="15.75" customHeight="1">
      <c r="A136" s="202">
        <v>22</v>
      </c>
      <c r="B136" s="203">
        <v>8</v>
      </c>
    </row>
    <row r="137" spans="1:2" ht="15.75" customHeight="1">
      <c r="A137" s="201">
        <v>23</v>
      </c>
      <c r="B137" s="58">
        <v>1</v>
      </c>
    </row>
    <row r="138" spans="1:2" ht="15.75" customHeight="1">
      <c r="A138" s="200">
        <v>23</v>
      </c>
      <c r="B138" s="59">
        <v>2</v>
      </c>
    </row>
    <row r="139" spans="1:2" ht="15.75" customHeight="1">
      <c r="A139" s="200">
        <v>23</v>
      </c>
      <c r="B139" s="59">
        <v>3</v>
      </c>
    </row>
    <row r="140" spans="1:2" ht="15.75" customHeight="1">
      <c r="A140" s="200">
        <v>23</v>
      </c>
      <c r="B140" s="59">
        <v>4</v>
      </c>
    </row>
    <row r="141" spans="1:2" ht="15.75" customHeight="1">
      <c r="A141" s="202">
        <v>23</v>
      </c>
      <c r="B141" s="203">
        <v>5</v>
      </c>
    </row>
    <row r="142" spans="1:2" ht="15.75" customHeight="1">
      <c r="A142" s="210">
        <v>24</v>
      </c>
      <c r="B142" s="211">
        <v>1</v>
      </c>
    </row>
    <row r="143" spans="1:2" ht="15.75" customHeight="1">
      <c r="A143" s="210">
        <v>24</v>
      </c>
      <c r="B143" s="211">
        <v>2</v>
      </c>
    </row>
    <row r="144" spans="1:2" ht="15.75" customHeight="1">
      <c r="A144" s="210">
        <v>24</v>
      </c>
      <c r="B144" s="211">
        <v>3</v>
      </c>
    </row>
    <row r="145" spans="1:15" ht="15.75" customHeight="1">
      <c r="A145" s="210">
        <v>24</v>
      </c>
      <c r="B145" s="211">
        <v>4</v>
      </c>
    </row>
    <row r="146" spans="1:15" ht="15.75" customHeight="1">
      <c r="A146" s="210">
        <v>24</v>
      </c>
      <c r="B146" s="211">
        <v>5</v>
      </c>
    </row>
    <row r="147" spans="1:15" ht="15.75" customHeight="1">
      <c r="A147" s="210">
        <v>24</v>
      </c>
      <c r="B147" s="211">
        <v>6</v>
      </c>
    </row>
    <row r="148" spans="1:15" ht="15.75" customHeight="1">
      <c r="A148" s="210">
        <v>24</v>
      </c>
      <c r="B148" s="211">
        <v>7</v>
      </c>
    </row>
    <row r="149" spans="1:15" ht="15.75" customHeight="1">
      <c r="A149" s="201">
        <v>25</v>
      </c>
      <c r="B149" s="58">
        <v>1</v>
      </c>
    </row>
    <row r="150" spans="1:15" ht="15.75" customHeight="1">
      <c r="A150" s="200">
        <v>25</v>
      </c>
      <c r="B150" s="59">
        <v>2</v>
      </c>
    </row>
    <row r="151" spans="1:15" ht="15.75" customHeight="1">
      <c r="A151" s="200">
        <v>25</v>
      </c>
      <c r="B151" s="59">
        <v>3</v>
      </c>
    </row>
    <row r="152" spans="1:15" ht="15.75" customHeight="1">
      <c r="A152" s="202">
        <v>25</v>
      </c>
      <c r="B152" s="203">
        <v>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5" ht="15.75" customHeight="1">
      <c r="A153" s="200">
        <v>26</v>
      </c>
      <c r="B153" s="178" t="s">
        <v>220</v>
      </c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7"/>
      <c r="O153" s="2"/>
    </row>
    <row r="154" spans="1:15" ht="15.75" customHeight="1">
      <c r="A154" s="200">
        <v>26</v>
      </c>
      <c r="B154" s="179" t="s">
        <v>221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08"/>
      <c r="O154" s="2"/>
    </row>
    <row r="155" spans="1:15" ht="15.75" customHeight="1">
      <c r="A155" s="200">
        <v>26</v>
      </c>
      <c r="B155" s="179" t="s">
        <v>222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08"/>
      <c r="O155" s="2"/>
    </row>
    <row r="156" spans="1:15" ht="15.75" customHeight="1">
      <c r="A156" s="200">
        <v>26</v>
      </c>
      <c r="B156" s="179" t="s">
        <v>223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08"/>
      <c r="O156" s="2"/>
    </row>
    <row r="157" spans="1:15" ht="15.75" customHeight="1">
      <c r="A157" s="200">
        <v>26</v>
      </c>
      <c r="B157" s="179" t="s">
        <v>228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08"/>
      <c r="O157" s="2"/>
    </row>
    <row r="158" spans="1:15" ht="15.75" customHeight="1">
      <c r="A158" s="200">
        <v>26</v>
      </c>
      <c r="B158" s="179" t="s">
        <v>224</v>
      </c>
      <c r="C158" s="131">
        <v>8.5333374023437505E-3</v>
      </c>
      <c r="D158" s="131">
        <v>1.4577770996093699E-2</v>
      </c>
      <c r="E158" s="131">
        <v>2.38222167968749E-2</v>
      </c>
      <c r="F158" s="131">
        <v>4.3377770996093697E-2</v>
      </c>
      <c r="G158" s="131">
        <v>5.2088891601562499E-2</v>
      </c>
      <c r="H158" s="131">
        <v>4.1599999999999901E-2</v>
      </c>
      <c r="I158" s="131">
        <v>2.73777709960937E-2</v>
      </c>
      <c r="J158" s="131">
        <v>1.8844433593749901E-2</v>
      </c>
      <c r="K158" s="131">
        <v>2.0622216796874999E-2</v>
      </c>
      <c r="L158" s="131">
        <v>3.3955554199218703E-2</v>
      </c>
      <c r="M158" s="131">
        <v>4.78222167968749E-2</v>
      </c>
      <c r="N158" s="345">
        <v>6.2933337402343706E-2</v>
      </c>
      <c r="O158" s="2"/>
    </row>
    <row r="159" spans="1:15" ht="15.75" customHeight="1">
      <c r="A159" s="200">
        <v>26</v>
      </c>
      <c r="B159" s="179" t="s">
        <v>225</v>
      </c>
      <c r="C159" s="2">
        <v>4.1000000000000003E-3</v>
      </c>
      <c r="D159" s="2">
        <v>8.6999999999999994E-3</v>
      </c>
      <c r="E159" s="2">
        <v>2.0969999999999999E-2</v>
      </c>
      <c r="F159" s="2">
        <v>5.0299999999999997E-2</v>
      </c>
      <c r="G159" s="2">
        <v>6.6299999999999998E-2</v>
      </c>
      <c r="H159" s="2">
        <v>5.9549999999999999E-2</v>
      </c>
      <c r="I159" s="2">
        <v>4.3729999999999998E-2</v>
      </c>
      <c r="J159" s="2">
        <v>3.27E-2</v>
      </c>
      <c r="K159" s="2">
        <v>3.039E-2</v>
      </c>
      <c r="L159" s="2">
        <v>3.6798999999999998E-2</v>
      </c>
      <c r="M159" s="2">
        <v>4.5865999999999997E-2</v>
      </c>
      <c r="N159" s="208">
        <v>5.6710000000000003E-2</v>
      </c>
      <c r="O159" s="2"/>
    </row>
    <row r="160" spans="1:15" ht="15.75" customHeight="1">
      <c r="A160" s="200">
        <v>26</v>
      </c>
      <c r="B160" s="179" t="s">
        <v>226</v>
      </c>
      <c r="C160" s="2">
        <v>4.0000000000000001E-3</v>
      </c>
      <c r="D160" s="2">
        <v>6.0000000000000001E-3</v>
      </c>
      <c r="E160" s="2">
        <v>1.4E-2</v>
      </c>
      <c r="F160" s="2">
        <v>2.7E-2</v>
      </c>
      <c r="G160" s="2">
        <v>4.7E-2</v>
      </c>
      <c r="H160" s="2">
        <v>5.0999999999999997E-2</v>
      </c>
      <c r="I160" s="2">
        <v>3.9E-2</v>
      </c>
      <c r="J160" s="2">
        <v>2.7E-2</v>
      </c>
      <c r="K160" s="2">
        <v>2.5000000000000001E-2</v>
      </c>
      <c r="L160" s="2">
        <v>3.3000000000000002E-2</v>
      </c>
      <c r="M160" s="2">
        <v>4.9000000000000002E-2</v>
      </c>
      <c r="N160" s="208">
        <v>6.5000000000000002E-2</v>
      </c>
      <c r="O160" s="2"/>
    </row>
    <row r="161" spans="1:15" ht="15.75" customHeight="1">
      <c r="A161" s="200">
        <v>26</v>
      </c>
      <c r="B161" s="179" t="s">
        <v>227</v>
      </c>
      <c r="C161" s="2">
        <v>4.0000000000000001E-3</v>
      </c>
      <c r="D161" s="2">
        <v>7.0000000000000001E-3</v>
      </c>
      <c r="E161" s="2">
        <v>1.6E-2</v>
      </c>
      <c r="F161" s="2">
        <v>3.4000000000000002E-2</v>
      </c>
      <c r="G161" s="2">
        <v>4.3999999999999997E-2</v>
      </c>
      <c r="H161" s="2">
        <v>3.7999999999999999E-2</v>
      </c>
      <c r="I161" s="2">
        <v>2.4E-2</v>
      </c>
      <c r="J161" s="2">
        <v>1.7999999999999999E-2</v>
      </c>
      <c r="K161" s="2">
        <v>2.1999999999999999E-2</v>
      </c>
      <c r="L161" s="2">
        <v>3.3000000000000002E-2</v>
      </c>
      <c r="M161" s="2">
        <v>4.3999999999999997E-2</v>
      </c>
      <c r="N161" s="208">
        <v>5.6000000000000001E-2</v>
      </c>
      <c r="O161" s="2"/>
    </row>
    <row r="162" spans="1:15" ht="15.75" customHeight="1">
      <c r="A162" s="202">
        <v>26</v>
      </c>
      <c r="B162" s="203" t="s">
        <v>229</v>
      </c>
      <c r="C162" s="407">
        <v>5.0000000000000001E-3</v>
      </c>
      <c r="D162" s="407">
        <v>0.01</v>
      </c>
      <c r="E162" s="407">
        <v>1.7000000000000001E-2</v>
      </c>
      <c r="F162" s="407">
        <v>3.5000000000000003E-2</v>
      </c>
      <c r="G162" s="407">
        <v>5.5E-2</v>
      </c>
      <c r="H162" s="407">
        <v>5.0999999999999997E-2</v>
      </c>
      <c r="I162" s="407">
        <v>3.3000000000000002E-2</v>
      </c>
      <c r="J162" s="407">
        <v>2.1000000000000001E-2</v>
      </c>
      <c r="K162" s="407">
        <v>2.1000000000000001E-2</v>
      </c>
      <c r="L162" s="407">
        <v>3.3000000000000002E-2</v>
      </c>
      <c r="M162" s="407">
        <v>4.7E-2</v>
      </c>
      <c r="N162" s="208">
        <v>5.8000000000000003E-2</v>
      </c>
      <c r="O162" s="2"/>
    </row>
    <row r="163" spans="1:15" ht="15.75" customHeight="1">
      <c r="A163" s="177">
        <v>27</v>
      </c>
      <c r="B163" s="178">
        <v>1</v>
      </c>
      <c r="C163" s="403">
        <v>2.1999999999999999E-2</v>
      </c>
      <c r="D163" s="403">
        <v>2.3E-2</v>
      </c>
      <c r="E163" s="403">
        <v>2.4E-2</v>
      </c>
      <c r="F163" s="403">
        <v>2.4E-2</v>
      </c>
      <c r="G163" s="403">
        <v>0.02</v>
      </c>
      <c r="H163" s="403">
        <v>1.6E-2</v>
      </c>
      <c r="I163" s="403">
        <v>1.6E-2</v>
      </c>
      <c r="J163" s="403">
        <v>1.7999999999999999E-2</v>
      </c>
      <c r="K163" s="403">
        <v>2.1999999999999999E-2</v>
      </c>
      <c r="L163" s="403">
        <v>2.7E-2</v>
      </c>
      <c r="M163" s="403">
        <v>3.4000000000000002E-2</v>
      </c>
      <c r="N163" s="404">
        <v>4.1000000000000002E-2</v>
      </c>
      <c r="O163" s="402"/>
    </row>
    <row r="164" spans="1:15" ht="15.75" customHeight="1">
      <c r="A164" s="174">
        <v>27</v>
      </c>
      <c r="B164" s="179">
        <v>2</v>
      </c>
      <c r="C164" s="400">
        <v>3.2000000000000001E-2</v>
      </c>
      <c r="D164" s="400">
        <v>3.5999999999999997E-2</v>
      </c>
      <c r="E164" s="400">
        <v>3.6999999999999998E-2</v>
      </c>
      <c r="F164" s="400">
        <v>3.6999999999999998E-2</v>
      </c>
      <c r="G164" s="400">
        <v>3.2000000000000001E-2</v>
      </c>
      <c r="H164" s="400">
        <v>2.5999999999999999E-2</v>
      </c>
      <c r="I164" s="400">
        <v>2.4E-2</v>
      </c>
      <c r="J164" s="400">
        <v>0.03</v>
      </c>
      <c r="K164" s="400">
        <v>3.9E-2</v>
      </c>
      <c r="L164" s="400">
        <v>4.9000000000000002E-2</v>
      </c>
      <c r="M164" s="400">
        <v>5.7000000000000002E-2</v>
      </c>
      <c r="N164" s="405">
        <v>6.9000000000000006E-2</v>
      </c>
      <c r="O164" s="402"/>
    </row>
    <row r="165" spans="1:15" ht="15.75" customHeight="1">
      <c r="A165" s="174">
        <v>27</v>
      </c>
      <c r="B165" s="179">
        <v>3</v>
      </c>
      <c r="C165" s="400">
        <v>3.5000000000000003E-2</v>
      </c>
      <c r="D165" s="400">
        <v>3.7999999999999999E-2</v>
      </c>
      <c r="E165" s="400">
        <v>4.2000000000000003E-2</v>
      </c>
      <c r="F165" s="400">
        <v>4.2000000000000003E-2</v>
      </c>
      <c r="G165" s="400">
        <v>3.7999999999999999E-2</v>
      </c>
      <c r="H165" s="400">
        <v>0.03</v>
      </c>
      <c r="I165" s="400">
        <v>2.8000000000000001E-2</v>
      </c>
      <c r="J165" s="400">
        <v>3.5000000000000003E-2</v>
      </c>
      <c r="K165" s="400">
        <v>4.4999999999999998E-2</v>
      </c>
      <c r="L165" s="400">
        <v>0.06</v>
      </c>
      <c r="M165" s="400">
        <v>7.3999999999999996E-2</v>
      </c>
      <c r="N165" s="405">
        <v>8.7999999999999995E-2</v>
      </c>
      <c r="O165" s="402"/>
    </row>
    <row r="166" spans="1:15" ht="15.75" customHeight="1">
      <c r="A166" s="175">
        <v>27</v>
      </c>
      <c r="B166" s="180">
        <v>4</v>
      </c>
      <c r="C166" s="401">
        <v>0.04</v>
      </c>
      <c r="D166" s="401">
        <v>0.04</v>
      </c>
      <c r="E166" s="401">
        <v>4.2000000000000003E-2</v>
      </c>
      <c r="F166" s="401">
        <v>4.5999999999999999E-2</v>
      </c>
      <c r="G166" s="401">
        <v>4.5999999999999999E-2</v>
      </c>
      <c r="H166" s="401">
        <v>4.2999999999999997E-2</v>
      </c>
      <c r="I166" s="401">
        <v>3.9E-2</v>
      </c>
      <c r="J166" s="401">
        <v>4.1000000000000002E-2</v>
      </c>
      <c r="K166" s="401">
        <v>4.3999999999999997E-2</v>
      </c>
      <c r="L166" s="401">
        <v>5.2999999999999999E-2</v>
      </c>
      <c r="M166" s="401">
        <v>6.5000000000000002E-2</v>
      </c>
      <c r="N166" s="406">
        <v>8.2000000000000003E-2</v>
      </c>
      <c r="O166" s="402"/>
    </row>
    <row r="167" spans="1:15" ht="15.75" customHeight="1">
      <c r="A167" s="201">
        <v>28</v>
      </c>
      <c r="B167" s="58">
        <v>1</v>
      </c>
      <c r="C167" s="402"/>
      <c r="D167" s="402"/>
      <c r="E167" s="402"/>
      <c r="F167" s="402"/>
      <c r="G167" s="402"/>
      <c r="H167" s="402"/>
      <c r="I167" s="402"/>
      <c r="J167" s="402"/>
      <c r="K167" s="402"/>
      <c r="L167" s="402"/>
      <c r="M167" s="402"/>
      <c r="N167" s="402"/>
    </row>
    <row r="168" spans="1:15" ht="15.75" customHeight="1">
      <c r="A168" s="200">
        <v>28</v>
      </c>
      <c r="B168" s="59">
        <v>2</v>
      </c>
    </row>
    <row r="169" spans="1:15" ht="15.75" customHeight="1">
      <c r="A169" s="200">
        <v>28</v>
      </c>
      <c r="B169" s="59">
        <v>3</v>
      </c>
    </row>
    <row r="170" spans="1:15" ht="15.75" customHeight="1">
      <c r="A170" s="200">
        <v>28</v>
      </c>
      <c r="B170" s="59">
        <v>4</v>
      </c>
    </row>
    <row r="171" spans="1:15" ht="15.75" customHeight="1">
      <c r="A171" s="200">
        <v>28</v>
      </c>
      <c r="B171" s="59">
        <v>5</v>
      </c>
    </row>
    <row r="172" spans="1:15" ht="15.75" customHeight="1">
      <c r="A172" s="202">
        <v>28</v>
      </c>
      <c r="B172" s="203">
        <v>6</v>
      </c>
    </row>
    <row r="173" spans="1:15" ht="15.75" customHeight="1">
      <c r="A173" s="205">
        <v>29</v>
      </c>
      <c r="B173" s="59">
        <v>1</v>
      </c>
    </row>
    <row r="174" spans="1:15" ht="15.75" customHeight="1">
      <c r="A174" s="205">
        <v>29</v>
      </c>
      <c r="B174" s="59">
        <v>2</v>
      </c>
    </row>
    <row r="175" spans="1:15" ht="15.75" customHeight="1">
      <c r="A175" s="205">
        <v>29</v>
      </c>
      <c r="B175" s="59">
        <v>3</v>
      </c>
    </row>
    <row r="176" spans="1:15" ht="15.75" customHeight="1">
      <c r="A176" s="205">
        <v>29</v>
      </c>
      <c r="B176" s="59">
        <v>4</v>
      </c>
    </row>
    <row r="177" spans="1:11" ht="15.75" customHeight="1">
      <c r="A177" s="205">
        <v>29</v>
      </c>
      <c r="B177" s="59">
        <v>5</v>
      </c>
    </row>
    <row r="178" spans="1:11" ht="15.75" customHeight="1">
      <c r="A178" s="200">
        <v>30</v>
      </c>
      <c r="B178" s="59">
        <v>1</v>
      </c>
    </row>
    <row r="179" spans="1:11" ht="15.75" customHeight="1">
      <c r="A179" s="200">
        <v>30</v>
      </c>
      <c r="B179" s="59">
        <v>2</v>
      </c>
    </row>
    <row r="180" spans="1:11" ht="15.75" customHeight="1">
      <c r="A180" s="200">
        <v>30</v>
      </c>
      <c r="B180" s="59">
        <v>3</v>
      </c>
    </row>
    <row r="181" spans="1:11" ht="15.75" customHeight="1">
      <c r="A181" s="201">
        <v>31</v>
      </c>
      <c r="B181" s="58">
        <v>1</v>
      </c>
    </row>
    <row r="182" spans="1:11" ht="15.75" customHeight="1">
      <c r="A182" s="200">
        <v>31</v>
      </c>
      <c r="B182" s="59">
        <v>2</v>
      </c>
    </row>
    <row r="183" spans="1:11" ht="15.75" customHeight="1">
      <c r="A183" s="200">
        <v>31</v>
      </c>
      <c r="B183" s="59">
        <v>3</v>
      </c>
    </row>
    <row r="184" spans="1:11" ht="15.75" customHeight="1">
      <c r="A184" s="200">
        <v>31</v>
      </c>
      <c r="B184" s="59">
        <v>4</v>
      </c>
    </row>
    <row r="185" spans="1:11" ht="15.75" customHeight="1">
      <c r="A185" s="200">
        <v>31</v>
      </c>
      <c r="B185" s="59">
        <v>5</v>
      </c>
      <c r="C185" s="2"/>
      <c r="D185" s="2"/>
      <c r="E185" s="2"/>
      <c r="F185" s="2"/>
      <c r="G185" s="2"/>
      <c r="H185" s="2"/>
      <c r="I185" s="2"/>
      <c r="J185" s="2"/>
    </row>
    <row r="186" spans="1:11" ht="15.75" customHeight="1">
      <c r="A186" s="177">
        <v>32</v>
      </c>
      <c r="B186" s="178">
        <v>1</v>
      </c>
      <c r="C186" s="206"/>
      <c r="D186" s="206"/>
      <c r="E186" s="206"/>
      <c r="F186" s="206"/>
      <c r="G186" s="206"/>
      <c r="H186" s="206"/>
      <c r="I186" s="206"/>
      <c r="J186" s="207"/>
      <c r="K186" s="2"/>
    </row>
    <row r="187" spans="1:11" ht="15.75" customHeight="1">
      <c r="A187" s="175">
        <v>32</v>
      </c>
      <c r="B187" s="180">
        <v>2</v>
      </c>
      <c r="C187" s="30">
        <v>3.2000000000000001E-2</v>
      </c>
      <c r="D187" s="30">
        <v>3.2000000000000001E-2</v>
      </c>
      <c r="E187" s="30">
        <v>3.7999999999999999E-2</v>
      </c>
      <c r="F187" s="30">
        <v>4.7E-2</v>
      </c>
      <c r="G187" s="30">
        <v>7.1999999999999995E-2</v>
      </c>
      <c r="H187" s="30">
        <v>4.2000000000000003E-2</v>
      </c>
      <c r="I187" s="30">
        <v>4.5999999999999999E-2</v>
      </c>
      <c r="J187" s="209">
        <v>6.9000000000000006E-2</v>
      </c>
      <c r="K187" s="2"/>
    </row>
    <row r="188" spans="1:11" ht="15.75" customHeight="1">
      <c r="A188" s="201">
        <v>33</v>
      </c>
      <c r="B188" s="178">
        <v>1</v>
      </c>
      <c r="C188" s="2"/>
      <c r="D188" s="2"/>
      <c r="E188" s="2"/>
      <c r="F188" s="2"/>
      <c r="G188" s="2"/>
      <c r="H188" s="2"/>
      <c r="I188" s="2"/>
      <c r="J188" s="2"/>
    </row>
    <row r="189" spans="1:11" ht="15.75" customHeight="1">
      <c r="A189" s="200">
        <v>33</v>
      </c>
      <c r="B189" s="179">
        <v>2</v>
      </c>
    </row>
    <row r="190" spans="1:11" ht="15.75" customHeight="1">
      <c r="A190" s="200">
        <v>33</v>
      </c>
      <c r="B190" s="179">
        <v>3</v>
      </c>
    </row>
    <row r="191" spans="1:11" ht="15.75" customHeight="1">
      <c r="A191" s="202">
        <v>33</v>
      </c>
      <c r="B191" s="180">
        <v>4</v>
      </c>
    </row>
    <row r="192" spans="1:11" ht="15.75" customHeight="1">
      <c r="A192" s="177">
        <v>34</v>
      </c>
      <c r="B192" s="178">
        <v>1</v>
      </c>
    </row>
    <row r="193" spans="1:16" ht="15.75" customHeight="1">
      <c r="A193" s="174">
        <v>34</v>
      </c>
      <c r="B193" s="179">
        <v>2</v>
      </c>
    </row>
    <row r="194" spans="1:16" ht="15.75" customHeight="1">
      <c r="A194" s="174">
        <v>34</v>
      </c>
      <c r="B194" s="179">
        <v>3</v>
      </c>
    </row>
    <row r="195" spans="1:16" ht="15.75" customHeight="1">
      <c r="A195" s="175">
        <v>34</v>
      </c>
      <c r="B195" s="180">
        <v>4</v>
      </c>
    </row>
    <row r="196" spans="1:16" ht="15.75" customHeight="1">
      <c r="A196" s="205">
        <v>35</v>
      </c>
      <c r="B196" s="59">
        <v>1</v>
      </c>
    </row>
    <row r="197" spans="1:16" ht="15.75" customHeight="1">
      <c r="A197" s="205">
        <v>35</v>
      </c>
      <c r="B197" s="59">
        <v>2</v>
      </c>
    </row>
    <row r="198" spans="1:16" ht="15.75" customHeight="1">
      <c r="A198" s="205">
        <v>35</v>
      </c>
      <c r="B198" s="59">
        <v>3</v>
      </c>
    </row>
    <row r="199" spans="1:16" ht="15.75" customHeight="1">
      <c r="A199" s="205">
        <v>35</v>
      </c>
      <c r="B199" s="59">
        <v>4</v>
      </c>
    </row>
    <row r="200" spans="1:16" ht="15.75" customHeight="1">
      <c r="A200" s="201">
        <v>36</v>
      </c>
      <c r="B200" s="58">
        <v>1</v>
      </c>
      <c r="D200" s="8">
        <v>5.2999999999999999E-2</v>
      </c>
      <c r="E200" s="8">
        <v>7.2999999999999995E-2</v>
      </c>
      <c r="F200" s="8">
        <v>7.4999999999999997E-2</v>
      </c>
      <c r="G200" s="8">
        <v>5.6000000000000001E-2</v>
      </c>
      <c r="H200" s="8">
        <v>4.8000000000000001E-2</v>
      </c>
      <c r="I200" s="8">
        <v>5.5E-2</v>
      </c>
      <c r="J200" s="8">
        <v>7.8E-2</v>
      </c>
    </row>
    <row r="201" spans="1:16" ht="15.75" customHeight="1">
      <c r="A201" s="200">
        <v>36</v>
      </c>
      <c r="B201" s="59">
        <v>2</v>
      </c>
      <c r="D201" s="8">
        <v>1.6E-2</v>
      </c>
      <c r="E201" s="8">
        <v>3.5000000000000003E-2</v>
      </c>
      <c r="F201" s="8">
        <v>5.2999999999999999E-2</v>
      </c>
      <c r="G201" s="8">
        <v>4.2000000000000003E-2</v>
      </c>
      <c r="H201" s="8">
        <v>3.6999999999999998E-2</v>
      </c>
      <c r="I201" s="8">
        <v>4.9000000000000002E-2</v>
      </c>
      <c r="J201" s="8">
        <v>7.0999999999999994E-2</v>
      </c>
    </row>
    <row r="202" spans="1:16" ht="15.75" customHeight="1">
      <c r="A202" s="200">
        <v>36</v>
      </c>
      <c r="B202" s="59">
        <v>3</v>
      </c>
      <c r="D202" s="8">
        <v>4.3999999999999997E-2</v>
      </c>
      <c r="E202" s="8">
        <v>5.7000000000000002E-2</v>
      </c>
      <c r="F202" s="8">
        <v>5.8000000000000003E-2</v>
      </c>
      <c r="G202" s="8">
        <v>0.05</v>
      </c>
      <c r="H202" s="8">
        <v>5.2999999999999999E-2</v>
      </c>
      <c r="I202" s="8">
        <v>6.8000000000000005E-2</v>
      </c>
      <c r="J202" s="8">
        <v>8.4000000000000005E-2</v>
      </c>
    </row>
    <row r="203" spans="1:16" ht="15.75" customHeight="1">
      <c r="A203" s="200">
        <v>36</v>
      </c>
      <c r="B203" s="59">
        <v>4</v>
      </c>
      <c r="C203" s="2"/>
      <c r="D203" s="2">
        <v>1.7000000000000001E-2</v>
      </c>
      <c r="E203" s="2">
        <v>3.3000000000000002E-2</v>
      </c>
      <c r="F203" s="2">
        <v>5.0999999999999997E-2</v>
      </c>
      <c r="G203" s="2">
        <v>3.7999999999999999E-2</v>
      </c>
      <c r="H203" s="2">
        <v>0.03</v>
      </c>
      <c r="I203" s="2">
        <v>4.4999999999999998E-2</v>
      </c>
      <c r="J203" s="2">
        <v>6.7000000000000004E-2</v>
      </c>
      <c r="K203" s="2"/>
      <c r="L203" s="2"/>
      <c r="M203" s="2"/>
      <c r="N203" s="2"/>
      <c r="O203" s="2"/>
    </row>
    <row r="204" spans="1:16" ht="15.75" customHeight="1">
      <c r="A204" s="201">
        <v>37</v>
      </c>
      <c r="B204" s="178">
        <v>1</v>
      </c>
      <c r="C204" s="206">
        <v>3.6999999999999998E-2</v>
      </c>
      <c r="D204" s="206">
        <v>3.9E-2</v>
      </c>
      <c r="E204" s="206">
        <v>4.2000000000000003E-2</v>
      </c>
      <c r="F204" s="206">
        <v>3.7999999999999999E-2</v>
      </c>
      <c r="G204" s="206">
        <v>3.1E-2</v>
      </c>
      <c r="H204" s="206">
        <v>2.9000000000000001E-2</v>
      </c>
      <c r="I204" s="206">
        <v>3.6999999999999998E-2</v>
      </c>
      <c r="J204" s="206">
        <v>5.3999999999999999E-2</v>
      </c>
      <c r="K204" s="206">
        <v>7.1999999999999995E-2</v>
      </c>
      <c r="L204" s="206">
        <v>8.8999999999999996E-2</v>
      </c>
      <c r="M204" s="206">
        <v>0.1</v>
      </c>
      <c r="N204" s="206">
        <v>0.10299999999999999</v>
      </c>
      <c r="O204" s="207">
        <v>0.1</v>
      </c>
      <c r="P204" s="2"/>
    </row>
    <row r="205" spans="1:16" ht="15.75" customHeight="1">
      <c r="A205" s="200">
        <v>37</v>
      </c>
      <c r="B205" s="179">
        <v>2</v>
      </c>
      <c r="C205" s="2">
        <v>3.4000000000000002E-2</v>
      </c>
      <c r="D205" s="2">
        <v>3.5000000000000003E-2</v>
      </c>
      <c r="E205" s="2">
        <v>3.7999999999999999E-2</v>
      </c>
      <c r="F205" s="2">
        <v>3.5999999999999997E-2</v>
      </c>
      <c r="G205" s="2">
        <v>0.03</v>
      </c>
      <c r="H205" s="2">
        <v>2.7E-2</v>
      </c>
      <c r="I205" s="2">
        <v>3.5000000000000003E-2</v>
      </c>
      <c r="J205" s="2">
        <v>0.05</v>
      </c>
      <c r="K205" s="2">
        <v>6.6000000000000003E-2</v>
      </c>
      <c r="L205" s="2">
        <v>8.1000000000000003E-2</v>
      </c>
      <c r="M205" s="2">
        <v>9.0999999999999998E-2</v>
      </c>
      <c r="N205" s="2">
        <v>9.4E-2</v>
      </c>
      <c r="O205" s="208">
        <v>9.5000000000000001E-2</v>
      </c>
      <c r="P205" s="2"/>
    </row>
    <row r="206" spans="1:16" ht="15.75" customHeight="1">
      <c r="A206" s="200">
        <v>37</v>
      </c>
      <c r="B206" s="179">
        <v>3</v>
      </c>
      <c r="C206" s="2">
        <v>4.2999999999999997E-2</v>
      </c>
      <c r="D206" s="2">
        <v>4.2999999999999997E-2</v>
      </c>
      <c r="E206" s="2">
        <v>4.3999999999999997E-2</v>
      </c>
      <c r="F206" s="2">
        <v>4.2000000000000003E-2</v>
      </c>
      <c r="G206" s="2">
        <v>3.5000000000000003E-2</v>
      </c>
      <c r="H206" s="2">
        <v>3.1E-2</v>
      </c>
      <c r="I206" s="2">
        <v>3.9E-2</v>
      </c>
      <c r="J206" s="2">
        <v>5.7000000000000002E-2</v>
      </c>
      <c r="K206" s="2">
        <v>7.5999999999999998E-2</v>
      </c>
      <c r="L206" s="2">
        <v>9.2999999999999999E-2</v>
      </c>
      <c r="M206" s="2">
        <v>0.106</v>
      </c>
      <c r="N206" s="2">
        <v>0.108</v>
      </c>
      <c r="O206" s="208">
        <v>0.104</v>
      </c>
      <c r="P206" s="2"/>
    </row>
    <row r="207" spans="1:16" ht="15.75" customHeight="1">
      <c r="A207" s="200">
        <v>37</v>
      </c>
      <c r="B207" s="179">
        <v>4</v>
      </c>
      <c r="C207" s="2">
        <v>3.9E-2</v>
      </c>
      <c r="D207" s="2">
        <v>3.7999999999999999E-2</v>
      </c>
      <c r="E207" s="2">
        <v>4.2000000000000003E-2</v>
      </c>
      <c r="F207" s="2">
        <v>0.04</v>
      </c>
      <c r="G207" s="2">
        <v>3.3000000000000002E-2</v>
      </c>
      <c r="H207" s="2">
        <v>3.1E-2</v>
      </c>
      <c r="I207" s="2">
        <v>3.5999999999999997E-2</v>
      </c>
      <c r="J207" s="2">
        <v>5.0999999999999997E-2</v>
      </c>
      <c r="K207" s="2">
        <v>6.7000000000000004E-2</v>
      </c>
      <c r="L207" s="2">
        <v>8.3000000000000004E-2</v>
      </c>
      <c r="M207" s="2">
        <v>9.4E-2</v>
      </c>
      <c r="N207" s="2">
        <v>9.7000000000000003E-2</v>
      </c>
      <c r="O207" s="208">
        <v>9.6000000000000002E-2</v>
      </c>
      <c r="P207" s="2"/>
    </row>
    <row r="208" spans="1:16" ht="15.75" customHeight="1">
      <c r="A208" s="200">
        <v>37</v>
      </c>
      <c r="B208" s="179">
        <v>5</v>
      </c>
      <c r="C208" s="2">
        <v>0.04</v>
      </c>
      <c r="D208" s="2">
        <v>0.04</v>
      </c>
      <c r="E208" s="2">
        <v>4.2999999999999997E-2</v>
      </c>
      <c r="F208" s="2">
        <v>0.04</v>
      </c>
      <c r="G208" s="2">
        <v>0.03</v>
      </c>
      <c r="H208" s="2">
        <v>2.8000000000000001E-2</v>
      </c>
      <c r="I208" s="2">
        <v>3.5999999999999997E-2</v>
      </c>
      <c r="J208" s="2">
        <v>5.2999999999999999E-2</v>
      </c>
      <c r="K208" s="2">
        <v>7.0999999999999994E-2</v>
      </c>
      <c r="L208" s="2">
        <v>8.8999999999999996E-2</v>
      </c>
      <c r="M208" s="2">
        <v>0.10299999999999999</v>
      </c>
      <c r="N208" s="2">
        <v>0.108</v>
      </c>
      <c r="O208" s="208">
        <v>0.104</v>
      </c>
      <c r="P208" s="2"/>
    </row>
    <row r="209" spans="1:16" ht="15.75" customHeight="1">
      <c r="A209" s="200">
        <v>37</v>
      </c>
      <c r="B209" s="179">
        <v>6</v>
      </c>
      <c r="C209" s="2">
        <v>3.9E-2</v>
      </c>
      <c r="D209" s="2">
        <v>3.9E-2</v>
      </c>
      <c r="E209" s="2">
        <v>4.1000000000000002E-2</v>
      </c>
      <c r="F209" s="2">
        <v>3.9E-2</v>
      </c>
      <c r="G209" s="2">
        <v>3.2000000000000001E-2</v>
      </c>
      <c r="H209" s="2">
        <v>0.03</v>
      </c>
      <c r="I209" s="2">
        <v>3.6999999999999998E-2</v>
      </c>
      <c r="J209" s="2">
        <v>5.1999999999999998E-2</v>
      </c>
      <c r="K209" s="2">
        <v>6.8000000000000005E-2</v>
      </c>
      <c r="L209" s="2">
        <v>8.7999999999999995E-2</v>
      </c>
      <c r="M209" s="2">
        <v>0.10100000000000001</v>
      </c>
      <c r="N209" s="2">
        <v>0.106</v>
      </c>
      <c r="O209" s="208">
        <v>0.10299999999999999</v>
      </c>
      <c r="P209" s="2"/>
    </row>
    <row r="210" spans="1:16" ht="15.75" customHeight="1">
      <c r="A210" s="202">
        <v>37</v>
      </c>
      <c r="B210" s="180">
        <v>7</v>
      </c>
      <c r="C210" s="30">
        <v>3.5000000000000003E-2</v>
      </c>
      <c r="D210" s="30">
        <v>3.5999999999999997E-2</v>
      </c>
      <c r="E210" s="30">
        <v>3.7999999999999999E-2</v>
      </c>
      <c r="F210" s="30">
        <v>3.5000000000000003E-2</v>
      </c>
      <c r="G210" s="30">
        <v>2.9000000000000001E-2</v>
      </c>
      <c r="H210" s="30">
        <v>2.5999999999999999E-2</v>
      </c>
      <c r="I210" s="30">
        <v>2.9000000000000001E-2</v>
      </c>
      <c r="J210" s="30">
        <v>4.1000000000000002E-2</v>
      </c>
      <c r="K210" s="30">
        <v>5.8999999999999997E-2</v>
      </c>
      <c r="L210" s="30">
        <v>7.9000000000000001E-2</v>
      </c>
      <c r="M210" s="30">
        <v>9.2999999999999999E-2</v>
      </c>
      <c r="N210" s="30">
        <v>0.1</v>
      </c>
      <c r="O210" s="209">
        <v>0.10299999999999999</v>
      </c>
      <c r="P210" s="2"/>
    </row>
    <row r="211" spans="1:16" ht="15.75" customHeight="1">
      <c r="A211" s="201">
        <v>38</v>
      </c>
      <c r="B211" s="58">
        <v>1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6" ht="15.75" customHeight="1">
      <c r="A212" s="200">
        <v>38</v>
      </c>
      <c r="B212" s="59">
        <v>2</v>
      </c>
    </row>
    <row r="213" spans="1:16" ht="15.75" customHeight="1">
      <c r="A213" s="200">
        <v>38</v>
      </c>
      <c r="B213" s="59">
        <v>3</v>
      </c>
    </row>
    <row r="214" spans="1:16" ht="15.75" customHeight="1">
      <c r="A214" s="200">
        <v>38</v>
      </c>
      <c r="B214" s="59">
        <v>4</v>
      </c>
    </row>
    <row r="215" spans="1:16" ht="15.75" customHeight="1">
      <c r="A215" s="200">
        <v>38</v>
      </c>
      <c r="B215" s="59">
        <v>5</v>
      </c>
    </row>
    <row r="216" spans="1:16" ht="15.75" customHeight="1">
      <c r="A216" s="200">
        <v>38</v>
      </c>
      <c r="B216" s="59">
        <v>6</v>
      </c>
    </row>
    <row r="217" spans="1:16" ht="15.75" customHeight="1">
      <c r="A217" s="201">
        <v>39</v>
      </c>
      <c r="B217" s="58">
        <v>1</v>
      </c>
    </row>
    <row r="218" spans="1:16" ht="15.75" customHeight="1">
      <c r="A218" s="200">
        <v>39</v>
      </c>
      <c r="B218" s="59">
        <v>2</v>
      </c>
    </row>
    <row r="219" spans="1:16" ht="15.75" customHeight="1">
      <c r="A219" s="200">
        <v>39</v>
      </c>
      <c r="B219" s="59">
        <v>3</v>
      </c>
    </row>
    <row r="220" spans="1:16" ht="15.75" customHeight="1">
      <c r="A220" s="200">
        <v>39</v>
      </c>
      <c r="B220" s="59">
        <v>4</v>
      </c>
    </row>
    <row r="221" spans="1:16" ht="15.75" customHeight="1">
      <c r="A221" s="200">
        <v>39</v>
      </c>
      <c r="B221" s="59">
        <v>5</v>
      </c>
    </row>
    <row r="222" spans="1:16" ht="15.75" customHeight="1">
      <c r="A222" s="200">
        <v>39</v>
      </c>
      <c r="B222" s="59">
        <v>6</v>
      </c>
    </row>
    <row r="223" spans="1:16" ht="15.75" customHeight="1">
      <c r="A223" s="200">
        <v>39</v>
      </c>
      <c r="B223" s="59">
        <v>7</v>
      </c>
    </row>
    <row r="224" spans="1:16" ht="15.75" customHeight="1">
      <c r="A224" s="200">
        <v>39</v>
      </c>
      <c r="B224" s="59">
        <v>8</v>
      </c>
      <c r="C224" s="402"/>
      <c r="D224" s="402"/>
      <c r="E224" s="402"/>
      <c r="F224" s="402"/>
      <c r="G224" s="402"/>
      <c r="H224" s="402"/>
    </row>
    <row r="225" spans="1:24" ht="15.75" customHeight="1">
      <c r="A225" s="177">
        <v>41</v>
      </c>
      <c r="B225" s="178">
        <v>1</v>
      </c>
      <c r="C225" s="402"/>
      <c r="D225" s="402"/>
      <c r="E225" s="402"/>
      <c r="F225" s="402"/>
      <c r="G225" s="402"/>
      <c r="H225" s="402"/>
    </row>
    <row r="226" spans="1:24" ht="15.75" customHeight="1">
      <c r="A226" s="174">
        <v>41</v>
      </c>
      <c r="B226" s="179">
        <v>2</v>
      </c>
    </row>
    <row r="227" spans="1:24" ht="15.75" customHeight="1">
      <c r="A227" s="174">
        <v>41</v>
      </c>
      <c r="B227" s="179">
        <v>3</v>
      </c>
    </row>
    <row r="228" spans="1:24" ht="15.75" customHeight="1">
      <c r="A228" s="174">
        <v>41</v>
      </c>
      <c r="B228" s="179">
        <v>4</v>
      </c>
    </row>
    <row r="229" spans="1:24" ht="15.75" customHeight="1">
      <c r="A229" s="174">
        <v>41</v>
      </c>
      <c r="B229" s="179">
        <v>5</v>
      </c>
    </row>
    <row r="230" spans="1:24" ht="15.75" customHeight="1">
      <c r="A230" s="174">
        <v>41</v>
      </c>
      <c r="B230" s="179">
        <v>6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4" ht="15.75" customHeight="1">
      <c r="A231" s="177">
        <v>42</v>
      </c>
      <c r="B231" s="178" t="s">
        <v>220</v>
      </c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7"/>
      <c r="X231" s="2"/>
    </row>
    <row r="232" spans="1:24" ht="15.75" customHeight="1">
      <c r="A232" s="174">
        <v>42</v>
      </c>
      <c r="B232" s="179" t="s">
        <v>221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08"/>
      <c r="X232" s="2"/>
    </row>
    <row r="233" spans="1:24" ht="15.75" customHeight="1">
      <c r="A233" s="174">
        <v>42</v>
      </c>
      <c r="B233" s="179" t="s">
        <v>222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08"/>
      <c r="X233" s="2"/>
    </row>
    <row r="234" spans="1:24" ht="15.75" customHeight="1">
      <c r="A234" s="174">
        <v>42</v>
      </c>
      <c r="B234" s="179" t="s">
        <v>224</v>
      </c>
      <c r="C234" s="2">
        <v>9.9000000000000005E-2</v>
      </c>
      <c r="D234" s="2">
        <v>9.9000000000000005E-2</v>
      </c>
      <c r="E234" s="2">
        <v>9.8000000000000004E-2</v>
      </c>
      <c r="F234" s="2">
        <v>9.7000000000000003E-2</v>
      </c>
      <c r="G234" s="2">
        <v>9.4E-2</v>
      </c>
      <c r="H234" s="2">
        <v>9.1999999999999998E-2</v>
      </c>
      <c r="I234" s="2">
        <v>8.8999999999999996E-2</v>
      </c>
      <c r="J234" s="2">
        <v>8.5000000000000006E-2</v>
      </c>
      <c r="K234" s="2">
        <v>0.08</v>
      </c>
      <c r="L234" s="2">
        <v>7.2999999999999995E-2</v>
      </c>
      <c r="M234" s="2">
        <v>6.7000000000000004E-2</v>
      </c>
      <c r="N234" s="2">
        <v>6.2E-2</v>
      </c>
      <c r="O234" s="2">
        <v>5.7000000000000002E-2</v>
      </c>
      <c r="P234" s="2">
        <v>5.0999999999999997E-2</v>
      </c>
      <c r="Q234" s="2">
        <v>4.4999999999999998E-2</v>
      </c>
      <c r="R234" s="2"/>
      <c r="S234" s="2"/>
      <c r="T234" s="2"/>
      <c r="U234" s="2"/>
      <c r="V234" s="2"/>
      <c r="W234" s="208"/>
      <c r="X234" s="2"/>
    </row>
    <row r="235" spans="1:24" ht="15.75" customHeight="1">
      <c r="A235" s="174">
        <v>42</v>
      </c>
      <c r="B235" s="179" t="s">
        <v>225</v>
      </c>
      <c r="C235" s="2">
        <v>9.2999999999999999E-2</v>
      </c>
      <c r="D235" s="2">
        <v>9.1999999999999998E-2</v>
      </c>
      <c r="E235" s="2">
        <v>9.0999999999999998E-2</v>
      </c>
      <c r="F235" s="2">
        <v>8.8999999999999996E-2</v>
      </c>
      <c r="G235" s="2">
        <v>8.5999999999999993E-2</v>
      </c>
      <c r="H235" s="2">
        <v>8.3000000000000004E-2</v>
      </c>
      <c r="I235" s="2">
        <v>0.08</v>
      </c>
      <c r="J235" s="2">
        <v>7.4999999999999997E-2</v>
      </c>
      <c r="K235" s="2">
        <v>6.9000000000000006E-2</v>
      </c>
      <c r="L235" s="2">
        <v>6.2E-2</v>
      </c>
      <c r="M235" s="2">
        <v>5.6000000000000001E-2</v>
      </c>
      <c r="N235" s="2">
        <v>5.0999999999999997E-2</v>
      </c>
      <c r="O235" s="2">
        <v>4.4999999999999998E-2</v>
      </c>
      <c r="P235" s="2">
        <v>3.6999999999999998E-2</v>
      </c>
      <c r="Q235" s="2">
        <v>3.1E-2</v>
      </c>
      <c r="R235" s="2"/>
      <c r="S235" s="2"/>
      <c r="T235" s="2"/>
      <c r="U235" s="2"/>
      <c r="V235" s="2"/>
      <c r="W235" s="208"/>
      <c r="X235" s="2"/>
    </row>
    <row r="236" spans="1:24" ht="15.75" customHeight="1">
      <c r="A236" s="175">
        <v>42</v>
      </c>
      <c r="B236" s="180" t="s">
        <v>226</v>
      </c>
      <c r="C236" s="30">
        <v>9.2999999999999999E-2</v>
      </c>
      <c r="D236" s="30">
        <v>9.1999999999999998E-2</v>
      </c>
      <c r="E236" s="30">
        <v>9.0999999999999998E-2</v>
      </c>
      <c r="F236" s="30">
        <v>8.8999999999999996E-2</v>
      </c>
      <c r="G236" s="30">
        <v>8.5999999999999993E-2</v>
      </c>
      <c r="H236" s="30">
        <v>8.3000000000000004E-2</v>
      </c>
      <c r="I236" s="30">
        <v>0.08</v>
      </c>
      <c r="J236" s="30">
        <v>7.4999999999999997E-2</v>
      </c>
      <c r="K236" s="30">
        <v>6.9000000000000006E-2</v>
      </c>
      <c r="L236" s="30">
        <v>6.2E-2</v>
      </c>
      <c r="M236" s="30">
        <v>5.6000000000000001E-2</v>
      </c>
      <c r="N236" s="30">
        <v>5.0999999999999997E-2</v>
      </c>
      <c r="O236" s="30">
        <v>4.4999999999999998E-2</v>
      </c>
      <c r="P236" s="30">
        <v>3.6999999999999998E-2</v>
      </c>
      <c r="Q236" s="30">
        <v>3.1E-2</v>
      </c>
      <c r="R236" s="30"/>
      <c r="S236" s="30"/>
      <c r="T236" s="30"/>
      <c r="U236" s="30"/>
      <c r="V236" s="30"/>
      <c r="W236" s="209"/>
      <c r="X236" s="2"/>
    </row>
    <row r="237" spans="1:24" ht="15.75" customHeight="1">
      <c r="A237" s="201">
        <v>43</v>
      </c>
      <c r="B237" s="58">
        <v>1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4" ht="15.75" customHeight="1">
      <c r="A238" s="200">
        <v>43</v>
      </c>
      <c r="B238" s="59">
        <v>2</v>
      </c>
    </row>
    <row r="239" spans="1:24" ht="15.75" customHeight="1">
      <c r="A239" s="200">
        <v>43</v>
      </c>
      <c r="B239" s="59">
        <v>3</v>
      </c>
    </row>
    <row r="240" spans="1:24" ht="15.75" customHeight="1">
      <c r="A240" s="201">
        <v>44</v>
      </c>
      <c r="B240" s="58" t="s">
        <v>220</v>
      </c>
    </row>
    <row r="241" spans="1:19" ht="15.75" customHeight="1">
      <c r="A241" s="200">
        <v>44</v>
      </c>
      <c r="B241" s="59" t="s">
        <v>221</v>
      </c>
    </row>
    <row r="242" spans="1:19" ht="15.75" customHeight="1">
      <c r="A242" s="200">
        <v>44</v>
      </c>
      <c r="B242" s="59" t="s">
        <v>222</v>
      </c>
    </row>
    <row r="243" spans="1:19" ht="15.75" customHeight="1">
      <c r="A243" s="200">
        <v>44</v>
      </c>
      <c r="B243" s="59" t="s">
        <v>223</v>
      </c>
    </row>
    <row r="244" spans="1:19" ht="15.75" customHeight="1">
      <c r="A244" s="200">
        <v>44</v>
      </c>
      <c r="B244" s="59" t="s">
        <v>228</v>
      </c>
    </row>
    <row r="245" spans="1:19" ht="15.75" customHeight="1">
      <c r="A245" s="200">
        <v>44</v>
      </c>
      <c r="B245" s="59" t="s">
        <v>224</v>
      </c>
    </row>
    <row r="246" spans="1:19" ht="15.75" customHeight="1">
      <c r="A246" s="200">
        <v>44</v>
      </c>
      <c r="B246" s="59" t="s">
        <v>225</v>
      </c>
    </row>
    <row r="247" spans="1:19" ht="15.75" customHeight="1">
      <c r="A247" s="200">
        <v>44</v>
      </c>
      <c r="B247" s="59" t="s">
        <v>226</v>
      </c>
    </row>
    <row r="248" spans="1:19" ht="15.75" customHeight="1">
      <c r="A248" s="200">
        <v>44</v>
      </c>
      <c r="B248" s="59" t="s">
        <v>227</v>
      </c>
    </row>
    <row r="249" spans="1:19" ht="15.75" customHeight="1">
      <c r="A249" s="200">
        <v>44</v>
      </c>
      <c r="B249" s="59" t="s">
        <v>229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9" ht="15.75" customHeight="1">
      <c r="A250" s="177">
        <v>45</v>
      </c>
      <c r="B250" s="178" t="s">
        <v>220</v>
      </c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7"/>
      <c r="S250" s="2"/>
    </row>
    <row r="251" spans="1:19" ht="15.75" customHeight="1">
      <c r="A251" s="174">
        <v>45</v>
      </c>
      <c r="B251" s="179" t="s">
        <v>221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08"/>
      <c r="S251" s="2"/>
    </row>
    <row r="252" spans="1:19" ht="15.75" customHeight="1">
      <c r="A252" s="174">
        <v>45</v>
      </c>
      <c r="B252" s="179" t="s">
        <v>222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08"/>
      <c r="S252" s="2"/>
    </row>
    <row r="253" spans="1:19" ht="15.75" customHeight="1">
      <c r="A253" s="174">
        <v>45</v>
      </c>
      <c r="B253" s="179" t="s">
        <v>223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08"/>
      <c r="S253" s="2"/>
    </row>
    <row r="254" spans="1:19" ht="15.75" customHeight="1">
      <c r="A254" s="174">
        <v>45</v>
      </c>
      <c r="B254" s="179" t="s">
        <v>224</v>
      </c>
      <c r="C254" s="2">
        <v>4.1000000000000002E-2</v>
      </c>
      <c r="D254" s="2">
        <v>3.1E-2</v>
      </c>
      <c r="E254" s="2">
        <v>2.9000000000000001E-2</v>
      </c>
      <c r="F254" s="2">
        <v>3.3000000000000002E-2</v>
      </c>
      <c r="G254" s="2">
        <v>3.9E-2</v>
      </c>
      <c r="H254" s="2">
        <v>5.5E-2</v>
      </c>
      <c r="I254" s="2">
        <v>8.2000000000000003E-2</v>
      </c>
      <c r="J254" s="2">
        <v>7.5999999999999998E-2</v>
      </c>
      <c r="K254" s="2">
        <v>4.9000000000000002E-2</v>
      </c>
      <c r="L254" s="2">
        <v>3.7999999999999999E-2</v>
      </c>
      <c r="M254" s="2">
        <v>4.5999999999999999E-2</v>
      </c>
      <c r="N254" s="2">
        <v>6.2E-2</v>
      </c>
      <c r="O254" s="2">
        <v>8.1000000000000003E-2</v>
      </c>
      <c r="P254" s="2">
        <v>9.9000000000000005E-2</v>
      </c>
      <c r="Q254" s="2">
        <v>0.114</v>
      </c>
      <c r="R254" s="208">
        <v>0.123</v>
      </c>
      <c r="S254" s="2"/>
    </row>
    <row r="255" spans="1:19" ht="15.75" customHeight="1">
      <c r="A255" s="174">
        <v>45</v>
      </c>
      <c r="B255" s="179" t="s">
        <v>225</v>
      </c>
      <c r="C255" s="2">
        <v>3.1E-2</v>
      </c>
      <c r="D255" s="2">
        <v>2.3E-2</v>
      </c>
      <c r="E255" s="2">
        <v>2.3E-2</v>
      </c>
      <c r="F255" s="2">
        <v>2.7E-2</v>
      </c>
      <c r="G255" s="2">
        <v>4.2000000000000003E-2</v>
      </c>
      <c r="H255" s="2">
        <v>7.2999999999999995E-2</v>
      </c>
      <c r="I255" s="2">
        <v>0.126</v>
      </c>
      <c r="J255" s="2">
        <v>0.09</v>
      </c>
      <c r="K255" s="2">
        <v>4.4999999999999998E-2</v>
      </c>
      <c r="L255" s="2">
        <v>3.3000000000000002E-2</v>
      </c>
      <c r="M255" s="2">
        <v>3.9E-2</v>
      </c>
      <c r="N255" s="2">
        <v>5.1999999999999998E-2</v>
      </c>
      <c r="O255" s="2">
        <v>7.2999999999999995E-2</v>
      </c>
      <c r="P255" s="2">
        <v>0.09</v>
      </c>
      <c r="Q255" s="2">
        <v>0.10199999999999999</v>
      </c>
      <c r="R255" s="208"/>
      <c r="S255" s="2"/>
    </row>
    <row r="256" spans="1:19" ht="15.75" customHeight="1">
      <c r="A256" s="174">
        <v>45</v>
      </c>
      <c r="B256" s="179" t="s">
        <v>226</v>
      </c>
      <c r="C256" s="2">
        <v>6.6000000000000003E-2</v>
      </c>
      <c r="D256" s="2">
        <v>4.5999999999999999E-2</v>
      </c>
      <c r="E256" s="2">
        <v>4.3999999999999997E-2</v>
      </c>
      <c r="F256" s="2">
        <v>5.3999999999999999E-2</v>
      </c>
      <c r="G256" s="2">
        <v>7.0000000000000007E-2</v>
      </c>
      <c r="H256" s="2">
        <v>0.10100000000000001</v>
      </c>
      <c r="I256" s="2">
        <v>0.14199999999999999</v>
      </c>
      <c r="J256" s="2">
        <v>0.127</v>
      </c>
      <c r="K256" s="2">
        <v>8.5000000000000006E-2</v>
      </c>
      <c r="L256" s="2">
        <v>6.4000000000000001E-2</v>
      </c>
      <c r="M256" s="2">
        <v>5.8000000000000003E-2</v>
      </c>
      <c r="N256" s="2">
        <v>6.2E-2</v>
      </c>
      <c r="O256" s="2">
        <v>7.9000000000000001E-2</v>
      </c>
      <c r="P256" s="2">
        <v>9.6000000000000002E-2</v>
      </c>
      <c r="Q256" s="2">
        <v>8.8999999999999996E-2</v>
      </c>
      <c r="R256" s="208"/>
      <c r="S256" s="2"/>
    </row>
    <row r="257" spans="1:22" ht="15.75" customHeight="1">
      <c r="A257" s="174">
        <v>45</v>
      </c>
      <c r="B257" s="179" t="s">
        <v>227</v>
      </c>
      <c r="C257" s="2">
        <v>7.1999999999999995E-2</v>
      </c>
      <c r="D257" s="2">
        <v>4.5999999999999999E-2</v>
      </c>
      <c r="E257" s="2">
        <v>3.9E-2</v>
      </c>
      <c r="F257" s="2">
        <v>4.2000000000000003E-2</v>
      </c>
      <c r="G257" s="2">
        <v>6.6000000000000003E-2</v>
      </c>
      <c r="H257" s="2">
        <v>0.125</v>
      </c>
      <c r="I257" s="2">
        <v>0.17299999999999999</v>
      </c>
      <c r="J257" s="2">
        <v>0.11600000000000001</v>
      </c>
      <c r="K257" s="2">
        <v>6.4000000000000001E-2</v>
      </c>
      <c r="L257" s="2">
        <v>4.5999999999999999E-2</v>
      </c>
      <c r="M257" s="2">
        <v>4.4999999999999998E-2</v>
      </c>
      <c r="N257" s="2">
        <v>5.0999999999999997E-2</v>
      </c>
      <c r="O257" s="2">
        <v>6.7000000000000004E-2</v>
      </c>
      <c r="P257" s="2">
        <v>8.2000000000000003E-2</v>
      </c>
      <c r="Q257" s="2">
        <v>9.1999999999999998E-2</v>
      </c>
      <c r="R257" s="208">
        <v>9.8000000000000004E-2</v>
      </c>
      <c r="S257" s="2"/>
      <c r="T257" s="2"/>
      <c r="U257" s="2"/>
    </row>
    <row r="258" spans="1:22" ht="15.75" customHeight="1">
      <c r="A258" s="177">
        <v>46</v>
      </c>
      <c r="B258" s="178">
        <v>1</v>
      </c>
      <c r="C258" s="206">
        <v>1.389</v>
      </c>
      <c r="D258" s="206">
        <v>1.0660000000000001</v>
      </c>
      <c r="E258" s="206">
        <v>1.0660000000000001</v>
      </c>
      <c r="F258" s="206">
        <v>1.0109999999999999</v>
      </c>
      <c r="G258" s="206">
        <v>1.089</v>
      </c>
      <c r="H258" s="206">
        <v>1.2230000000000001</v>
      </c>
      <c r="I258" s="206">
        <v>1.4339999999999999</v>
      </c>
      <c r="J258" s="206">
        <v>1.718</v>
      </c>
      <c r="K258" s="206">
        <v>2.0579999999999998</v>
      </c>
      <c r="L258" s="206">
        <v>2.5710000000000002</v>
      </c>
      <c r="M258" s="206">
        <v>3.4239999999999999</v>
      </c>
      <c r="N258" s="206">
        <v>4.4169999999999998</v>
      </c>
      <c r="O258" s="206">
        <v>5.6379999999999999</v>
      </c>
      <c r="P258" s="206">
        <v>6.9710000000000001</v>
      </c>
      <c r="Q258" s="206">
        <v>7.1970000000000001</v>
      </c>
      <c r="R258" s="206">
        <v>6.4039999999999999</v>
      </c>
      <c r="S258" s="206">
        <v>7.43</v>
      </c>
      <c r="T258" s="206">
        <v>5.8209999999999997</v>
      </c>
      <c r="U258" s="207">
        <v>4.758</v>
      </c>
      <c r="V258" s="2"/>
    </row>
    <row r="259" spans="1:22" ht="15.75" customHeight="1">
      <c r="A259" s="174">
        <v>46</v>
      </c>
      <c r="B259" s="179">
        <v>2</v>
      </c>
      <c r="C259" s="2">
        <v>0.105</v>
      </c>
      <c r="D259" s="2">
        <v>7.3999999999999996E-2</v>
      </c>
      <c r="E259" s="2">
        <v>6.8000000000000005E-2</v>
      </c>
      <c r="F259" s="2">
        <v>6.3E-2</v>
      </c>
      <c r="G259" s="2">
        <v>6.3E-2</v>
      </c>
      <c r="H259" s="2">
        <v>6.2E-2</v>
      </c>
      <c r="I259" s="2">
        <v>6.5000000000000002E-2</v>
      </c>
      <c r="J259" s="2">
        <v>6.8000000000000005E-2</v>
      </c>
      <c r="K259" s="2">
        <v>7.2999999999999995E-2</v>
      </c>
      <c r="L259" s="2">
        <v>0.08</v>
      </c>
      <c r="M259" s="2">
        <v>9.0999999999999998E-2</v>
      </c>
      <c r="N259" s="2">
        <v>0.10199999999999999</v>
      </c>
      <c r="O259" s="2">
        <v>0.11899999999999999</v>
      </c>
      <c r="P259" s="2">
        <v>0.13600000000000001</v>
      </c>
      <c r="Q259" s="2">
        <v>0.16500000000000001</v>
      </c>
      <c r="R259" s="2">
        <v>0.193</v>
      </c>
      <c r="S259" s="2">
        <v>0.22900000000000001</v>
      </c>
      <c r="T259" s="2">
        <v>0.27100000000000002</v>
      </c>
      <c r="U259" s="208">
        <v>0.32100000000000001</v>
      </c>
      <c r="V259" s="2"/>
    </row>
    <row r="260" spans="1:22" ht="15.75" customHeight="1">
      <c r="A260" s="174">
        <v>46</v>
      </c>
      <c r="B260" s="179">
        <v>3</v>
      </c>
      <c r="C260" s="2">
        <v>0.122</v>
      </c>
      <c r="D260" s="2">
        <v>9.5000000000000001E-2</v>
      </c>
      <c r="E260" s="2">
        <v>8.3000000000000004E-2</v>
      </c>
      <c r="F260" s="2">
        <v>7.8E-2</v>
      </c>
      <c r="G260" s="2">
        <v>7.8E-2</v>
      </c>
      <c r="H260" s="2">
        <v>7.4999999999999997E-2</v>
      </c>
      <c r="I260" s="2">
        <v>8.1000000000000003E-2</v>
      </c>
      <c r="J260" s="2">
        <v>8.7999999999999995E-2</v>
      </c>
      <c r="K260" s="2">
        <v>9.0999999999999998E-2</v>
      </c>
      <c r="L260" s="2">
        <v>0.104</v>
      </c>
      <c r="M260" s="2">
        <v>0.11899999999999999</v>
      </c>
      <c r="N260" s="2">
        <v>0.13700000000000001</v>
      </c>
      <c r="O260" s="2">
        <v>0.16</v>
      </c>
      <c r="P260" s="2">
        <v>0.191</v>
      </c>
      <c r="Q260" s="2">
        <v>0.224</v>
      </c>
      <c r="R260" s="2">
        <v>0.26</v>
      </c>
      <c r="S260" s="2">
        <v>0.311</v>
      </c>
      <c r="T260" s="2">
        <v>0.35699999999999998</v>
      </c>
      <c r="U260" s="208">
        <v>0.42299999999999999</v>
      </c>
      <c r="V260" s="2"/>
    </row>
    <row r="261" spans="1:22" ht="15.75" customHeight="1">
      <c r="A261" s="174">
        <v>46</v>
      </c>
      <c r="B261" s="179">
        <v>4</v>
      </c>
      <c r="C261" s="2">
        <v>0.122</v>
      </c>
      <c r="D261" s="2">
        <v>0.09</v>
      </c>
      <c r="E261" s="2">
        <v>7.9000000000000001E-2</v>
      </c>
      <c r="F261" s="2">
        <v>7.1999999999999995E-2</v>
      </c>
      <c r="G261" s="2">
        <v>7.0000000000000007E-2</v>
      </c>
      <c r="H261" s="2">
        <v>6.9000000000000006E-2</v>
      </c>
      <c r="I261" s="2">
        <v>7.4999999999999997E-2</v>
      </c>
      <c r="J261" s="2">
        <v>7.8E-2</v>
      </c>
      <c r="K261" s="2">
        <v>8.3000000000000004E-2</v>
      </c>
      <c r="L261" s="2">
        <v>9.1999999999999998E-2</v>
      </c>
      <c r="M261" s="2">
        <v>0.105</v>
      </c>
      <c r="N261" s="2">
        <v>0.121</v>
      </c>
      <c r="O261" s="2">
        <v>0.14299999999999999</v>
      </c>
      <c r="P261" s="2">
        <v>0.158</v>
      </c>
      <c r="Q261" s="2">
        <v>0.189</v>
      </c>
      <c r="R261" s="2">
        <v>0.22600000000000001</v>
      </c>
      <c r="S261" s="2">
        <v>0.26500000000000001</v>
      </c>
      <c r="T261" s="2">
        <v>0.311</v>
      </c>
      <c r="U261" s="208">
        <v>0.36099999999999999</v>
      </c>
      <c r="V261" s="2"/>
    </row>
    <row r="262" spans="1:22" ht="15.75" customHeight="1">
      <c r="A262" s="174">
        <v>46</v>
      </c>
      <c r="B262" s="179">
        <v>5</v>
      </c>
      <c r="C262" s="2">
        <v>0.13700000000000001</v>
      </c>
      <c r="D262" s="2">
        <v>8.3000000000000004E-2</v>
      </c>
      <c r="E262" s="2">
        <v>7.8E-2</v>
      </c>
      <c r="F262" s="2">
        <v>8.1000000000000003E-2</v>
      </c>
      <c r="G262" s="2">
        <v>7.5999999999999998E-2</v>
      </c>
      <c r="H262" s="2">
        <v>8.2000000000000003E-2</v>
      </c>
      <c r="I262" s="2">
        <v>8.7999999999999995E-2</v>
      </c>
      <c r="J262" s="2">
        <v>9.8000000000000004E-2</v>
      </c>
      <c r="K262" s="2">
        <v>0.104</v>
      </c>
      <c r="L262" s="2">
        <v>0.11600000000000001</v>
      </c>
      <c r="M262" s="2">
        <v>0.13600000000000001</v>
      </c>
      <c r="N262" s="2">
        <v>0.158</v>
      </c>
      <c r="O262" s="2">
        <v>0.191</v>
      </c>
      <c r="P262" s="2">
        <v>0.219</v>
      </c>
      <c r="Q262" s="2">
        <v>0.26500000000000001</v>
      </c>
      <c r="R262" s="2">
        <v>0.311</v>
      </c>
      <c r="S262" s="2">
        <v>0.36899999999999999</v>
      </c>
      <c r="T262" s="2">
        <v>0.44600000000000001</v>
      </c>
      <c r="U262" s="208">
        <v>0.50700000000000001</v>
      </c>
      <c r="V262" s="2"/>
    </row>
    <row r="263" spans="1:22" ht="15.75" customHeight="1">
      <c r="A263" s="174">
        <v>46</v>
      </c>
      <c r="B263" s="179">
        <v>6</v>
      </c>
      <c r="C263" s="2">
        <v>0.751</v>
      </c>
      <c r="D263" s="2">
        <v>0.496</v>
      </c>
      <c r="E263" s="2">
        <v>0.42299999999999999</v>
      </c>
      <c r="F263" s="2">
        <v>0.38900000000000001</v>
      </c>
      <c r="G263" s="2">
        <v>0.38900000000000001</v>
      </c>
      <c r="H263" s="2">
        <v>0.38900000000000001</v>
      </c>
      <c r="I263" s="2">
        <v>0.42299999999999999</v>
      </c>
      <c r="J263" s="2">
        <v>0.45100000000000001</v>
      </c>
      <c r="K263" s="2">
        <v>0.496</v>
      </c>
      <c r="L263" s="2">
        <v>0.56999999999999995</v>
      </c>
      <c r="M263" s="2">
        <v>0.62</v>
      </c>
      <c r="N263" s="2">
        <v>0.70499999999999996</v>
      </c>
      <c r="O263" s="2">
        <v>0.76700000000000002</v>
      </c>
      <c r="P263" s="30">
        <v>0.86199999999999999</v>
      </c>
      <c r="Q263" s="30">
        <v>0.94799999999999995</v>
      </c>
      <c r="R263" s="30">
        <v>1.21</v>
      </c>
      <c r="S263" s="30">
        <v>1.173</v>
      </c>
      <c r="T263" s="30">
        <v>1.276</v>
      </c>
      <c r="U263" s="209">
        <v>1.4039999999999999</v>
      </c>
      <c r="V263" s="2"/>
    </row>
    <row r="264" spans="1:22" ht="15.75" customHeight="1">
      <c r="A264" s="177">
        <v>47</v>
      </c>
      <c r="B264" s="178" t="s">
        <v>220</v>
      </c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7"/>
      <c r="P264" s="2"/>
      <c r="Q264" s="2"/>
      <c r="R264" s="2"/>
      <c r="S264" s="2"/>
      <c r="T264" s="2"/>
      <c r="U264" s="2"/>
    </row>
    <row r="265" spans="1:22" ht="15.75" customHeight="1">
      <c r="A265" s="174">
        <v>47</v>
      </c>
      <c r="B265" s="179">
        <v>2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08"/>
      <c r="P265" s="2"/>
    </row>
    <row r="266" spans="1:22" ht="15.75" customHeight="1">
      <c r="A266" s="174">
        <v>47</v>
      </c>
      <c r="B266" s="179">
        <v>3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08"/>
      <c r="P266" s="2"/>
    </row>
    <row r="267" spans="1:22" ht="15.75" customHeight="1">
      <c r="A267" s="174">
        <v>47</v>
      </c>
      <c r="B267" s="179" t="s">
        <v>223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08"/>
      <c r="P267" s="2"/>
    </row>
    <row r="268" spans="1:22" ht="15.75" customHeight="1">
      <c r="A268" s="174">
        <v>47</v>
      </c>
      <c r="B268" s="179">
        <v>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08"/>
      <c r="P268" s="2"/>
    </row>
    <row r="269" spans="1:22" ht="15.75" customHeight="1">
      <c r="A269" s="174">
        <v>47</v>
      </c>
      <c r="B269" s="179" t="s">
        <v>224</v>
      </c>
      <c r="C269" s="2">
        <v>2.3E-2</v>
      </c>
      <c r="D269" s="2">
        <v>2.5999999999999999E-2</v>
      </c>
      <c r="E269" s="2">
        <v>2.7E-2</v>
      </c>
      <c r="F269" s="2">
        <v>2.9000000000000001E-2</v>
      </c>
      <c r="G269" s="2">
        <v>3.5999999999999997E-2</v>
      </c>
      <c r="H269" s="2">
        <v>0.05</v>
      </c>
      <c r="I269" s="2">
        <v>5.1999999999999998E-2</v>
      </c>
      <c r="J269" s="2">
        <v>4.2999999999999997E-2</v>
      </c>
      <c r="K269" s="2">
        <v>3.4000000000000002E-2</v>
      </c>
      <c r="L269" s="2">
        <v>3.4000000000000002E-2</v>
      </c>
      <c r="M269" s="2">
        <v>4.5999999999999999E-2</v>
      </c>
      <c r="N269" s="2">
        <v>7.8E-2</v>
      </c>
      <c r="O269" s="208">
        <v>0.105</v>
      </c>
      <c r="P269" s="2"/>
    </row>
    <row r="270" spans="1:22" ht="15.75" customHeight="1">
      <c r="A270" s="175">
        <v>47</v>
      </c>
      <c r="B270" s="180" t="s">
        <v>227</v>
      </c>
      <c r="C270" s="30">
        <v>1.2999999999999999E-2</v>
      </c>
      <c r="D270" s="30">
        <v>1.4999999999999999E-2</v>
      </c>
      <c r="E270" s="30">
        <v>1.4999999999999999E-2</v>
      </c>
      <c r="F270" s="30">
        <v>1.7999999999999999E-2</v>
      </c>
      <c r="G270" s="30">
        <v>2.3E-2</v>
      </c>
      <c r="H270" s="30">
        <v>2.8000000000000001E-2</v>
      </c>
      <c r="I270" s="30">
        <v>3.3000000000000002E-2</v>
      </c>
      <c r="J270" s="30">
        <v>3.2000000000000001E-2</v>
      </c>
      <c r="K270" s="30">
        <v>2.9000000000000001E-2</v>
      </c>
      <c r="L270" s="30">
        <v>3.3000000000000002E-2</v>
      </c>
      <c r="M270" s="30">
        <v>5.3999999999999999E-2</v>
      </c>
      <c r="N270" s="30">
        <v>7.6999999999999999E-2</v>
      </c>
      <c r="O270" s="209">
        <v>0.105</v>
      </c>
      <c r="P270" s="2"/>
    </row>
    <row r="271" spans="1:22" ht="15.75" customHeight="1">
      <c r="A271" s="177">
        <v>48</v>
      </c>
      <c r="B271" s="178">
        <v>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22" ht="15.75" customHeight="1">
      <c r="A272" s="174">
        <v>48</v>
      </c>
      <c r="B272" s="179">
        <v>2</v>
      </c>
    </row>
    <row r="273" spans="1:2" ht="15.75" customHeight="1">
      <c r="A273" s="174">
        <v>48</v>
      </c>
      <c r="B273" s="179">
        <v>3</v>
      </c>
    </row>
    <row r="274" spans="1:2" ht="15.75" customHeight="1">
      <c r="A274" s="174">
        <v>48</v>
      </c>
      <c r="B274" s="179">
        <v>4</v>
      </c>
    </row>
    <row r="275" spans="1:2" ht="15.75" customHeight="1">
      <c r="A275" s="174">
        <v>48</v>
      </c>
      <c r="B275" s="179">
        <v>5</v>
      </c>
    </row>
    <row r="276" spans="1:2" ht="15.75" customHeight="1">
      <c r="A276" s="174">
        <v>48</v>
      </c>
      <c r="B276" s="179">
        <v>6</v>
      </c>
    </row>
    <row r="277" spans="1:2" ht="15.75" customHeight="1">
      <c r="A277" s="174">
        <v>48</v>
      </c>
      <c r="B277" s="179">
        <v>7</v>
      </c>
    </row>
    <row r="278" spans="1:2" ht="15.75" customHeight="1">
      <c r="A278" s="174">
        <v>48</v>
      </c>
      <c r="B278" s="179">
        <v>8</v>
      </c>
    </row>
    <row r="279" spans="1:2" ht="15.75" customHeight="1">
      <c r="A279" s="174">
        <v>48</v>
      </c>
      <c r="B279" s="179">
        <v>9</v>
      </c>
    </row>
    <row r="280" spans="1:2" ht="15.75" customHeight="1">
      <c r="A280" s="174">
        <v>48</v>
      </c>
      <c r="B280" s="179">
        <v>10</v>
      </c>
    </row>
    <row r="281" spans="1:2" ht="15.75" customHeight="1">
      <c r="A281" s="174">
        <v>48</v>
      </c>
      <c r="B281" s="179">
        <v>11</v>
      </c>
    </row>
    <row r="282" spans="1:2" ht="15.75" customHeight="1">
      <c r="A282" s="174">
        <v>48</v>
      </c>
      <c r="B282" s="179">
        <v>12</v>
      </c>
    </row>
    <row r="283" spans="1:2" ht="15.75" customHeight="1">
      <c r="A283" s="266">
        <v>49</v>
      </c>
      <c r="B283" s="58">
        <v>1</v>
      </c>
    </row>
    <row r="284" spans="1:2" ht="15.75" customHeight="1">
      <c r="A284" s="210">
        <v>49</v>
      </c>
      <c r="B284" s="59">
        <v>2</v>
      </c>
    </row>
    <row r="285" spans="1:2" ht="15.75" customHeight="1">
      <c r="A285" s="210">
        <v>49</v>
      </c>
      <c r="B285" s="59">
        <v>3</v>
      </c>
    </row>
    <row r="286" spans="1:2" ht="15.75" customHeight="1">
      <c r="A286" s="205">
        <v>50</v>
      </c>
      <c r="B286" s="59">
        <v>1</v>
      </c>
    </row>
    <row r="287" spans="1:2" ht="15.75" customHeight="1">
      <c r="A287" s="205">
        <v>50</v>
      </c>
      <c r="B287" s="59">
        <v>2</v>
      </c>
    </row>
    <row r="288" spans="1:2" ht="15.75" customHeight="1">
      <c r="A288" s="205">
        <v>50</v>
      </c>
      <c r="B288" s="59">
        <v>3</v>
      </c>
    </row>
    <row r="289" spans="1:10" ht="15.75" customHeight="1">
      <c r="A289" s="205">
        <v>50</v>
      </c>
      <c r="B289" s="59">
        <v>4</v>
      </c>
      <c r="C289" s="2"/>
      <c r="D289" s="2"/>
      <c r="E289" s="2"/>
      <c r="F289" s="2"/>
      <c r="G289" s="2"/>
      <c r="H289" s="2"/>
      <c r="I289" s="2"/>
    </row>
    <row r="290" spans="1:10" ht="15.75" customHeight="1">
      <c r="A290" s="201">
        <v>51</v>
      </c>
      <c r="B290" s="58">
        <v>1</v>
      </c>
      <c r="C290" s="206">
        <v>2.4E-2</v>
      </c>
      <c r="D290" s="206">
        <v>3.5999999999999997E-2</v>
      </c>
      <c r="E290" s="206">
        <v>0.08</v>
      </c>
      <c r="F290" s="206">
        <v>9.2999999999999999E-2</v>
      </c>
      <c r="G290" s="206">
        <v>0.06</v>
      </c>
      <c r="H290" s="206">
        <v>0.09</v>
      </c>
      <c r="I290" s="207">
        <v>0.112</v>
      </c>
      <c r="J290" s="2"/>
    </row>
    <row r="291" spans="1:10" ht="15.75" customHeight="1">
      <c r="A291" s="200">
        <v>51</v>
      </c>
      <c r="B291" s="59">
        <v>2</v>
      </c>
      <c r="C291" s="2">
        <v>3.5000000000000003E-2</v>
      </c>
      <c r="D291" s="2">
        <v>4.2000000000000003E-2</v>
      </c>
      <c r="E291" s="2">
        <v>6.6000000000000003E-2</v>
      </c>
      <c r="F291" s="2">
        <v>6.5000000000000002E-2</v>
      </c>
      <c r="G291" s="2">
        <v>5.1999999999999998E-2</v>
      </c>
      <c r="H291" s="2">
        <v>7.5999999999999998E-2</v>
      </c>
      <c r="I291" s="208">
        <v>9.8000000000000004E-2</v>
      </c>
      <c r="J291" s="2"/>
    </row>
    <row r="292" spans="1:10" ht="15.75" customHeight="1">
      <c r="A292" s="200">
        <v>51</v>
      </c>
      <c r="B292" s="59">
        <v>3</v>
      </c>
      <c r="C292" s="2">
        <v>3.3000000000000002E-2</v>
      </c>
      <c r="D292" s="2">
        <v>0.04</v>
      </c>
      <c r="E292" s="2">
        <v>6.5000000000000002E-2</v>
      </c>
      <c r="F292" s="2">
        <v>6.7000000000000004E-2</v>
      </c>
      <c r="G292" s="2">
        <v>5.3999999999999999E-2</v>
      </c>
      <c r="H292" s="2">
        <v>7.1999999999999995E-2</v>
      </c>
      <c r="I292" s="208">
        <v>9.4E-2</v>
      </c>
      <c r="J292" s="2"/>
    </row>
    <row r="293" spans="1:10" ht="15.75" customHeight="1">
      <c r="A293" s="200">
        <v>51</v>
      </c>
      <c r="B293" s="59">
        <v>4</v>
      </c>
      <c r="C293" s="2">
        <v>3.5000000000000003E-2</v>
      </c>
      <c r="D293" s="2">
        <v>4.1000000000000002E-2</v>
      </c>
      <c r="E293" s="2">
        <v>7.8E-2</v>
      </c>
      <c r="F293" s="2">
        <v>8.5999999999999993E-2</v>
      </c>
      <c r="G293" s="2">
        <v>5.6000000000000001E-2</v>
      </c>
      <c r="H293" s="2">
        <v>7.1999999999999995E-2</v>
      </c>
      <c r="I293" s="208">
        <v>8.8999999999999996E-2</v>
      </c>
      <c r="J293" s="2"/>
    </row>
    <row r="294" spans="1:10" ht="15.75" customHeight="1">
      <c r="A294" s="200">
        <v>51</v>
      </c>
      <c r="B294" s="59">
        <v>5</v>
      </c>
      <c r="C294" s="2">
        <v>3.6999999999999998E-2</v>
      </c>
      <c r="D294" s="2">
        <v>4.5999999999999999E-2</v>
      </c>
      <c r="E294" s="2">
        <v>7.2999999999999995E-2</v>
      </c>
      <c r="F294" s="2">
        <v>6.7000000000000004E-2</v>
      </c>
      <c r="G294" s="2">
        <v>5.0999999999999997E-2</v>
      </c>
      <c r="H294" s="2">
        <v>6.8000000000000005E-2</v>
      </c>
      <c r="I294" s="208">
        <v>8.6999999999999994E-2</v>
      </c>
      <c r="J294" s="2"/>
    </row>
    <row r="295" spans="1:10" ht="15.75" customHeight="1">
      <c r="A295" s="200">
        <v>51</v>
      </c>
      <c r="B295" s="59">
        <v>6</v>
      </c>
      <c r="C295" s="2">
        <v>2.9000000000000001E-2</v>
      </c>
      <c r="D295" s="2">
        <v>3.9E-2</v>
      </c>
      <c r="E295" s="2">
        <v>7.4999999999999997E-2</v>
      </c>
      <c r="F295" s="2">
        <v>6.9000000000000006E-2</v>
      </c>
      <c r="G295" s="2">
        <v>5.3999999999999999E-2</v>
      </c>
      <c r="H295" s="2">
        <v>7.0000000000000007E-2</v>
      </c>
      <c r="I295" s="208">
        <v>8.8999999999999996E-2</v>
      </c>
      <c r="J295" s="2"/>
    </row>
    <row r="296" spans="1:10" ht="15.75" customHeight="1">
      <c r="A296" s="202">
        <v>51</v>
      </c>
      <c r="B296" s="203">
        <v>7</v>
      </c>
      <c r="C296" s="30">
        <v>3.9E-2</v>
      </c>
      <c r="D296" s="30">
        <v>4.8000000000000001E-2</v>
      </c>
      <c r="E296" s="30">
        <v>8.1000000000000003E-2</v>
      </c>
      <c r="F296" s="30">
        <v>7.9000000000000001E-2</v>
      </c>
      <c r="G296" s="30">
        <v>5.8999999999999997E-2</v>
      </c>
      <c r="H296" s="30">
        <v>7.0999999999999994E-2</v>
      </c>
      <c r="I296" s="209">
        <v>8.6999999999999994E-2</v>
      </c>
      <c r="J296" s="2"/>
    </row>
    <row r="297" spans="1:10" ht="15.75" customHeight="1">
      <c r="A297" s="205">
        <v>52</v>
      </c>
      <c r="B297" s="179">
        <v>1</v>
      </c>
      <c r="C297" s="2"/>
      <c r="D297" s="2"/>
      <c r="E297" s="2"/>
      <c r="F297" s="2"/>
      <c r="G297" s="2"/>
      <c r="H297" s="2"/>
      <c r="I297" s="2"/>
    </row>
    <row r="298" spans="1:10" ht="15.75" customHeight="1">
      <c r="A298" s="205">
        <v>52</v>
      </c>
      <c r="B298" s="179">
        <v>2</v>
      </c>
    </row>
    <row r="299" spans="1:10" ht="15.75" customHeight="1">
      <c r="A299" s="205">
        <v>52</v>
      </c>
      <c r="B299" s="179">
        <v>3</v>
      </c>
    </row>
    <row r="300" spans="1:10" ht="15.75" customHeight="1">
      <c r="A300" s="213">
        <v>52</v>
      </c>
      <c r="B300" s="180">
        <v>4</v>
      </c>
    </row>
    <row r="301" spans="1:10" ht="15.75" customHeight="1">
      <c r="A301" s="205">
        <v>53</v>
      </c>
      <c r="B301" s="179">
        <v>1</v>
      </c>
    </row>
    <row r="302" spans="1:10" ht="15.75" customHeight="1">
      <c r="A302" s="205">
        <v>53</v>
      </c>
      <c r="B302" s="179">
        <v>2</v>
      </c>
    </row>
    <row r="303" spans="1:10" ht="15.75" customHeight="1">
      <c r="A303" s="205">
        <v>53</v>
      </c>
      <c r="B303" s="179">
        <v>3</v>
      </c>
    </row>
    <row r="304" spans="1:10" ht="15.75" customHeight="1">
      <c r="A304" s="205">
        <v>53</v>
      </c>
      <c r="B304" s="179">
        <v>4</v>
      </c>
    </row>
    <row r="305" spans="1:18" ht="15.75" customHeight="1">
      <c r="A305" s="205">
        <v>53</v>
      </c>
      <c r="B305" s="179">
        <v>5</v>
      </c>
      <c r="C305" s="2"/>
      <c r="D305" s="2"/>
      <c r="E305" s="2"/>
      <c r="F305" s="2"/>
      <c r="G305" s="2"/>
      <c r="H305" s="2"/>
      <c r="I305" s="2"/>
    </row>
    <row r="306" spans="1:18" ht="15.75" customHeight="1">
      <c r="A306" s="201">
        <v>54</v>
      </c>
      <c r="B306" s="178">
        <v>1</v>
      </c>
      <c r="C306" s="206">
        <v>9.9000000000000005E-2</v>
      </c>
      <c r="D306" s="206">
        <v>9.6000000000000002E-2</v>
      </c>
      <c r="E306" s="206">
        <v>0.112</v>
      </c>
      <c r="F306" s="206">
        <v>0.11</v>
      </c>
      <c r="G306" s="206">
        <v>9.6000000000000002E-2</v>
      </c>
      <c r="H306" s="206">
        <v>9.6000000000000002E-2</v>
      </c>
      <c r="I306" s="207">
        <v>0.11700000000000001</v>
      </c>
      <c r="J306" s="2"/>
    </row>
    <row r="307" spans="1:18" ht="15.75" customHeight="1">
      <c r="A307" s="200">
        <v>54</v>
      </c>
      <c r="B307" s="179">
        <v>2</v>
      </c>
      <c r="C307" s="2">
        <v>3.6999999999999998E-2</v>
      </c>
      <c r="D307" s="2">
        <v>4.3999999999999997E-2</v>
      </c>
      <c r="E307" s="2">
        <v>9.0999999999999998E-2</v>
      </c>
      <c r="F307" s="2">
        <v>8.4000000000000005E-2</v>
      </c>
      <c r="G307" s="2">
        <v>5.7000000000000002E-2</v>
      </c>
      <c r="H307" s="2">
        <v>5.8000000000000003E-2</v>
      </c>
      <c r="I307" s="208">
        <v>7.2999999999999995E-2</v>
      </c>
      <c r="J307" s="2"/>
    </row>
    <row r="308" spans="1:18" ht="15.75" customHeight="1">
      <c r="A308" s="200">
        <v>54</v>
      </c>
      <c r="B308" s="179">
        <v>3</v>
      </c>
      <c r="C308" s="2">
        <v>2.5999999999999999E-2</v>
      </c>
      <c r="D308" s="2">
        <v>3.5000000000000003E-2</v>
      </c>
      <c r="E308" s="2">
        <v>7.5999999999999998E-2</v>
      </c>
      <c r="F308" s="2">
        <v>7.5999999999999998E-2</v>
      </c>
      <c r="G308" s="2">
        <v>6.0999999999999999E-2</v>
      </c>
      <c r="H308" s="2">
        <v>5.8999999999999997E-2</v>
      </c>
      <c r="I308" s="208">
        <v>7.0999999999999994E-2</v>
      </c>
      <c r="J308" s="2"/>
    </row>
    <row r="309" spans="1:18" ht="15.75" customHeight="1">
      <c r="A309" s="202">
        <v>54</v>
      </c>
      <c r="B309" s="180">
        <v>4</v>
      </c>
      <c r="C309" s="30">
        <v>7.0000000000000007E-2</v>
      </c>
      <c r="D309" s="30">
        <v>8.8999999999999996E-2</v>
      </c>
      <c r="E309" s="30">
        <v>0.10199999999999999</v>
      </c>
      <c r="F309" s="30">
        <v>9.0999999999999998E-2</v>
      </c>
      <c r="G309" s="30">
        <v>0.09</v>
      </c>
      <c r="H309" s="30">
        <v>0.1</v>
      </c>
      <c r="I309" s="209">
        <v>0.11899999999999999</v>
      </c>
      <c r="J309" s="2"/>
    </row>
    <row r="310" spans="1:18" ht="15.75" customHeight="1">
      <c r="A310" s="200">
        <v>55</v>
      </c>
      <c r="B310" s="179" t="s">
        <v>220</v>
      </c>
      <c r="C310" s="2"/>
      <c r="D310" s="2"/>
      <c r="E310" s="2"/>
      <c r="F310" s="2"/>
      <c r="G310" s="2"/>
      <c r="H310" s="2"/>
      <c r="I310" s="2"/>
    </row>
    <row r="311" spans="1:18" ht="15.75" customHeight="1">
      <c r="A311" s="200">
        <v>55</v>
      </c>
      <c r="B311" s="179" t="s">
        <v>221</v>
      </c>
    </row>
    <row r="312" spans="1:18" ht="15.75" customHeight="1">
      <c r="A312" s="200">
        <v>55</v>
      </c>
      <c r="B312" s="179" t="s">
        <v>222</v>
      </c>
    </row>
    <row r="313" spans="1:18" ht="15.75" customHeight="1">
      <c r="A313" s="200">
        <v>55</v>
      </c>
      <c r="B313" s="179" t="s">
        <v>224</v>
      </c>
    </row>
    <row r="314" spans="1:18" ht="15.75" customHeight="1">
      <c r="A314" s="200">
        <v>55</v>
      </c>
      <c r="B314" s="179" t="s">
        <v>225</v>
      </c>
    </row>
    <row r="315" spans="1:18" ht="15.75" customHeight="1">
      <c r="A315" s="200">
        <v>55</v>
      </c>
      <c r="B315" s="179" t="s">
        <v>226</v>
      </c>
    </row>
    <row r="316" spans="1:18" ht="15.75" customHeight="1">
      <c r="A316" s="200">
        <v>55</v>
      </c>
      <c r="B316" s="179" t="s">
        <v>230</v>
      </c>
    </row>
    <row r="317" spans="1:18" ht="15.75" customHeight="1">
      <c r="A317" s="200">
        <v>55</v>
      </c>
      <c r="B317" s="179" t="s">
        <v>231</v>
      </c>
    </row>
    <row r="318" spans="1:18" ht="15.75" customHeight="1">
      <c r="A318" s="200">
        <v>55</v>
      </c>
      <c r="B318" s="179" t="s">
        <v>232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8" ht="15.75" customHeight="1">
      <c r="A319" s="177">
        <v>56</v>
      </c>
      <c r="B319" s="178" t="s">
        <v>220</v>
      </c>
      <c r="C319" s="206">
        <v>8.5000000000000006E-2</v>
      </c>
      <c r="D319" s="206">
        <v>9.0999999999999998E-2</v>
      </c>
      <c r="E319" s="206">
        <v>9.9000000000000005E-2</v>
      </c>
      <c r="F319" s="206">
        <v>0.10299999999999999</v>
      </c>
      <c r="G319" s="206">
        <v>9.5000000000000001E-2</v>
      </c>
      <c r="H319" s="206">
        <v>8.3000000000000004E-2</v>
      </c>
      <c r="I319" s="206">
        <v>7.6999999999999999E-2</v>
      </c>
      <c r="J319" s="206">
        <v>8.2000000000000003E-2</v>
      </c>
      <c r="K319" s="206">
        <v>8.5000000000000006E-2</v>
      </c>
      <c r="L319" s="206">
        <v>9.4E-2</v>
      </c>
      <c r="M319" s="206">
        <v>0.108</v>
      </c>
      <c r="N319" s="206">
        <v>0.126</v>
      </c>
      <c r="O319" s="206">
        <v>0.14299999999999999</v>
      </c>
      <c r="P319" s="206">
        <v>0.157</v>
      </c>
      <c r="Q319" s="207">
        <v>0.17100000000000001</v>
      </c>
      <c r="R319" s="2"/>
    </row>
    <row r="320" spans="1:18" ht="15.75" customHeight="1">
      <c r="A320" s="175">
        <v>56</v>
      </c>
      <c r="B320" s="180" t="s">
        <v>224</v>
      </c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209"/>
      <c r="R320" s="2"/>
    </row>
    <row r="321" spans="1:20" ht="15.75" customHeight="1">
      <c r="A321" s="177">
        <v>57</v>
      </c>
      <c r="B321" s="178">
        <v>1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20" ht="15.75" customHeight="1">
      <c r="A322" s="175">
        <v>57</v>
      </c>
      <c r="B322" s="180">
        <v>2</v>
      </c>
    </row>
    <row r="323" spans="1:20" ht="15.75" customHeight="1">
      <c r="A323" s="201">
        <v>58</v>
      </c>
      <c r="B323" s="58">
        <v>1</v>
      </c>
    </row>
    <row r="324" spans="1:20" ht="15.75" customHeight="1">
      <c r="A324" s="200">
        <v>58</v>
      </c>
      <c r="B324" s="59">
        <v>2</v>
      </c>
    </row>
    <row r="325" spans="1:20" ht="15.75" customHeight="1">
      <c r="A325" s="200">
        <v>58</v>
      </c>
      <c r="B325" s="59">
        <v>3</v>
      </c>
    </row>
    <row r="326" spans="1:20" ht="15.75" customHeight="1">
      <c r="A326" s="201">
        <v>59</v>
      </c>
      <c r="B326" s="58">
        <v>1</v>
      </c>
      <c r="C326" s="206">
        <v>0.02</v>
      </c>
      <c r="D326" s="206">
        <v>2.7E-2</v>
      </c>
      <c r="E326" s="206">
        <v>3.4000000000000002E-2</v>
      </c>
      <c r="F326" s="206">
        <v>4.1000000000000002E-2</v>
      </c>
      <c r="G326" s="206">
        <v>0.05</v>
      </c>
      <c r="H326" s="206">
        <v>5.3999999999999999E-2</v>
      </c>
      <c r="I326" s="206">
        <v>5.8999999999999997E-2</v>
      </c>
      <c r="J326" s="206">
        <v>5.8999999999999997E-2</v>
      </c>
      <c r="K326" s="206">
        <v>5.5E-2</v>
      </c>
      <c r="L326" s="206">
        <v>5.7000000000000002E-2</v>
      </c>
      <c r="M326" s="206">
        <v>6.3E-2</v>
      </c>
      <c r="N326" s="206">
        <v>7.1999999999999995E-2</v>
      </c>
      <c r="O326" s="206">
        <v>7.3999999999999996E-2</v>
      </c>
      <c r="P326" s="206">
        <v>7.9000000000000001E-2</v>
      </c>
      <c r="Q326" s="206">
        <v>8.8999999999999996E-2</v>
      </c>
      <c r="R326" s="206">
        <v>0.1</v>
      </c>
      <c r="S326" s="207">
        <v>0.112</v>
      </c>
      <c r="T326" s="2"/>
    </row>
    <row r="327" spans="1:20" ht="15.75" customHeight="1">
      <c r="A327" s="200">
        <v>59</v>
      </c>
      <c r="B327" s="59">
        <v>2</v>
      </c>
      <c r="C327" s="2">
        <v>0.02</v>
      </c>
      <c r="D327" s="2">
        <v>2.7E-2</v>
      </c>
      <c r="E327" s="2">
        <v>3.4000000000000002E-2</v>
      </c>
      <c r="F327" s="2">
        <v>4.1000000000000002E-2</v>
      </c>
      <c r="G327" s="2">
        <v>0.05</v>
      </c>
      <c r="H327" s="2">
        <v>5.3999999999999999E-2</v>
      </c>
      <c r="I327" s="2">
        <v>5.8999999999999997E-2</v>
      </c>
      <c r="J327" s="2">
        <v>5.8999999999999997E-2</v>
      </c>
      <c r="K327" s="2">
        <v>5.8999999999999997E-2</v>
      </c>
      <c r="L327" s="2">
        <v>6.2E-2</v>
      </c>
      <c r="M327" s="2">
        <v>6.8000000000000005E-2</v>
      </c>
      <c r="N327" s="2">
        <v>7.5999999999999998E-2</v>
      </c>
      <c r="O327" s="2">
        <v>8.1000000000000003E-2</v>
      </c>
      <c r="P327" s="2">
        <v>8.3000000000000004E-2</v>
      </c>
      <c r="Q327" s="2">
        <v>9.2999999999999999E-2</v>
      </c>
      <c r="R327" s="2">
        <v>0.104</v>
      </c>
      <c r="S327" s="208">
        <v>0.11700000000000001</v>
      </c>
      <c r="T327" s="2"/>
    </row>
    <row r="328" spans="1:20" ht="15.75" customHeight="1">
      <c r="A328" s="200">
        <v>59</v>
      </c>
      <c r="B328" s="59">
        <v>3</v>
      </c>
      <c r="C328" s="2">
        <v>2.4E-2</v>
      </c>
      <c r="D328" s="2">
        <v>0.03</v>
      </c>
      <c r="E328" s="2">
        <v>3.4000000000000002E-2</v>
      </c>
      <c r="F328" s="2">
        <v>3.9E-2</v>
      </c>
      <c r="G328" s="2">
        <v>0.05</v>
      </c>
      <c r="H328" s="2">
        <v>5.8999999999999997E-2</v>
      </c>
      <c r="I328" s="2">
        <v>6.6000000000000003E-2</v>
      </c>
      <c r="J328" s="2">
        <v>7.0000000000000007E-2</v>
      </c>
      <c r="K328" s="2">
        <v>6.8000000000000005E-2</v>
      </c>
      <c r="L328" s="2">
        <v>6.9000000000000006E-2</v>
      </c>
      <c r="M328" s="2">
        <v>7.9000000000000001E-2</v>
      </c>
      <c r="N328" s="2">
        <v>9.1999999999999998E-2</v>
      </c>
      <c r="O328" s="2">
        <v>9.2999999999999999E-2</v>
      </c>
      <c r="P328" s="2">
        <v>0.10299999999999999</v>
      </c>
      <c r="Q328" s="2">
        <v>0.114</v>
      </c>
      <c r="R328" s="2">
        <v>0.126</v>
      </c>
      <c r="S328" s="208">
        <v>0.13600000000000001</v>
      </c>
      <c r="T328" s="2"/>
    </row>
    <row r="329" spans="1:20" ht="15.75" customHeight="1">
      <c r="A329" s="200">
        <v>59</v>
      </c>
      <c r="B329" s="59">
        <v>4</v>
      </c>
      <c r="C329" s="2">
        <v>3.4000000000000002E-2</v>
      </c>
      <c r="D329" s="2">
        <v>4.5999999999999999E-2</v>
      </c>
      <c r="E329" s="2">
        <v>4.7E-2</v>
      </c>
      <c r="F329" s="2">
        <v>4.9000000000000002E-2</v>
      </c>
      <c r="G329" s="2">
        <v>5.8000000000000003E-2</v>
      </c>
      <c r="H329" s="2">
        <v>6.4000000000000001E-2</v>
      </c>
      <c r="I329" s="2">
        <v>7.0999999999999994E-2</v>
      </c>
      <c r="J329" s="2">
        <v>7.3999999999999996E-2</v>
      </c>
      <c r="K329" s="2">
        <v>7.3999999999999996E-2</v>
      </c>
      <c r="L329" s="2">
        <v>7.6999999999999999E-2</v>
      </c>
      <c r="M329" s="2">
        <v>9.1999999999999998E-2</v>
      </c>
      <c r="N329" s="2">
        <v>0.104</v>
      </c>
      <c r="O329" s="2">
        <v>0.113</v>
      </c>
      <c r="P329" s="2">
        <v>0.122</v>
      </c>
      <c r="Q329" s="2">
        <v>0.13</v>
      </c>
      <c r="R329" s="2">
        <v>0.13900000000000001</v>
      </c>
      <c r="S329" s="208">
        <v>0.14899999999999999</v>
      </c>
      <c r="T329" s="2"/>
    </row>
    <row r="330" spans="1:20" ht="15.75" customHeight="1">
      <c r="A330" s="200">
        <v>59</v>
      </c>
      <c r="B330" s="59">
        <v>5</v>
      </c>
      <c r="C330" s="2">
        <v>3.2000000000000001E-2</v>
      </c>
      <c r="D330" s="2">
        <v>3.6999999999999998E-2</v>
      </c>
      <c r="E330" s="2">
        <v>4.1000000000000002E-2</v>
      </c>
      <c r="F330" s="2">
        <v>4.5999999999999999E-2</v>
      </c>
      <c r="G330" s="2">
        <v>5.7000000000000002E-2</v>
      </c>
      <c r="H330" s="2">
        <v>6.9000000000000006E-2</v>
      </c>
      <c r="I330" s="2">
        <v>7.5999999999999998E-2</v>
      </c>
      <c r="J330" s="2">
        <v>7.9000000000000001E-2</v>
      </c>
      <c r="K330" s="2">
        <v>7.6999999999999999E-2</v>
      </c>
      <c r="L330" s="2">
        <v>7.2999999999999995E-2</v>
      </c>
      <c r="M330" s="2">
        <v>7.4999999999999997E-2</v>
      </c>
      <c r="N330" s="2">
        <v>8.2000000000000003E-2</v>
      </c>
      <c r="O330" s="2">
        <v>0.09</v>
      </c>
      <c r="P330" s="2">
        <v>9.6000000000000002E-2</v>
      </c>
      <c r="Q330" s="2">
        <v>0.105</v>
      </c>
      <c r="R330" s="2">
        <v>0.115</v>
      </c>
      <c r="S330" s="208">
        <v>0.125</v>
      </c>
      <c r="T330" s="2"/>
    </row>
    <row r="331" spans="1:20" ht="15.75" customHeight="1">
      <c r="A331" s="202">
        <v>59</v>
      </c>
      <c r="B331" s="203">
        <v>6</v>
      </c>
      <c r="C331" s="30">
        <v>3.7999999999999999E-2</v>
      </c>
      <c r="D331" s="30">
        <v>4.1000000000000002E-2</v>
      </c>
      <c r="E331" s="30">
        <v>4.2999999999999997E-2</v>
      </c>
      <c r="F331" s="30">
        <v>4.8000000000000001E-2</v>
      </c>
      <c r="G331" s="30">
        <v>0.06</v>
      </c>
      <c r="H331" s="30">
        <v>7.2999999999999995E-2</v>
      </c>
      <c r="I331" s="30">
        <v>0.08</v>
      </c>
      <c r="J331" s="30">
        <v>8.3000000000000004E-2</v>
      </c>
      <c r="K331" s="30">
        <v>0.08</v>
      </c>
      <c r="L331" s="30">
        <v>7.9000000000000001E-2</v>
      </c>
      <c r="M331" s="30">
        <v>8.5000000000000006E-2</v>
      </c>
      <c r="N331" s="30">
        <v>8.8999999999999996E-2</v>
      </c>
      <c r="O331" s="30">
        <v>9.5000000000000001E-2</v>
      </c>
      <c r="P331" s="30">
        <v>0.1</v>
      </c>
      <c r="Q331" s="30">
        <v>0.109</v>
      </c>
      <c r="R331" s="30">
        <v>0.11799999999999999</v>
      </c>
      <c r="S331" s="209">
        <v>0.128</v>
      </c>
      <c r="T331" s="2"/>
    </row>
    <row r="332" spans="1:20" ht="15.75" customHeight="1">
      <c r="A332" s="205">
        <v>60</v>
      </c>
      <c r="B332" s="58">
        <v>1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20" ht="15.75" customHeight="1">
      <c r="A333" s="205">
        <v>60</v>
      </c>
      <c r="B333" s="59">
        <v>2</v>
      </c>
    </row>
    <row r="334" spans="1:20" ht="15.75" customHeight="1">
      <c r="A334" s="205">
        <v>60</v>
      </c>
      <c r="B334" s="59">
        <v>3</v>
      </c>
    </row>
    <row r="335" spans="1:20" ht="15.75" customHeight="1">
      <c r="A335" s="205">
        <v>60</v>
      </c>
      <c r="B335" s="59">
        <v>4</v>
      </c>
    </row>
    <row r="336" spans="1:20" ht="15.75" customHeight="1">
      <c r="A336" s="205">
        <v>60</v>
      </c>
      <c r="B336" s="59">
        <v>5</v>
      </c>
    </row>
    <row r="337" spans="1:2" ht="15.75" customHeight="1">
      <c r="A337" s="213">
        <v>61</v>
      </c>
      <c r="B337" s="246">
        <v>1</v>
      </c>
    </row>
    <row r="338" spans="1:2" ht="15.75" customHeight="1"/>
    <row r="339" spans="1:2" ht="15.75" customHeight="1"/>
    <row r="340" spans="1:2" ht="15.75" customHeight="1"/>
    <row r="341" spans="1:2" ht="15.75" customHeight="1"/>
    <row r="342" spans="1:2" ht="15.75" customHeight="1"/>
    <row r="343" spans="1:2" ht="15.75" customHeight="1"/>
    <row r="344" spans="1:2" ht="15.75" customHeight="1"/>
    <row r="345" spans="1:2" ht="15.75" customHeight="1"/>
    <row r="346" spans="1:2" ht="15.75" customHeight="1"/>
    <row r="347" spans="1:2" ht="15.75" customHeight="1"/>
    <row r="348" spans="1:2" ht="15.75" customHeight="1"/>
    <row r="349" spans="1:2" ht="15.75" customHeight="1"/>
    <row r="350" spans="1:2" ht="15.75" customHeight="1"/>
    <row r="351" spans="1:2" ht="15.75" customHeight="1"/>
    <row r="352" spans="1: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996"/>
  <sheetViews>
    <sheetView workbookViewId="0">
      <pane ySplit="1" topLeftCell="A34" activePane="bottomLeft" state="frozen"/>
      <selection pane="bottomLeft" activeCell="A41" sqref="A41:XFD41"/>
    </sheetView>
  </sheetViews>
  <sheetFormatPr defaultColWidth="12.5703125" defaultRowHeight="15" customHeight="1"/>
  <cols>
    <col min="1" max="1" width="9.42578125" customWidth="1"/>
    <col min="2" max="2" width="23.28515625" bestFit="1" customWidth="1"/>
    <col min="3" max="3" width="5.85546875" bestFit="1" customWidth="1"/>
    <col min="4" max="4" width="54.140625" customWidth="1"/>
    <col min="5" max="5" width="56.7109375" customWidth="1"/>
    <col min="6" max="6" width="28.140625" customWidth="1"/>
    <col min="7" max="7" width="25.28515625" customWidth="1"/>
    <col min="8" max="27" width="9.42578125" customWidth="1"/>
  </cols>
  <sheetData>
    <row r="1" spans="1:12">
      <c r="A1" s="98" t="s">
        <v>384</v>
      </c>
      <c r="B1" s="144" t="s">
        <v>385</v>
      </c>
      <c r="C1" s="15" t="s">
        <v>386</v>
      </c>
      <c r="D1" s="145" t="s">
        <v>387</v>
      </c>
      <c r="E1" s="15" t="s">
        <v>388</v>
      </c>
      <c r="F1" s="145"/>
      <c r="G1" s="144"/>
      <c r="H1" s="20"/>
      <c r="I1" s="15"/>
      <c r="J1" s="15"/>
    </row>
    <row r="2" spans="1:12">
      <c r="A2" s="98">
        <v>1</v>
      </c>
      <c r="B2" s="67" t="s">
        <v>389</v>
      </c>
      <c r="C2" s="67">
        <v>2013</v>
      </c>
      <c r="D2" s="146" t="s">
        <v>390</v>
      </c>
      <c r="E2" s="66" t="s">
        <v>391</v>
      </c>
      <c r="F2" s="147"/>
      <c r="G2" s="66"/>
      <c r="H2" s="20"/>
      <c r="I2" s="20"/>
      <c r="J2" s="20"/>
      <c r="K2" s="20"/>
      <c r="L2" s="20"/>
    </row>
    <row r="3" spans="1:12" ht="30">
      <c r="A3" s="98">
        <v>2</v>
      </c>
      <c r="B3" s="67" t="s">
        <v>392</v>
      </c>
      <c r="C3" s="67">
        <v>2013</v>
      </c>
      <c r="D3" s="147" t="s">
        <v>393</v>
      </c>
      <c r="E3" s="20" t="s">
        <v>394</v>
      </c>
      <c r="F3" s="147"/>
      <c r="G3" s="66"/>
      <c r="H3" s="20"/>
      <c r="I3" s="20"/>
      <c r="J3" s="20"/>
      <c r="K3" s="20"/>
      <c r="L3" s="20"/>
    </row>
    <row r="4" spans="1:12" ht="66" customHeight="1">
      <c r="A4" s="98">
        <v>3</v>
      </c>
      <c r="B4" s="12" t="s">
        <v>395</v>
      </c>
      <c r="C4" s="12">
        <v>2016</v>
      </c>
      <c r="D4" s="148" t="s">
        <v>396</v>
      </c>
      <c r="E4" s="149" t="s">
        <v>397</v>
      </c>
      <c r="F4" s="147"/>
      <c r="G4" s="66"/>
      <c r="H4" s="20"/>
      <c r="I4" s="20"/>
      <c r="J4" s="20"/>
      <c r="K4" s="20"/>
      <c r="L4" s="20"/>
    </row>
    <row r="5" spans="1:12" ht="42.75">
      <c r="A5" s="98">
        <v>4</v>
      </c>
      <c r="B5" s="67" t="s">
        <v>398</v>
      </c>
      <c r="C5" s="67">
        <v>2023</v>
      </c>
      <c r="D5" s="146" t="s">
        <v>399</v>
      </c>
      <c r="E5" s="146" t="s">
        <v>400</v>
      </c>
      <c r="F5" s="147"/>
      <c r="G5" s="66"/>
      <c r="H5" s="20"/>
      <c r="I5" s="20"/>
      <c r="J5" s="20"/>
      <c r="K5" s="20"/>
      <c r="L5" s="20"/>
    </row>
    <row r="6" spans="1:12" ht="43.5">
      <c r="A6" s="98">
        <v>5</v>
      </c>
      <c r="B6" s="12" t="s">
        <v>401</v>
      </c>
      <c r="C6" s="12">
        <v>2016</v>
      </c>
      <c r="D6" s="148" t="s">
        <v>402</v>
      </c>
      <c r="E6" s="150" t="s">
        <v>403</v>
      </c>
      <c r="F6" s="147"/>
      <c r="G6" s="66"/>
      <c r="H6" s="20"/>
      <c r="I6" s="20"/>
      <c r="J6" s="20"/>
      <c r="K6" s="20"/>
      <c r="L6" s="20"/>
    </row>
    <row r="7" spans="1:12" ht="43.5">
      <c r="A7" s="98">
        <v>6</v>
      </c>
      <c r="B7" s="12" t="s">
        <v>404</v>
      </c>
      <c r="C7" s="12">
        <v>2020</v>
      </c>
      <c r="D7" s="148" t="s">
        <v>405</v>
      </c>
      <c r="E7" s="150" t="s">
        <v>406</v>
      </c>
      <c r="F7" s="147"/>
      <c r="G7" s="66"/>
      <c r="H7" s="20"/>
      <c r="I7" s="20"/>
      <c r="J7" s="20"/>
      <c r="K7" s="20"/>
      <c r="L7" s="20"/>
    </row>
    <row r="8" spans="1:12" ht="29.25">
      <c r="A8" s="98">
        <v>7</v>
      </c>
      <c r="B8" s="12" t="s">
        <v>395</v>
      </c>
      <c r="C8" s="12">
        <v>2014</v>
      </c>
      <c r="D8" s="148" t="s">
        <v>407</v>
      </c>
      <c r="E8" s="150" t="s">
        <v>408</v>
      </c>
      <c r="F8" s="147"/>
      <c r="G8" s="66"/>
      <c r="H8" s="20"/>
      <c r="I8" s="20"/>
      <c r="J8" s="20"/>
      <c r="K8" s="20"/>
      <c r="L8" s="20"/>
    </row>
    <row r="9" spans="1:12" ht="43.5">
      <c r="A9" s="98">
        <v>8</v>
      </c>
      <c r="B9" s="12" t="s">
        <v>409</v>
      </c>
      <c r="C9" s="12">
        <v>2019</v>
      </c>
      <c r="D9" s="148" t="s">
        <v>410</v>
      </c>
      <c r="E9" s="149" t="s">
        <v>411</v>
      </c>
      <c r="F9" s="147"/>
      <c r="G9" s="66"/>
      <c r="H9" s="20"/>
      <c r="I9" s="20"/>
      <c r="J9" s="20"/>
      <c r="K9" s="20"/>
      <c r="L9" s="20"/>
    </row>
    <row r="10" spans="1:12" ht="45">
      <c r="A10" s="98">
        <v>9</v>
      </c>
      <c r="B10" s="12" t="s">
        <v>412</v>
      </c>
      <c r="C10" s="12">
        <v>2015</v>
      </c>
      <c r="D10" s="53" t="s">
        <v>413</v>
      </c>
      <c r="E10" s="12" t="s">
        <v>414</v>
      </c>
      <c r="F10" s="147"/>
      <c r="G10" s="66"/>
      <c r="H10" s="20"/>
      <c r="I10" s="20"/>
      <c r="J10" s="20"/>
      <c r="K10" s="20"/>
      <c r="L10" s="20"/>
    </row>
    <row r="11" spans="1:12" ht="29.25">
      <c r="A11" s="98">
        <v>10</v>
      </c>
      <c r="B11" s="151" t="s">
        <v>409</v>
      </c>
      <c r="C11" s="12">
        <v>2023</v>
      </c>
      <c r="D11" s="148" t="s">
        <v>415</v>
      </c>
      <c r="E11" s="150" t="s">
        <v>416</v>
      </c>
      <c r="F11" s="147"/>
      <c r="G11" s="66"/>
      <c r="H11" s="20"/>
      <c r="I11" s="20"/>
      <c r="J11" s="20"/>
      <c r="K11" s="20"/>
      <c r="L11" s="20"/>
    </row>
    <row r="12" spans="1:12" ht="42.75">
      <c r="A12" s="98">
        <v>11</v>
      </c>
      <c r="B12" s="67" t="s">
        <v>417</v>
      </c>
      <c r="C12" s="67">
        <v>2019</v>
      </c>
      <c r="D12" s="146" t="s">
        <v>418</v>
      </c>
      <c r="E12" s="152" t="s">
        <v>419</v>
      </c>
      <c r="F12" s="147"/>
      <c r="G12" s="66"/>
      <c r="H12" s="20"/>
      <c r="I12" s="20"/>
      <c r="J12" s="20"/>
      <c r="K12" s="20"/>
      <c r="L12" s="20"/>
    </row>
    <row r="13" spans="1:12" ht="45.75" customHeight="1">
      <c r="A13" s="98">
        <v>12</v>
      </c>
      <c r="B13" s="67" t="s">
        <v>420</v>
      </c>
      <c r="C13" s="67">
        <v>2024</v>
      </c>
      <c r="D13" s="148" t="s">
        <v>421</v>
      </c>
      <c r="E13" s="152" t="s">
        <v>422</v>
      </c>
      <c r="F13" s="147"/>
      <c r="G13" s="66"/>
      <c r="H13" s="20"/>
      <c r="I13" s="20"/>
      <c r="J13" s="20"/>
      <c r="K13" s="20"/>
      <c r="L13" s="20"/>
    </row>
    <row r="14" spans="1:12" ht="78.75" customHeight="1">
      <c r="A14" s="98">
        <v>13</v>
      </c>
      <c r="B14" s="67" t="s">
        <v>423</v>
      </c>
      <c r="C14" s="67">
        <v>2022</v>
      </c>
      <c r="D14" s="146" t="s">
        <v>424</v>
      </c>
      <c r="E14" s="146" t="s">
        <v>425</v>
      </c>
      <c r="F14" s="147"/>
      <c r="G14" s="66"/>
      <c r="H14" s="20"/>
      <c r="I14" s="20"/>
      <c r="J14" s="20"/>
      <c r="K14" s="20"/>
      <c r="L14" s="20"/>
    </row>
    <row r="15" spans="1:12" ht="66.75" customHeight="1">
      <c r="A15" s="98">
        <v>14</v>
      </c>
      <c r="B15" s="67" t="s">
        <v>426</v>
      </c>
      <c r="C15" s="67">
        <v>2012</v>
      </c>
      <c r="D15" s="146" t="s">
        <v>427</v>
      </c>
      <c r="E15" s="152" t="s">
        <v>428</v>
      </c>
      <c r="F15" s="147"/>
      <c r="G15" s="66"/>
      <c r="H15" s="20"/>
      <c r="I15" s="20"/>
      <c r="J15" s="20"/>
      <c r="K15" s="20"/>
      <c r="L15" s="20"/>
    </row>
    <row r="16" spans="1:12" ht="50.25" customHeight="1">
      <c r="A16" s="98">
        <v>15</v>
      </c>
      <c r="B16" s="67" t="s">
        <v>426</v>
      </c>
      <c r="C16" s="67">
        <v>2013</v>
      </c>
      <c r="D16" s="146" t="s">
        <v>429</v>
      </c>
      <c r="E16" s="153" t="s">
        <v>430</v>
      </c>
      <c r="F16" s="147"/>
      <c r="G16" s="66"/>
      <c r="H16" s="20"/>
      <c r="I16" s="20"/>
      <c r="K16" s="20"/>
      <c r="L16" s="20"/>
    </row>
    <row r="17" spans="1:12" ht="45" customHeight="1">
      <c r="A17" s="98">
        <v>16</v>
      </c>
      <c r="B17" s="67" t="s">
        <v>426</v>
      </c>
      <c r="C17" s="67">
        <v>2010</v>
      </c>
      <c r="D17" s="146" t="s">
        <v>431</v>
      </c>
      <c r="E17" s="146" t="s">
        <v>432</v>
      </c>
      <c r="F17" s="147"/>
      <c r="G17" s="66"/>
      <c r="H17" s="20"/>
      <c r="I17" s="20"/>
      <c r="K17" s="20"/>
      <c r="L17" s="20"/>
    </row>
    <row r="18" spans="1:12" ht="52.5" customHeight="1">
      <c r="A18" s="16">
        <v>17</v>
      </c>
      <c r="B18" s="67" t="s">
        <v>433</v>
      </c>
      <c r="C18" s="66">
        <v>1999</v>
      </c>
      <c r="D18" s="154" t="s">
        <v>434</v>
      </c>
      <c r="E18" s="20" t="s">
        <v>435</v>
      </c>
      <c r="F18" s="147"/>
      <c r="G18" s="66"/>
      <c r="H18" s="20"/>
      <c r="I18" s="20"/>
      <c r="K18" s="20"/>
      <c r="L18" s="20"/>
    </row>
    <row r="19" spans="1:12" ht="51.75" customHeight="1">
      <c r="A19" s="155">
        <v>18</v>
      </c>
      <c r="B19" s="60" t="s">
        <v>436</v>
      </c>
      <c r="C19" s="42">
        <v>2012</v>
      </c>
      <c r="D19" s="156" t="s">
        <v>437</v>
      </c>
      <c r="E19" s="157" t="s">
        <v>438</v>
      </c>
      <c r="F19" s="156"/>
      <c r="G19" s="60"/>
      <c r="H19" s="20"/>
    </row>
    <row r="20" spans="1:12" ht="51.75" customHeight="1">
      <c r="A20" s="155">
        <v>19</v>
      </c>
      <c r="B20" s="12" t="s">
        <v>439</v>
      </c>
      <c r="C20" s="42">
        <v>2006</v>
      </c>
      <c r="D20" s="154" t="s">
        <v>440</v>
      </c>
      <c r="E20" s="158" t="s">
        <v>441</v>
      </c>
      <c r="F20" s="156"/>
      <c r="G20" s="60"/>
      <c r="H20" s="20"/>
    </row>
    <row r="21" spans="1:12" ht="51.75" customHeight="1">
      <c r="A21" s="155">
        <v>20</v>
      </c>
      <c r="B21" s="60" t="s">
        <v>442</v>
      </c>
      <c r="C21" s="42">
        <v>2011</v>
      </c>
      <c r="D21" s="54" t="s">
        <v>443</v>
      </c>
      <c r="E21" s="42" t="s">
        <v>444</v>
      </c>
      <c r="F21" s="156"/>
      <c r="G21" s="60"/>
      <c r="H21" s="20"/>
    </row>
    <row r="22" spans="1:12" ht="45">
      <c r="A22" s="155">
        <v>21</v>
      </c>
      <c r="B22" s="60" t="s">
        <v>445</v>
      </c>
      <c r="C22" s="42">
        <v>2022</v>
      </c>
      <c r="D22" s="154" t="s">
        <v>446</v>
      </c>
      <c r="E22" s="60" t="s">
        <v>447</v>
      </c>
      <c r="F22" s="156"/>
      <c r="G22" s="60"/>
      <c r="H22" s="20"/>
    </row>
    <row r="23" spans="1:12" ht="45">
      <c r="A23" s="16">
        <v>22</v>
      </c>
      <c r="B23" s="12" t="s">
        <v>448</v>
      </c>
      <c r="C23" s="20">
        <v>2021</v>
      </c>
      <c r="D23" s="159" t="s">
        <v>449</v>
      </c>
      <c r="E23" s="20" t="s">
        <v>450</v>
      </c>
      <c r="F23" s="54"/>
      <c r="G23" s="42"/>
      <c r="H23" s="20"/>
    </row>
    <row r="24" spans="1:12" ht="78" customHeight="1">
      <c r="A24" s="155">
        <v>23</v>
      </c>
      <c r="B24" s="12" t="s">
        <v>451</v>
      </c>
      <c r="C24" s="42">
        <v>2025</v>
      </c>
      <c r="D24" s="154" t="s">
        <v>452</v>
      </c>
      <c r="E24" s="157" t="s">
        <v>453</v>
      </c>
      <c r="F24" s="54"/>
      <c r="G24" s="42"/>
      <c r="H24" s="20"/>
    </row>
    <row r="25" spans="1:12" ht="84.75" customHeight="1">
      <c r="A25" s="155">
        <v>24</v>
      </c>
      <c r="B25" s="60" t="s">
        <v>401</v>
      </c>
      <c r="C25" s="42">
        <v>2021</v>
      </c>
      <c r="D25" s="154" t="s">
        <v>454</v>
      </c>
      <c r="E25" s="160" t="s">
        <v>455</v>
      </c>
      <c r="F25" s="54"/>
      <c r="G25" s="42"/>
      <c r="H25" s="20"/>
    </row>
    <row r="26" spans="1:12" ht="43.5">
      <c r="A26" s="155">
        <v>25</v>
      </c>
      <c r="B26" s="60" t="s">
        <v>456</v>
      </c>
      <c r="C26" s="42">
        <v>2013</v>
      </c>
      <c r="D26" s="161" t="s">
        <v>457</v>
      </c>
      <c r="E26" s="20" t="s">
        <v>458</v>
      </c>
      <c r="F26" s="54"/>
      <c r="G26" s="42"/>
      <c r="H26" s="20"/>
    </row>
    <row r="27" spans="1:12" ht="71.25">
      <c r="A27" s="155">
        <v>26</v>
      </c>
      <c r="B27" s="146" t="s">
        <v>459</v>
      </c>
      <c r="C27" s="67">
        <v>2021</v>
      </c>
      <c r="D27" s="146" t="s">
        <v>460</v>
      </c>
      <c r="E27" s="67" t="s">
        <v>461</v>
      </c>
      <c r="F27" s="54"/>
      <c r="G27" s="42"/>
      <c r="H27" s="20"/>
    </row>
    <row r="28" spans="1:12" ht="51.75" customHeight="1">
      <c r="A28" s="155">
        <v>27</v>
      </c>
      <c r="B28" s="146" t="s">
        <v>409</v>
      </c>
      <c r="C28" s="67">
        <v>2020</v>
      </c>
      <c r="D28" s="146" t="s">
        <v>462</v>
      </c>
      <c r="E28" s="67" t="s">
        <v>463</v>
      </c>
      <c r="F28" s="54"/>
      <c r="G28" s="42"/>
      <c r="H28" s="20"/>
    </row>
    <row r="29" spans="1:12" ht="81.75" customHeight="1">
      <c r="A29" s="98">
        <v>28</v>
      </c>
      <c r="B29" s="12" t="s">
        <v>456</v>
      </c>
      <c r="C29" s="12">
        <v>2023</v>
      </c>
      <c r="D29" s="154" t="s">
        <v>464</v>
      </c>
      <c r="E29" s="20" t="s">
        <v>465</v>
      </c>
      <c r="F29" s="162"/>
      <c r="G29" s="12"/>
    </row>
    <row r="30" spans="1:12" ht="83.25" customHeight="1">
      <c r="A30" s="98">
        <v>29</v>
      </c>
      <c r="B30" s="12" t="s">
        <v>466</v>
      </c>
      <c r="C30" s="12">
        <v>2023</v>
      </c>
      <c r="D30" s="154" t="s">
        <v>467</v>
      </c>
      <c r="E30" s="20" t="s">
        <v>468</v>
      </c>
      <c r="F30" s="20"/>
      <c r="G30" s="12"/>
    </row>
    <row r="31" spans="1:12" ht="52.5" customHeight="1">
      <c r="A31" s="98">
        <v>30</v>
      </c>
      <c r="B31" s="12" t="s">
        <v>439</v>
      </c>
      <c r="C31" s="12">
        <v>2007</v>
      </c>
      <c r="D31" s="53" t="s">
        <v>469</v>
      </c>
      <c r="E31" s="12" t="s">
        <v>470</v>
      </c>
      <c r="F31" s="53"/>
      <c r="G31" s="20"/>
    </row>
    <row r="32" spans="1:12" ht="29.25">
      <c r="A32" s="98">
        <v>31</v>
      </c>
      <c r="B32" s="12" t="s">
        <v>471</v>
      </c>
      <c r="C32" s="12">
        <v>2006</v>
      </c>
      <c r="D32" s="148" t="s">
        <v>472</v>
      </c>
      <c r="E32" s="20" t="s">
        <v>473</v>
      </c>
      <c r="F32" s="53"/>
      <c r="G32" s="20"/>
    </row>
    <row r="33" spans="1:27" ht="42.75">
      <c r="A33" s="98">
        <v>32</v>
      </c>
      <c r="B33" s="146" t="s">
        <v>474</v>
      </c>
      <c r="C33" s="67">
        <v>2024</v>
      </c>
      <c r="D33" s="146" t="s">
        <v>475</v>
      </c>
      <c r="E33" s="67" t="s">
        <v>476</v>
      </c>
      <c r="F33" s="53"/>
      <c r="G33" s="20"/>
    </row>
    <row r="34" spans="1:27" ht="42.75">
      <c r="A34" s="98">
        <v>33</v>
      </c>
      <c r="B34" s="146" t="s">
        <v>477</v>
      </c>
      <c r="C34" s="67">
        <v>2016</v>
      </c>
      <c r="D34" s="146" t="s">
        <v>478</v>
      </c>
      <c r="E34" s="67" t="s">
        <v>479</v>
      </c>
      <c r="F34" s="53"/>
      <c r="G34" s="20"/>
    </row>
    <row r="35" spans="1:27" ht="57.75" customHeight="1">
      <c r="A35" s="98">
        <v>34</v>
      </c>
      <c r="B35" s="146" t="s">
        <v>477</v>
      </c>
      <c r="C35" s="67">
        <v>2024</v>
      </c>
      <c r="D35" s="146" t="s">
        <v>480</v>
      </c>
      <c r="E35" s="67" t="s">
        <v>481</v>
      </c>
      <c r="F35" s="53"/>
      <c r="G35" s="20"/>
    </row>
    <row r="36" spans="1:27" ht="42.75">
      <c r="A36" s="98">
        <v>35</v>
      </c>
      <c r="B36" s="146" t="s">
        <v>482</v>
      </c>
      <c r="C36" s="67">
        <v>2015</v>
      </c>
      <c r="D36" s="146" t="s">
        <v>483</v>
      </c>
      <c r="E36" s="67" t="s">
        <v>484</v>
      </c>
      <c r="F36" s="53"/>
      <c r="G36" s="20"/>
    </row>
    <row r="37" spans="1:27" ht="57.75">
      <c r="A37" s="98">
        <v>36</v>
      </c>
      <c r="B37" s="12" t="s">
        <v>485</v>
      </c>
      <c r="C37" s="12">
        <v>2011</v>
      </c>
      <c r="D37" s="148" t="s">
        <v>486</v>
      </c>
      <c r="E37" s="20" t="s">
        <v>487</v>
      </c>
      <c r="F37" s="53"/>
      <c r="G37" s="20"/>
    </row>
    <row r="38" spans="1:27" ht="28.5">
      <c r="A38" s="163">
        <v>37</v>
      </c>
      <c r="B38" s="146" t="s">
        <v>409</v>
      </c>
      <c r="C38" s="67">
        <v>2018</v>
      </c>
      <c r="D38" s="146" t="s">
        <v>488</v>
      </c>
      <c r="E38" s="67" t="s">
        <v>489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 ht="30">
      <c r="A39" s="98">
        <v>38</v>
      </c>
      <c r="B39" s="12" t="s">
        <v>490</v>
      </c>
      <c r="C39" s="12">
        <v>2024</v>
      </c>
      <c r="D39" s="154" t="s">
        <v>491</v>
      </c>
      <c r="E39" s="20" t="s">
        <v>492</v>
      </c>
      <c r="F39" s="53"/>
      <c r="G39" s="20"/>
    </row>
    <row r="40" spans="1:27" ht="29.25" customHeight="1">
      <c r="A40" s="98">
        <v>39</v>
      </c>
      <c r="B40" s="12" t="s">
        <v>493</v>
      </c>
      <c r="C40" s="12">
        <v>2019</v>
      </c>
      <c r="D40" s="154" t="s">
        <v>494</v>
      </c>
      <c r="E40" s="164" t="s">
        <v>495</v>
      </c>
      <c r="F40" s="53"/>
      <c r="G40" s="20"/>
    </row>
    <row r="41" spans="1:27" ht="56.25" customHeight="1">
      <c r="A41" s="98">
        <v>41</v>
      </c>
      <c r="B41" s="146" t="s">
        <v>496</v>
      </c>
      <c r="C41" s="67">
        <v>2017</v>
      </c>
      <c r="D41" s="146" t="s">
        <v>497</v>
      </c>
      <c r="E41" s="67" t="s">
        <v>498</v>
      </c>
      <c r="F41" s="53"/>
      <c r="G41" s="20"/>
    </row>
    <row r="42" spans="1:27" ht="42.75">
      <c r="A42" s="98">
        <v>42</v>
      </c>
      <c r="B42" s="146" t="s">
        <v>499</v>
      </c>
      <c r="C42" s="67">
        <v>2022</v>
      </c>
      <c r="D42" s="146" t="s">
        <v>500</v>
      </c>
      <c r="E42" s="67" t="s">
        <v>501</v>
      </c>
      <c r="F42" s="154"/>
    </row>
    <row r="43" spans="1:27" ht="61.5" customHeight="1">
      <c r="A43" s="98">
        <v>43</v>
      </c>
      <c r="B43" s="12" t="s">
        <v>502</v>
      </c>
      <c r="C43" s="12">
        <v>2024</v>
      </c>
      <c r="D43" s="154" t="s">
        <v>503</v>
      </c>
      <c r="E43" s="157" t="s">
        <v>504</v>
      </c>
      <c r="F43" s="53"/>
      <c r="G43" s="20"/>
    </row>
    <row r="44" spans="1:27" ht="42" customHeight="1">
      <c r="A44" s="98">
        <v>44</v>
      </c>
      <c r="B44" s="12" t="s">
        <v>505</v>
      </c>
      <c r="C44" s="12">
        <v>2007</v>
      </c>
      <c r="D44" s="154" t="s">
        <v>506</v>
      </c>
      <c r="E44" s="20" t="s">
        <v>507</v>
      </c>
      <c r="F44" s="53"/>
      <c r="G44" s="20"/>
    </row>
    <row r="45" spans="1:27" ht="71.25">
      <c r="A45" s="98">
        <v>45</v>
      </c>
      <c r="B45" s="146" t="s">
        <v>508</v>
      </c>
      <c r="C45" s="67">
        <v>2015</v>
      </c>
      <c r="D45" s="146" t="s">
        <v>509</v>
      </c>
      <c r="E45" s="67" t="s">
        <v>510</v>
      </c>
      <c r="F45" s="53"/>
      <c r="G45" s="20"/>
    </row>
    <row r="46" spans="1:27" ht="71.25">
      <c r="A46" s="98">
        <v>46</v>
      </c>
      <c r="B46" s="146" t="s">
        <v>456</v>
      </c>
      <c r="C46" s="67">
        <v>2023</v>
      </c>
      <c r="D46" s="146" t="s">
        <v>511</v>
      </c>
      <c r="E46" s="67" t="s">
        <v>512</v>
      </c>
      <c r="F46" s="53"/>
      <c r="G46" s="20"/>
    </row>
    <row r="47" spans="1:27" ht="42.75">
      <c r="A47" s="98">
        <v>47</v>
      </c>
      <c r="B47" s="146" t="s">
        <v>513</v>
      </c>
      <c r="C47" s="67">
        <v>2013</v>
      </c>
      <c r="D47" s="146" t="s">
        <v>514</v>
      </c>
      <c r="E47" s="67" t="s">
        <v>515</v>
      </c>
      <c r="F47" s="53"/>
      <c r="G47" s="20"/>
    </row>
    <row r="48" spans="1:27" ht="33.75" customHeight="1">
      <c r="A48" s="98">
        <v>48</v>
      </c>
      <c r="B48" s="12" t="s">
        <v>516</v>
      </c>
      <c r="C48" s="12">
        <v>2019</v>
      </c>
      <c r="D48" s="154" t="s">
        <v>517</v>
      </c>
      <c r="E48" s="20" t="s">
        <v>518</v>
      </c>
      <c r="F48" s="53"/>
      <c r="G48" s="20"/>
    </row>
    <row r="49" spans="1:7" ht="43.5">
      <c r="A49" s="98">
        <v>49</v>
      </c>
      <c r="B49" s="12" t="s">
        <v>519</v>
      </c>
      <c r="C49" s="12">
        <v>2021</v>
      </c>
      <c r="D49" s="148" t="s">
        <v>520</v>
      </c>
      <c r="E49" s="20" t="s">
        <v>521</v>
      </c>
      <c r="F49" s="53"/>
      <c r="G49" s="20"/>
    </row>
    <row r="50" spans="1:7" ht="89.25" customHeight="1">
      <c r="A50" s="98">
        <v>50</v>
      </c>
      <c r="B50" s="12" t="s">
        <v>522</v>
      </c>
      <c r="C50" s="12">
        <v>2019</v>
      </c>
      <c r="D50" s="154" t="s">
        <v>523</v>
      </c>
      <c r="E50" s="20" t="s">
        <v>524</v>
      </c>
      <c r="F50" s="53"/>
      <c r="G50" s="20"/>
    </row>
    <row r="51" spans="1:7" ht="45">
      <c r="A51" s="98">
        <v>51</v>
      </c>
      <c r="B51" s="12" t="s">
        <v>525</v>
      </c>
      <c r="C51" s="12">
        <v>2016</v>
      </c>
      <c r="D51" s="53" t="s">
        <v>526</v>
      </c>
      <c r="E51" s="20" t="s">
        <v>527</v>
      </c>
      <c r="F51" s="53"/>
      <c r="G51" s="20"/>
    </row>
    <row r="52" spans="1:7" ht="54" customHeight="1">
      <c r="A52" s="98">
        <v>52</v>
      </c>
      <c r="B52" s="12" t="s">
        <v>528</v>
      </c>
      <c r="C52" s="12">
        <v>1992</v>
      </c>
      <c r="D52" s="148" t="s">
        <v>529</v>
      </c>
      <c r="E52" s="12" t="s">
        <v>530</v>
      </c>
      <c r="F52" s="53"/>
      <c r="G52" s="20"/>
    </row>
    <row r="53" spans="1:7" ht="42.75">
      <c r="A53" s="98">
        <v>53</v>
      </c>
      <c r="B53" s="146" t="s">
        <v>531</v>
      </c>
      <c r="C53" s="67">
        <v>2019</v>
      </c>
      <c r="D53" s="146" t="s">
        <v>532</v>
      </c>
      <c r="E53" s="67" t="s">
        <v>533</v>
      </c>
      <c r="F53" s="53"/>
      <c r="G53" s="20"/>
    </row>
    <row r="54" spans="1:7" ht="45">
      <c r="A54" s="98">
        <v>54</v>
      </c>
      <c r="B54" s="12" t="s">
        <v>534</v>
      </c>
      <c r="C54" s="12">
        <v>2014</v>
      </c>
      <c r="D54" s="154" t="s">
        <v>535</v>
      </c>
      <c r="E54" s="20" t="s">
        <v>536</v>
      </c>
      <c r="F54" s="53"/>
      <c r="G54" s="20"/>
    </row>
    <row r="55" spans="1:7" ht="43.5">
      <c r="A55" s="98">
        <v>55</v>
      </c>
      <c r="B55" s="12" t="s">
        <v>537</v>
      </c>
      <c r="C55" s="12">
        <v>2006</v>
      </c>
      <c r="D55" s="148" t="s">
        <v>538</v>
      </c>
      <c r="E55" s="20" t="s">
        <v>539</v>
      </c>
      <c r="F55" s="53"/>
      <c r="G55" s="20"/>
    </row>
    <row r="56" spans="1:7" ht="57.75">
      <c r="A56" s="98">
        <v>56</v>
      </c>
      <c r="B56" s="12" t="s">
        <v>540</v>
      </c>
      <c r="C56" s="12">
        <v>2024</v>
      </c>
      <c r="D56" s="148" t="s">
        <v>541</v>
      </c>
      <c r="E56" s="20" t="s">
        <v>542</v>
      </c>
      <c r="F56" s="53"/>
      <c r="G56" s="20"/>
    </row>
    <row r="57" spans="1:7" ht="72">
      <c r="A57" s="98">
        <v>57</v>
      </c>
      <c r="B57" s="12" t="s">
        <v>543</v>
      </c>
      <c r="C57" s="12">
        <v>2018</v>
      </c>
      <c r="D57" s="148" t="s">
        <v>544</v>
      </c>
      <c r="E57" s="20" t="s">
        <v>545</v>
      </c>
      <c r="F57" s="53"/>
      <c r="G57" s="20"/>
    </row>
    <row r="58" spans="1:7" ht="72.75" customHeight="1">
      <c r="A58" s="98">
        <v>58</v>
      </c>
      <c r="B58" s="12" t="s">
        <v>433</v>
      </c>
      <c r="C58" s="12">
        <v>1995</v>
      </c>
      <c r="D58" s="154" t="s">
        <v>546</v>
      </c>
      <c r="E58" s="157" t="s">
        <v>547</v>
      </c>
      <c r="F58" s="53"/>
      <c r="G58" s="20"/>
    </row>
    <row r="59" spans="1:7" ht="57" customHeight="1">
      <c r="A59" s="98">
        <v>59</v>
      </c>
      <c r="B59" s="12" t="s">
        <v>409</v>
      </c>
      <c r="C59" s="12">
        <v>2023</v>
      </c>
      <c r="D59" s="148" t="s">
        <v>548</v>
      </c>
      <c r="E59" s="165" t="s">
        <v>416</v>
      </c>
      <c r="F59" s="53"/>
      <c r="G59" s="20"/>
    </row>
    <row r="60" spans="1:7" ht="71.25" customHeight="1">
      <c r="A60" s="98">
        <v>60</v>
      </c>
      <c r="B60" s="12" t="s">
        <v>549</v>
      </c>
      <c r="C60" s="12">
        <v>2000</v>
      </c>
      <c r="D60" s="148" t="s">
        <v>550</v>
      </c>
      <c r="E60" s="20" t="s">
        <v>551</v>
      </c>
      <c r="F60" s="53"/>
      <c r="G60" s="20"/>
    </row>
    <row r="61" spans="1:7" ht="66.75" customHeight="1">
      <c r="A61" s="98">
        <v>61</v>
      </c>
      <c r="B61" s="12" t="s">
        <v>496</v>
      </c>
      <c r="C61" s="12">
        <v>2011</v>
      </c>
      <c r="D61" s="148" t="s">
        <v>552</v>
      </c>
      <c r="E61" s="20" t="s">
        <v>553</v>
      </c>
      <c r="F61" s="53"/>
      <c r="G61" s="20"/>
    </row>
    <row r="62" spans="1:7" ht="63.75" customHeight="1">
      <c r="A62" s="98"/>
      <c r="B62" s="12"/>
      <c r="C62" s="12"/>
      <c r="D62" s="148"/>
      <c r="E62" s="165"/>
      <c r="F62" s="53"/>
      <c r="G62" s="20"/>
    </row>
    <row r="63" spans="1:7" ht="60" customHeight="1">
      <c r="A63" s="98"/>
      <c r="B63" s="12"/>
      <c r="C63" s="12"/>
      <c r="D63" s="148"/>
      <c r="E63" s="12"/>
      <c r="F63" s="53"/>
      <c r="G63" s="20"/>
    </row>
    <row r="64" spans="1:7" ht="27.75" customHeight="1">
      <c r="A64" s="98"/>
      <c r="B64" s="12"/>
      <c r="C64" s="12"/>
      <c r="D64" s="148"/>
      <c r="E64" s="12"/>
      <c r="F64" s="53"/>
      <c r="G64" s="20"/>
    </row>
    <row r="65" spans="1:7" ht="15.75" customHeight="1">
      <c r="A65" s="98"/>
      <c r="B65" s="12"/>
      <c r="C65" s="12"/>
      <c r="D65" s="148"/>
      <c r="E65" s="165"/>
      <c r="F65" s="53"/>
      <c r="G65" s="20"/>
    </row>
    <row r="66" spans="1:7" ht="41.25" customHeight="1">
      <c r="A66" s="98"/>
      <c r="B66" s="12"/>
      <c r="C66" s="12"/>
      <c r="D66" s="148"/>
      <c r="E66" s="165"/>
      <c r="F66" s="53"/>
      <c r="G66" s="20"/>
    </row>
    <row r="67" spans="1:7" ht="46.5" customHeight="1">
      <c r="A67" s="98"/>
      <c r="B67" s="12"/>
      <c r="C67" s="12"/>
      <c r="D67" s="148"/>
      <c r="E67" s="20"/>
      <c r="F67" s="53"/>
      <c r="G67" s="20"/>
    </row>
    <row r="68" spans="1:7" ht="42" customHeight="1">
      <c r="A68" s="98"/>
      <c r="B68" s="12"/>
      <c r="C68" s="12"/>
      <c r="D68" s="148"/>
      <c r="E68" s="165"/>
      <c r="F68" s="53"/>
      <c r="G68" s="20"/>
    </row>
    <row r="69" spans="1:7" ht="59.25" customHeight="1">
      <c r="A69" s="98"/>
      <c r="B69" s="12"/>
      <c r="C69" s="12"/>
      <c r="D69" s="148"/>
      <c r="E69" s="165"/>
      <c r="F69" s="53"/>
      <c r="G69" s="20"/>
    </row>
    <row r="70" spans="1:7" ht="62.25" customHeight="1">
      <c r="A70" s="98"/>
      <c r="B70" s="12"/>
      <c r="C70" s="12"/>
      <c r="D70" s="148"/>
      <c r="E70" s="12"/>
      <c r="F70" s="53"/>
      <c r="G70" s="20"/>
    </row>
    <row r="71" spans="1:7" ht="47.25" customHeight="1">
      <c r="A71" s="98"/>
      <c r="B71" s="12"/>
      <c r="C71" s="12"/>
      <c r="D71" s="148"/>
      <c r="E71" s="165"/>
      <c r="F71" s="53"/>
      <c r="G71" s="20"/>
    </row>
    <row r="72" spans="1:7" ht="30" customHeight="1">
      <c r="A72" s="98"/>
      <c r="B72" s="12"/>
      <c r="C72" s="12"/>
      <c r="D72" s="148"/>
      <c r="E72" s="20"/>
      <c r="F72" s="53"/>
      <c r="G72" s="20"/>
    </row>
    <row r="73" spans="1:7" ht="45" customHeight="1">
      <c r="A73" s="98"/>
      <c r="B73" s="12"/>
      <c r="C73" s="12"/>
      <c r="D73" s="148"/>
      <c r="E73" s="20"/>
      <c r="F73" s="53"/>
      <c r="G73" s="20"/>
    </row>
    <row r="74" spans="1:7" ht="57" customHeight="1">
      <c r="A74" s="98"/>
      <c r="B74" s="12"/>
      <c r="C74" s="12"/>
      <c r="D74" s="148"/>
      <c r="E74" s="165"/>
      <c r="F74" s="53"/>
      <c r="G74" s="20"/>
    </row>
    <row r="75" spans="1:7" ht="47.25" customHeight="1">
      <c r="A75" s="98"/>
      <c r="B75" s="12"/>
      <c r="C75" s="12"/>
      <c r="D75" s="148"/>
      <c r="E75" s="12"/>
      <c r="F75" s="53"/>
      <c r="G75" s="20"/>
    </row>
    <row r="76" spans="1:7" ht="30" customHeight="1">
      <c r="A76" s="98"/>
      <c r="B76" s="12"/>
      <c r="C76" s="12"/>
      <c r="D76" s="148"/>
      <c r="E76" s="20"/>
      <c r="F76" s="53"/>
      <c r="G76" s="20"/>
    </row>
    <row r="77" spans="1:7" ht="15.75" customHeight="1">
      <c r="A77" s="98"/>
      <c r="B77" s="12"/>
      <c r="C77" s="12"/>
      <c r="D77" s="148"/>
      <c r="E77" s="165"/>
      <c r="F77" s="53"/>
      <c r="G77" s="20"/>
    </row>
    <row r="78" spans="1:7" ht="57" customHeight="1">
      <c r="A78" s="98"/>
      <c r="B78" s="12"/>
      <c r="C78" s="12"/>
      <c r="D78" s="53"/>
      <c r="E78" s="20"/>
      <c r="F78" s="53"/>
      <c r="G78" s="20"/>
    </row>
    <row r="79" spans="1:7" ht="59.25" customHeight="1">
      <c r="A79" s="98"/>
      <c r="B79" s="12"/>
      <c r="C79" s="12"/>
      <c r="D79" s="53"/>
      <c r="E79" s="20"/>
      <c r="F79" s="53"/>
      <c r="G79" s="20"/>
    </row>
    <row r="80" spans="1:7" ht="45" customHeight="1">
      <c r="A80" s="98"/>
      <c r="B80" s="12"/>
      <c r="C80" s="12"/>
      <c r="D80" s="148"/>
      <c r="E80" s="165"/>
      <c r="F80" s="53"/>
      <c r="G80" s="20"/>
    </row>
    <row r="81" spans="1:27" ht="57.75" customHeight="1">
      <c r="A81" s="98"/>
      <c r="B81" s="12"/>
      <c r="C81" s="12"/>
      <c r="D81" s="148"/>
      <c r="E81" s="165"/>
      <c r="F81" s="53"/>
      <c r="G81" s="20"/>
    </row>
    <row r="82" spans="1:27" ht="57" customHeight="1">
      <c r="A82" s="98"/>
      <c r="B82" s="12"/>
      <c r="C82" s="12"/>
      <c r="D82" s="148"/>
      <c r="E82" s="20"/>
      <c r="F82" s="53"/>
      <c r="G82" s="20"/>
    </row>
    <row r="83" spans="1:27" ht="59.25" customHeight="1">
      <c r="A83" s="98"/>
      <c r="B83" s="12"/>
      <c r="C83" s="12"/>
      <c r="D83" s="148"/>
      <c r="E83" s="20"/>
      <c r="F83" s="53"/>
      <c r="G83" s="20"/>
    </row>
    <row r="84" spans="1:27" ht="60.75" customHeight="1">
      <c r="A84" s="98"/>
      <c r="B84" s="12"/>
      <c r="C84" s="12"/>
      <c r="D84" s="148"/>
      <c r="E84" s="20"/>
      <c r="F84" s="53"/>
      <c r="G84" s="20"/>
    </row>
    <row r="85" spans="1:27" ht="15.75" customHeight="1">
      <c r="A85" s="98"/>
      <c r="B85" s="12"/>
      <c r="C85" s="12"/>
      <c r="D85" s="148"/>
      <c r="E85" s="165"/>
      <c r="F85" s="53"/>
      <c r="G85" s="20"/>
    </row>
    <row r="86" spans="1:27" ht="29.25" customHeight="1">
      <c r="A86" s="98"/>
      <c r="B86" s="12"/>
      <c r="C86" s="12"/>
      <c r="D86" s="148"/>
      <c r="E86" s="165"/>
      <c r="F86" s="53"/>
      <c r="G86" s="20"/>
    </row>
    <row r="87" spans="1:27" ht="15.75" customHeight="1">
      <c r="A87" s="98"/>
      <c r="B87" s="12"/>
      <c r="C87" s="12"/>
      <c r="D87" s="166"/>
      <c r="E87" s="12"/>
      <c r="F87" s="154"/>
    </row>
    <row r="88" spans="1:27" ht="39.75" customHeight="1">
      <c r="A88" s="98"/>
      <c r="B88" s="12"/>
      <c r="C88" s="12"/>
      <c r="D88" s="148"/>
      <c r="E88" s="12"/>
      <c r="F88" s="154"/>
    </row>
    <row r="89" spans="1:27" ht="57" customHeight="1">
      <c r="A89" s="98"/>
      <c r="B89" s="12"/>
      <c r="C89" s="12"/>
      <c r="D89" s="148"/>
      <c r="E89" s="165"/>
      <c r="F89" s="53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60" customHeight="1">
      <c r="A90" s="98"/>
      <c r="B90" s="12"/>
      <c r="C90" s="12"/>
      <c r="D90" s="148"/>
      <c r="E90" s="20"/>
      <c r="F90" s="154"/>
    </row>
    <row r="91" spans="1:27" ht="15.75" customHeight="1">
      <c r="B91" s="12"/>
      <c r="D91" s="166"/>
      <c r="E91" s="20"/>
      <c r="F91" s="154"/>
    </row>
    <row r="92" spans="1:27" ht="15.75" customHeight="1">
      <c r="B92" s="12"/>
      <c r="D92" s="159"/>
      <c r="E92" s="20"/>
      <c r="F92" s="154"/>
    </row>
    <row r="93" spans="1:27" ht="15.75" customHeight="1">
      <c r="B93" s="12"/>
      <c r="D93" s="159"/>
      <c r="E93" s="20"/>
      <c r="F93" s="154"/>
    </row>
    <row r="94" spans="1:27" ht="15.75" customHeight="1">
      <c r="B94" s="12"/>
      <c r="D94" s="159"/>
      <c r="E94" s="20"/>
      <c r="F94" s="154"/>
    </row>
    <row r="95" spans="1:27" ht="15.75" customHeight="1">
      <c r="B95" s="12"/>
      <c r="D95" s="159"/>
      <c r="E95" s="20"/>
      <c r="F95" s="154"/>
    </row>
    <row r="96" spans="1:27" ht="15.75" customHeight="1">
      <c r="B96" s="12"/>
      <c r="D96" s="159"/>
      <c r="E96" s="20"/>
      <c r="F96" s="154"/>
    </row>
    <row r="97" spans="2:6" ht="15.75" customHeight="1">
      <c r="B97" s="12"/>
      <c r="D97" s="159"/>
      <c r="E97" s="20"/>
      <c r="F97" s="154"/>
    </row>
    <row r="98" spans="2:6" ht="15.75" customHeight="1">
      <c r="B98" s="12"/>
      <c r="D98" s="159"/>
      <c r="E98" s="20"/>
      <c r="F98" s="154"/>
    </row>
    <row r="99" spans="2:6" ht="15.75" customHeight="1">
      <c r="B99" s="12"/>
      <c r="D99" s="159"/>
      <c r="E99" s="20"/>
      <c r="F99" s="154"/>
    </row>
    <row r="100" spans="2:6" ht="15.75" customHeight="1">
      <c r="B100" s="12"/>
      <c r="D100" s="159"/>
      <c r="E100" s="20"/>
      <c r="F100" s="154"/>
    </row>
    <row r="101" spans="2:6" ht="15.75" customHeight="1">
      <c r="B101" s="12"/>
      <c r="D101" s="159"/>
      <c r="E101" s="20"/>
      <c r="F101" s="154"/>
    </row>
    <row r="102" spans="2:6" ht="15.75" customHeight="1">
      <c r="B102" s="12"/>
      <c r="D102" s="159"/>
      <c r="E102" s="20"/>
      <c r="F102" s="154"/>
    </row>
    <row r="103" spans="2:6" ht="15.75" customHeight="1">
      <c r="B103" s="12"/>
      <c r="D103" s="159"/>
      <c r="E103" s="20"/>
      <c r="F103" s="154"/>
    </row>
    <row r="104" spans="2:6" ht="15.75" customHeight="1">
      <c r="B104" s="12"/>
      <c r="D104" s="159"/>
      <c r="E104" s="20"/>
      <c r="F104" s="154"/>
    </row>
    <row r="105" spans="2:6" ht="15.75" customHeight="1">
      <c r="B105" s="12"/>
      <c r="D105" s="159"/>
      <c r="E105" s="20"/>
      <c r="F105" s="154"/>
    </row>
    <row r="106" spans="2:6" ht="15.75" customHeight="1">
      <c r="B106" s="12"/>
      <c r="D106" s="159"/>
      <c r="E106" s="20"/>
      <c r="F106" s="154"/>
    </row>
    <row r="107" spans="2:6" ht="15.75" customHeight="1">
      <c r="B107" s="12"/>
      <c r="D107" s="159"/>
      <c r="E107" s="20"/>
      <c r="F107" s="154"/>
    </row>
    <row r="108" spans="2:6" ht="15.75" customHeight="1">
      <c r="B108" s="12"/>
      <c r="D108" s="159"/>
      <c r="E108" s="20"/>
      <c r="F108" s="154"/>
    </row>
    <row r="109" spans="2:6" ht="15.75" customHeight="1">
      <c r="B109" s="12"/>
      <c r="D109" s="159"/>
      <c r="E109" s="20"/>
      <c r="F109" s="154"/>
    </row>
    <row r="110" spans="2:6" ht="15.75" customHeight="1">
      <c r="B110" s="12"/>
      <c r="D110" s="159"/>
      <c r="E110" s="20"/>
      <c r="F110" s="154"/>
    </row>
    <row r="111" spans="2:6" ht="15.75" customHeight="1">
      <c r="B111" s="12"/>
      <c r="D111" s="159"/>
      <c r="E111" s="20"/>
      <c r="F111" s="154"/>
    </row>
    <row r="112" spans="2:6" ht="15.75" customHeight="1">
      <c r="B112" s="12"/>
      <c r="D112" s="159"/>
      <c r="E112" s="20"/>
      <c r="F112" s="154"/>
    </row>
    <row r="113" spans="2:6" ht="15.75" customHeight="1">
      <c r="B113" s="12"/>
      <c r="D113" s="159"/>
      <c r="E113" s="20"/>
      <c r="F113" s="154"/>
    </row>
    <row r="114" spans="2:6" ht="15.75" customHeight="1">
      <c r="B114" s="12"/>
      <c r="D114" s="159"/>
      <c r="E114" s="20"/>
      <c r="F114" s="154"/>
    </row>
    <row r="115" spans="2:6" ht="15.75" customHeight="1">
      <c r="B115" s="12"/>
      <c r="D115" s="159"/>
      <c r="E115" s="20"/>
      <c r="F115" s="154"/>
    </row>
    <row r="116" spans="2:6" ht="15.75" customHeight="1">
      <c r="B116" s="12"/>
      <c r="D116" s="159"/>
      <c r="E116" s="20"/>
      <c r="F116" s="154"/>
    </row>
    <row r="117" spans="2:6" ht="15.75" customHeight="1">
      <c r="B117" s="12"/>
      <c r="D117" s="159"/>
      <c r="E117" s="20"/>
      <c r="F117" s="154"/>
    </row>
    <row r="118" spans="2:6" ht="15.75" customHeight="1">
      <c r="B118" s="12"/>
      <c r="D118" s="159"/>
      <c r="E118" s="20"/>
      <c r="F118" s="154"/>
    </row>
    <row r="119" spans="2:6" ht="15.75" customHeight="1">
      <c r="B119" s="12"/>
      <c r="D119" s="159"/>
      <c r="E119" s="20"/>
      <c r="F119" s="154"/>
    </row>
    <row r="120" spans="2:6" ht="15.75" customHeight="1">
      <c r="B120" s="12"/>
      <c r="D120" s="159"/>
      <c r="E120" s="20"/>
      <c r="F120" s="154"/>
    </row>
    <row r="121" spans="2:6" ht="15.75" customHeight="1">
      <c r="B121" s="12"/>
      <c r="D121" s="159"/>
      <c r="E121" s="20"/>
      <c r="F121" s="154"/>
    </row>
    <row r="122" spans="2:6" ht="15.75" customHeight="1">
      <c r="B122" s="12"/>
      <c r="D122" s="159"/>
      <c r="E122" s="20"/>
      <c r="F122" s="154"/>
    </row>
    <row r="123" spans="2:6" ht="15.75" customHeight="1">
      <c r="B123" s="12"/>
      <c r="D123" s="159"/>
      <c r="E123" s="20"/>
      <c r="F123" s="154"/>
    </row>
    <row r="124" spans="2:6" ht="15.75" customHeight="1">
      <c r="B124" s="12"/>
      <c r="D124" s="159"/>
      <c r="E124" s="20"/>
      <c r="F124" s="154"/>
    </row>
    <row r="125" spans="2:6" ht="15.75" customHeight="1">
      <c r="B125" s="12"/>
      <c r="D125" s="159"/>
      <c r="E125" s="20"/>
      <c r="F125" s="154"/>
    </row>
    <row r="126" spans="2:6" ht="15.75" customHeight="1">
      <c r="B126" s="12"/>
      <c r="D126" s="159"/>
      <c r="E126" s="20"/>
      <c r="F126" s="154"/>
    </row>
    <row r="127" spans="2:6" ht="15.75" customHeight="1">
      <c r="B127" s="12"/>
      <c r="D127" s="159"/>
      <c r="E127" s="20"/>
      <c r="F127" s="154"/>
    </row>
    <row r="128" spans="2:6" ht="15.75" customHeight="1">
      <c r="B128" s="12"/>
      <c r="D128" s="159"/>
      <c r="E128" s="20"/>
      <c r="F128" s="154"/>
    </row>
    <row r="129" spans="2:6" ht="15.75" customHeight="1">
      <c r="B129" s="12"/>
      <c r="D129" s="159"/>
      <c r="E129" s="20"/>
      <c r="F129" s="154"/>
    </row>
    <row r="130" spans="2:6" ht="15.75" customHeight="1">
      <c r="B130" s="12"/>
      <c r="D130" s="159"/>
      <c r="E130" s="20"/>
      <c r="F130" s="154"/>
    </row>
    <row r="131" spans="2:6" ht="15.75" customHeight="1">
      <c r="B131" s="12"/>
      <c r="D131" s="159"/>
      <c r="E131" s="20"/>
      <c r="F131" s="154"/>
    </row>
    <row r="132" spans="2:6" ht="15.75" customHeight="1">
      <c r="B132" s="12"/>
      <c r="D132" s="159"/>
      <c r="E132" s="20"/>
      <c r="F132" s="154"/>
    </row>
    <row r="133" spans="2:6" ht="15.75" customHeight="1">
      <c r="B133" s="12"/>
      <c r="D133" s="159"/>
      <c r="E133" s="20"/>
      <c r="F133" s="154"/>
    </row>
    <row r="134" spans="2:6" ht="15.75" customHeight="1">
      <c r="B134" s="12"/>
      <c r="D134" s="159"/>
      <c r="E134" s="20"/>
      <c r="F134" s="154"/>
    </row>
    <row r="135" spans="2:6" ht="15.75" customHeight="1">
      <c r="B135" s="12"/>
      <c r="D135" s="159"/>
      <c r="E135" s="20"/>
      <c r="F135" s="154"/>
    </row>
    <row r="136" spans="2:6" ht="15.75" customHeight="1">
      <c r="B136" s="12"/>
      <c r="D136" s="159"/>
      <c r="E136" s="20"/>
      <c r="F136" s="154"/>
    </row>
    <row r="137" spans="2:6" ht="15.75" customHeight="1">
      <c r="B137" s="12"/>
      <c r="D137" s="159"/>
      <c r="E137" s="20"/>
      <c r="F137" s="154"/>
    </row>
    <row r="138" spans="2:6" ht="15.75" customHeight="1">
      <c r="B138" s="12"/>
      <c r="D138" s="159"/>
      <c r="E138" s="20"/>
      <c r="F138" s="154"/>
    </row>
    <row r="139" spans="2:6" ht="15.75" customHeight="1">
      <c r="B139" s="12"/>
      <c r="D139" s="159"/>
      <c r="E139" s="20"/>
      <c r="F139" s="154"/>
    </row>
    <row r="140" spans="2:6" ht="15.75" customHeight="1">
      <c r="B140" s="12"/>
      <c r="D140" s="159"/>
      <c r="E140" s="20"/>
      <c r="F140" s="154"/>
    </row>
    <row r="141" spans="2:6" ht="15.75" customHeight="1">
      <c r="B141" s="12"/>
      <c r="D141" s="159"/>
      <c r="E141" s="20"/>
      <c r="F141" s="154"/>
    </row>
    <row r="142" spans="2:6" ht="15.75" customHeight="1">
      <c r="B142" s="12"/>
      <c r="D142" s="159"/>
      <c r="E142" s="20"/>
      <c r="F142" s="154"/>
    </row>
    <row r="143" spans="2:6" ht="15.75" customHeight="1">
      <c r="B143" s="12"/>
      <c r="D143" s="159"/>
      <c r="E143" s="20"/>
      <c r="F143" s="154"/>
    </row>
    <row r="144" spans="2:6" ht="15.75" customHeight="1">
      <c r="B144" s="12"/>
      <c r="D144" s="159"/>
      <c r="E144" s="20"/>
      <c r="F144" s="154"/>
    </row>
    <row r="145" spans="2:6" ht="15.75" customHeight="1">
      <c r="B145" s="12"/>
      <c r="D145" s="159"/>
      <c r="E145" s="20"/>
      <c r="F145" s="154"/>
    </row>
    <row r="146" spans="2:6" ht="15.75" customHeight="1">
      <c r="B146" s="12"/>
      <c r="D146" s="159"/>
      <c r="E146" s="20"/>
      <c r="F146" s="154"/>
    </row>
    <row r="147" spans="2:6" ht="15.75" customHeight="1">
      <c r="B147" s="12"/>
      <c r="D147" s="159"/>
      <c r="E147" s="20"/>
      <c r="F147" s="154"/>
    </row>
    <row r="148" spans="2:6" ht="15.75" customHeight="1">
      <c r="B148" s="12"/>
      <c r="D148" s="159"/>
      <c r="E148" s="20"/>
      <c r="F148" s="154"/>
    </row>
    <row r="149" spans="2:6" ht="15.75" customHeight="1">
      <c r="B149" s="12"/>
      <c r="D149" s="159"/>
      <c r="E149" s="20"/>
      <c r="F149" s="154"/>
    </row>
    <row r="150" spans="2:6" ht="15.75" customHeight="1">
      <c r="B150" s="12"/>
      <c r="D150" s="159"/>
      <c r="E150" s="20"/>
      <c r="F150" s="154"/>
    </row>
    <row r="151" spans="2:6" ht="15.75" customHeight="1">
      <c r="B151" s="12"/>
      <c r="D151" s="159"/>
      <c r="E151" s="20"/>
      <c r="F151" s="154"/>
    </row>
    <row r="152" spans="2:6" ht="15.75" customHeight="1">
      <c r="B152" s="12"/>
      <c r="D152" s="159"/>
      <c r="E152" s="20"/>
      <c r="F152" s="154"/>
    </row>
    <row r="153" spans="2:6" ht="15.75" customHeight="1">
      <c r="B153" s="12"/>
      <c r="D153" s="159"/>
      <c r="E153" s="20"/>
      <c r="F153" s="154"/>
    </row>
    <row r="154" spans="2:6" ht="15.75" customHeight="1">
      <c r="B154" s="12"/>
      <c r="D154" s="159"/>
      <c r="E154" s="20"/>
      <c r="F154" s="154"/>
    </row>
    <row r="155" spans="2:6" ht="15.75" customHeight="1">
      <c r="B155" s="12"/>
      <c r="D155" s="159"/>
      <c r="E155" s="20"/>
      <c r="F155" s="154"/>
    </row>
    <row r="156" spans="2:6" ht="15.75" customHeight="1">
      <c r="B156" s="12"/>
      <c r="D156" s="159"/>
      <c r="E156" s="20"/>
      <c r="F156" s="154"/>
    </row>
    <row r="157" spans="2:6" ht="15.75" customHeight="1">
      <c r="B157" s="12"/>
      <c r="D157" s="159"/>
      <c r="E157" s="20"/>
      <c r="F157" s="154"/>
    </row>
    <row r="158" spans="2:6" ht="15.75" customHeight="1">
      <c r="B158" s="12"/>
      <c r="D158" s="159"/>
      <c r="E158" s="20"/>
      <c r="F158" s="154"/>
    </row>
    <row r="159" spans="2:6" ht="15.75" customHeight="1">
      <c r="B159" s="12"/>
      <c r="D159" s="159"/>
      <c r="E159" s="20"/>
      <c r="F159" s="154"/>
    </row>
    <row r="160" spans="2:6" ht="15.75" customHeight="1">
      <c r="B160" s="12"/>
      <c r="D160" s="159"/>
      <c r="E160" s="20"/>
      <c r="F160" s="154"/>
    </row>
    <row r="161" spans="2:6" ht="15.75" customHeight="1">
      <c r="B161" s="12"/>
      <c r="D161" s="159"/>
      <c r="E161" s="20"/>
      <c r="F161" s="154"/>
    </row>
    <row r="162" spans="2:6" ht="15.75" customHeight="1">
      <c r="B162" s="12"/>
      <c r="D162" s="159"/>
      <c r="E162" s="20"/>
      <c r="F162" s="154"/>
    </row>
    <row r="163" spans="2:6" ht="15.75" customHeight="1">
      <c r="B163" s="12"/>
      <c r="D163" s="159"/>
      <c r="E163" s="20"/>
      <c r="F163" s="154"/>
    </row>
    <row r="164" spans="2:6" ht="15.75" customHeight="1">
      <c r="B164" s="12"/>
      <c r="D164" s="159"/>
      <c r="E164" s="20"/>
      <c r="F164" s="154"/>
    </row>
    <row r="165" spans="2:6" ht="15.75" customHeight="1">
      <c r="B165" s="12"/>
      <c r="D165" s="159"/>
      <c r="E165" s="20"/>
      <c r="F165" s="154"/>
    </row>
    <row r="166" spans="2:6" ht="15.75" customHeight="1">
      <c r="B166" s="12"/>
      <c r="D166" s="159"/>
      <c r="E166" s="20"/>
      <c r="F166" s="154"/>
    </row>
    <row r="167" spans="2:6" ht="15.75" customHeight="1">
      <c r="B167" s="12"/>
      <c r="D167" s="159"/>
      <c r="E167" s="20"/>
      <c r="F167" s="154"/>
    </row>
    <row r="168" spans="2:6" ht="15.75" customHeight="1">
      <c r="B168" s="12"/>
      <c r="D168" s="159"/>
      <c r="E168" s="20"/>
      <c r="F168" s="154"/>
    </row>
    <row r="169" spans="2:6" ht="15.75" customHeight="1">
      <c r="B169" s="12"/>
      <c r="D169" s="159"/>
      <c r="E169" s="20"/>
      <c r="F169" s="154"/>
    </row>
    <row r="170" spans="2:6" ht="15.75" customHeight="1">
      <c r="B170" s="12"/>
      <c r="D170" s="159"/>
      <c r="E170" s="20"/>
      <c r="F170" s="154"/>
    </row>
    <row r="171" spans="2:6" ht="15.75" customHeight="1">
      <c r="B171" s="12"/>
      <c r="D171" s="159"/>
      <c r="E171" s="20"/>
      <c r="F171" s="154"/>
    </row>
    <row r="172" spans="2:6" ht="15.75" customHeight="1">
      <c r="B172" s="12"/>
      <c r="D172" s="159"/>
      <c r="E172" s="20"/>
      <c r="F172" s="154"/>
    </row>
    <row r="173" spans="2:6" ht="15.75" customHeight="1">
      <c r="B173" s="12"/>
      <c r="D173" s="159"/>
      <c r="E173" s="20"/>
      <c r="F173" s="154"/>
    </row>
    <row r="174" spans="2:6" ht="15.75" customHeight="1">
      <c r="B174" s="12"/>
      <c r="D174" s="159"/>
      <c r="E174" s="20"/>
      <c r="F174" s="154"/>
    </row>
    <row r="175" spans="2:6" ht="15.75" customHeight="1">
      <c r="B175" s="12"/>
      <c r="D175" s="159"/>
      <c r="E175" s="20"/>
      <c r="F175" s="154"/>
    </row>
    <row r="176" spans="2:6" ht="15.75" customHeight="1">
      <c r="B176" s="12"/>
      <c r="D176" s="159"/>
      <c r="E176" s="20"/>
      <c r="F176" s="154"/>
    </row>
    <row r="177" spans="2:6" ht="15.75" customHeight="1">
      <c r="B177" s="12"/>
      <c r="D177" s="159"/>
      <c r="E177" s="20"/>
      <c r="F177" s="154"/>
    </row>
    <row r="178" spans="2:6" ht="15.75" customHeight="1">
      <c r="B178" s="12"/>
      <c r="D178" s="159"/>
      <c r="E178" s="20"/>
      <c r="F178" s="154"/>
    </row>
    <row r="179" spans="2:6" ht="15.75" customHeight="1">
      <c r="B179" s="12"/>
      <c r="D179" s="159"/>
      <c r="E179" s="20"/>
      <c r="F179" s="154"/>
    </row>
    <row r="180" spans="2:6" ht="15.75" customHeight="1">
      <c r="B180" s="12"/>
      <c r="D180" s="159"/>
      <c r="E180" s="20"/>
      <c r="F180" s="154"/>
    </row>
    <row r="181" spans="2:6" ht="15.75" customHeight="1">
      <c r="B181" s="12"/>
      <c r="D181" s="159"/>
      <c r="E181" s="20"/>
      <c r="F181" s="154"/>
    </row>
    <row r="182" spans="2:6" ht="15.75" customHeight="1">
      <c r="B182" s="12"/>
      <c r="D182" s="159"/>
      <c r="E182" s="20"/>
      <c r="F182" s="154"/>
    </row>
    <row r="183" spans="2:6" ht="15.75" customHeight="1">
      <c r="B183" s="12"/>
      <c r="D183" s="159"/>
      <c r="E183" s="20"/>
      <c r="F183" s="154"/>
    </row>
    <row r="184" spans="2:6" ht="15.75" customHeight="1">
      <c r="B184" s="12"/>
      <c r="D184" s="159"/>
      <c r="E184" s="20"/>
      <c r="F184" s="154"/>
    </row>
    <row r="185" spans="2:6" ht="15.75" customHeight="1">
      <c r="B185" s="12"/>
      <c r="D185" s="159"/>
      <c r="E185" s="20"/>
      <c r="F185" s="154"/>
    </row>
    <row r="186" spans="2:6" ht="15.75" customHeight="1">
      <c r="B186" s="12"/>
      <c r="D186" s="159"/>
      <c r="E186" s="20"/>
      <c r="F186" s="154"/>
    </row>
    <row r="187" spans="2:6" ht="15.75" customHeight="1">
      <c r="B187" s="12"/>
      <c r="D187" s="159"/>
      <c r="E187" s="20"/>
      <c r="F187" s="154"/>
    </row>
    <row r="188" spans="2:6" ht="15.75" customHeight="1">
      <c r="B188" s="12"/>
      <c r="D188" s="159"/>
      <c r="E188" s="20"/>
      <c r="F188" s="154"/>
    </row>
    <row r="189" spans="2:6" ht="15.75" customHeight="1">
      <c r="B189" s="12"/>
      <c r="D189" s="159"/>
      <c r="E189" s="20"/>
      <c r="F189" s="154"/>
    </row>
    <row r="190" spans="2:6" ht="15.75" customHeight="1">
      <c r="B190" s="12"/>
      <c r="D190" s="159"/>
      <c r="E190" s="20"/>
      <c r="F190" s="154"/>
    </row>
    <row r="191" spans="2:6" ht="15.75" customHeight="1">
      <c r="B191" s="12"/>
      <c r="D191" s="159"/>
      <c r="E191" s="20"/>
      <c r="F191" s="154"/>
    </row>
    <row r="192" spans="2:6" ht="15.75" customHeight="1">
      <c r="B192" s="12"/>
      <c r="D192" s="159"/>
      <c r="E192" s="20"/>
      <c r="F192" s="154"/>
    </row>
    <row r="193" spans="2:6" ht="15.75" customHeight="1">
      <c r="B193" s="12"/>
      <c r="D193" s="159"/>
      <c r="E193" s="20"/>
      <c r="F193" s="154"/>
    </row>
    <row r="194" spans="2:6" ht="15.75" customHeight="1">
      <c r="B194" s="12"/>
      <c r="D194" s="159"/>
      <c r="E194" s="20"/>
      <c r="F194" s="154"/>
    </row>
    <row r="195" spans="2:6" ht="15.75" customHeight="1">
      <c r="B195" s="12"/>
      <c r="D195" s="159"/>
      <c r="E195" s="20"/>
      <c r="F195" s="154"/>
    </row>
    <row r="196" spans="2:6" ht="15.75" customHeight="1">
      <c r="B196" s="12"/>
      <c r="D196" s="159"/>
      <c r="E196" s="20"/>
      <c r="F196" s="154"/>
    </row>
    <row r="197" spans="2:6" ht="15.75" customHeight="1">
      <c r="B197" s="12"/>
      <c r="D197" s="159"/>
      <c r="E197" s="20"/>
      <c r="F197" s="154"/>
    </row>
    <row r="198" spans="2:6" ht="15.75" customHeight="1">
      <c r="B198" s="12"/>
      <c r="D198" s="159"/>
      <c r="E198" s="20"/>
      <c r="F198" s="154"/>
    </row>
    <row r="199" spans="2:6" ht="15.75" customHeight="1">
      <c r="B199" s="12"/>
      <c r="D199" s="159"/>
      <c r="E199" s="20"/>
      <c r="F199" s="154"/>
    </row>
    <row r="200" spans="2:6" ht="15.75" customHeight="1">
      <c r="B200" s="12"/>
      <c r="D200" s="159"/>
      <c r="E200" s="20"/>
      <c r="F200" s="154"/>
    </row>
    <row r="201" spans="2:6" ht="15.75" customHeight="1">
      <c r="B201" s="12"/>
      <c r="D201" s="159"/>
      <c r="E201" s="20"/>
      <c r="F201" s="154"/>
    </row>
    <row r="202" spans="2:6" ht="15.75" customHeight="1">
      <c r="B202" s="12"/>
      <c r="D202" s="159"/>
      <c r="E202" s="20"/>
      <c r="F202" s="154"/>
    </row>
    <row r="203" spans="2:6" ht="15.75" customHeight="1">
      <c r="B203" s="12"/>
      <c r="D203" s="159"/>
      <c r="E203" s="20"/>
      <c r="F203" s="154"/>
    </row>
    <row r="204" spans="2:6" ht="15.75" customHeight="1">
      <c r="B204" s="12"/>
      <c r="D204" s="159"/>
      <c r="E204" s="20"/>
      <c r="F204" s="154"/>
    </row>
    <row r="205" spans="2:6" ht="15.75" customHeight="1">
      <c r="B205" s="12"/>
      <c r="D205" s="159"/>
      <c r="E205" s="20"/>
      <c r="F205" s="154"/>
    </row>
    <row r="206" spans="2:6" ht="15.75" customHeight="1">
      <c r="B206" s="12"/>
      <c r="D206" s="159"/>
      <c r="E206" s="20"/>
      <c r="F206" s="154"/>
    </row>
    <row r="207" spans="2:6" ht="15.75" customHeight="1">
      <c r="B207" s="12"/>
      <c r="D207" s="159"/>
      <c r="E207" s="20"/>
      <c r="F207" s="154"/>
    </row>
    <row r="208" spans="2:6" ht="15.75" customHeight="1">
      <c r="B208" s="12"/>
      <c r="D208" s="159"/>
      <c r="E208" s="20"/>
      <c r="F208" s="154"/>
    </row>
    <row r="209" spans="2:6" ht="15.75" customHeight="1">
      <c r="B209" s="12"/>
      <c r="D209" s="159"/>
      <c r="E209" s="20"/>
      <c r="F209" s="154"/>
    </row>
    <row r="210" spans="2:6" ht="15.75" customHeight="1">
      <c r="B210" s="12"/>
      <c r="D210" s="159"/>
      <c r="E210" s="20"/>
      <c r="F210" s="154"/>
    </row>
    <row r="211" spans="2:6" ht="15.75" customHeight="1">
      <c r="B211" s="12"/>
      <c r="D211" s="159"/>
      <c r="E211" s="20"/>
      <c r="F211" s="154"/>
    </row>
    <row r="212" spans="2:6" ht="15.75" customHeight="1">
      <c r="B212" s="12"/>
      <c r="D212" s="159"/>
      <c r="E212" s="20"/>
      <c r="F212" s="154"/>
    </row>
    <row r="213" spans="2:6" ht="15.75" customHeight="1">
      <c r="B213" s="12"/>
      <c r="D213" s="159"/>
      <c r="E213" s="20"/>
      <c r="F213" s="154"/>
    </row>
    <row r="214" spans="2:6" ht="15.75" customHeight="1">
      <c r="B214" s="12"/>
      <c r="D214" s="159"/>
      <c r="E214" s="20"/>
      <c r="F214" s="154"/>
    </row>
    <row r="215" spans="2:6" ht="15.75" customHeight="1">
      <c r="B215" s="12"/>
      <c r="D215" s="159"/>
      <c r="E215" s="20"/>
      <c r="F215" s="154"/>
    </row>
    <row r="216" spans="2:6" ht="15.75" customHeight="1">
      <c r="B216" s="12"/>
      <c r="D216" s="159"/>
      <c r="E216" s="20"/>
      <c r="F216" s="154"/>
    </row>
    <row r="217" spans="2:6" ht="15.75" customHeight="1">
      <c r="B217" s="12"/>
      <c r="D217" s="159"/>
      <c r="E217" s="20"/>
      <c r="F217" s="154"/>
    </row>
    <row r="218" spans="2:6" ht="15.75" customHeight="1">
      <c r="B218" s="12"/>
      <c r="D218" s="159"/>
      <c r="E218" s="20"/>
      <c r="F218" s="154"/>
    </row>
    <row r="219" spans="2:6" ht="15.75" customHeight="1">
      <c r="B219" s="12"/>
      <c r="D219" s="159"/>
      <c r="E219" s="20"/>
      <c r="F219" s="154"/>
    </row>
    <row r="220" spans="2:6" ht="15.75" customHeight="1">
      <c r="B220" s="12"/>
      <c r="D220" s="159"/>
      <c r="E220" s="20"/>
      <c r="F220" s="154"/>
    </row>
    <row r="221" spans="2:6" ht="15.75" customHeight="1">
      <c r="B221" s="12"/>
      <c r="D221" s="159"/>
      <c r="E221" s="20"/>
      <c r="F221" s="154"/>
    </row>
    <row r="222" spans="2:6" ht="15.75" customHeight="1">
      <c r="B222" s="12"/>
      <c r="D222" s="159"/>
      <c r="E222" s="20"/>
      <c r="F222" s="154"/>
    </row>
    <row r="223" spans="2:6" ht="15.75" customHeight="1">
      <c r="B223" s="12"/>
      <c r="D223" s="159"/>
      <c r="E223" s="20"/>
      <c r="F223" s="154"/>
    </row>
    <row r="224" spans="2:6" ht="15.75" customHeight="1">
      <c r="B224" s="12"/>
      <c r="D224" s="159"/>
      <c r="E224" s="20"/>
      <c r="F224" s="154"/>
    </row>
    <row r="225" spans="2:6" ht="15.75" customHeight="1">
      <c r="B225" s="12"/>
      <c r="D225" s="159"/>
      <c r="E225" s="20"/>
      <c r="F225" s="154"/>
    </row>
    <row r="226" spans="2:6" ht="15.75" customHeight="1">
      <c r="B226" s="12"/>
      <c r="D226" s="159"/>
      <c r="E226" s="20"/>
      <c r="F226" s="154"/>
    </row>
    <row r="227" spans="2:6" ht="15.75" customHeight="1">
      <c r="B227" s="12"/>
      <c r="D227" s="159"/>
      <c r="E227" s="20"/>
      <c r="F227" s="154"/>
    </row>
    <row r="228" spans="2:6" ht="15.75" customHeight="1">
      <c r="B228" s="12"/>
      <c r="D228" s="159"/>
      <c r="E228" s="20"/>
      <c r="F228" s="154"/>
    </row>
    <row r="229" spans="2:6" ht="15.75" customHeight="1">
      <c r="B229" s="12"/>
      <c r="D229" s="159"/>
      <c r="E229" s="20"/>
      <c r="F229" s="154"/>
    </row>
    <row r="230" spans="2:6" ht="15.75" customHeight="1">
      <c r="B230" s="12"/>
      <c r="D230" s="159"/>
      <c r="E230" s="20"/>
      <c r="F230" s="154"/>
    </row>
    <row r="231" spans="2:6" ht="15.75" customHeight="1">
      <c r="B231" s="12"/>
      <c r="D231" s="159"/>
      <c r="E231" s="20"/>
      <c r="F231" s="154"/>
    </row>
    <row r="232" spans="2:6" ht="15.75" customHeight="1">
      <c r="B232" s="12"/>
      <c r="D232" s="159"/>
      <c r="E232" s="20"/>
      <c r="F232" s="154"/>
    </row>
    <row r="233" spans="2:6" ht="15.75" customHeight="1">
      <c r="B233" s="12"/>
      <c r="D233" s="159"/>
      <c r="E233" s="20"/>
      <c r="F233" s="154"/>
    </row>
    <row r="234" spans="2:6" ht="15.75" customHeight="1">
      <c r="B234" s="12"/>
      <c r="D234" s="159"/>
      <c r="E234" s="20"/>
      <c r="F234" s="154"/>
    </row>
    <row r="235" spans="2:6" ht="15.75" customHeight="1">
      <c r="B235" s="12"/>
      <c r="D235" s="159"/>
      <c r="E235" s="20"/>
      <c r="F235" s="154"/>
    </row>
    <row r="236" spans="2:6" ht="15.75" customHeight="1">
      <c r="B236" s="12"/>
      <c r="D236" s="159"/>
      <c r="E236" s="20"/>
      <c r="F236" s="154"/>
    </row>
    <row r="237" spans="2:6" ht="15.75" customHeight="1">
      <c r="B237" s="12"/>
      <c r="D237" s="159"/>
      <c r="E237" s="20"/>
      <c r="F237" s="154"/>
    </row>
    <row r="238" spans="2:6" ht="15.75" customHeight="1">
      <c r="B238" s="12"/>
      <c r="D238" s="159"/>
      <c r="E238" s="20"/>
      <c r="F238" s="154"/>
    </row>
    <row r="239" spans="2:6" ht="15.75" customHeight="1">
      <c r="B239" s="12"/>
      <c r="D239" s="159"/>
      <c r="E239" s="20"/>
      <c r="F239" s="154"/>
    </row>
    <row r="240" spans="2:6" ht="15.75" customHeight="1">
      <c r="B240" s="12"/>
      <c r="D240" s="159"/>
      <c r="E240" s="20"/>
      <c r="F240" s="154"/>
    </row>
    <row r="241" spans="2:6" ht="15.75" customHeight="1">
      <c r="B241" s="12"/>
      <c r="D241" s="159"/>
      <c r="E241" s="20"/>
      <c r="F241" s="154"/>
    </row>
    <row r="242" spans="2:6" ht="15.75" customHeight="1">
      <c r="B242" s="12"/>
      <c r="D242" s="159"/>
      <c r="E242" s="20"/>
      <c r="F242" s="154"/>
    </row>
    <row r="243" spans="2:6" ht="15.75" customHeight="1">
      <c r="B243" s="12"/>
      <c r="D243" s="159"/>
      <c r="E243" s="20"/>
      <c r="F243" s="154"/>
    </row>
    <row r="244" spans="2:6" ht="15.75" customHeight="1">
      <c r="B244" s="12"/>
      <c r="D244" s="159"/>
      <c r="E244" s="20"/>
      <c r="F244" s="154"/>
    </row>
    <row r="245" spans="2:6" ht="15.75" customHeight="1">
      <c r="B245" s="12"/>
      <c r="D245" s="159"/>
      <c r="E245" s="20"/>
      <c r="F245" s="154"/>
    </row>
    <row r="246" spans="2:6" ht="15.75" customHeight="1">
      <c r="B246" s="12"/>
      <c r="D246" s="159"/>
      <c r="E246" s="20"/>
      <c r="F246" s="154"/>
    </row>
    <row r="247" spans="2:6" ht="15.75" customHeight="1">
      <c r="B247" s="12"/>
      <c r="D247" s="159"/>
      <c r="E247" s="20"/>
      <c r="F247" s="154"/>
    </row>
    <row r="248" spans="2:6" ht="15.75" customHeight="1">
      <c r="B248" s="12"/>
      <c r="D248" s="159"/>
      <c r="E248" s="20"/>
      <c r="F248" s="154"/>
    </row>
    <row r="249" spans="2:6" ht="15.75" customHeight="1">
      <c r="B249" s="12"/>
      <c r="D249" s="159"/>
      <c r="E249" s="20"/>
      <c r="F249" s="154"/>
    </row>
    <row r="250" spans="2:6" ht="15.75" customHeight="1">
      <c r="B250" s="12"/>
      <c r="D250" s="159"/>
      <c r="E250" s="20"/>
      <c r="F250" s="154"/>
    </row>
    <row r="251" spans="2:6" ht="15.75" customHeight="1">
      <c r="B251" s="12"/>
      <c r="D251" s="159"/>
      <c r="E251" s="20"/>
      <c r="F251" s="154"/>
    </row>
    <row r="252" spans="2:6" ht="15.75" customHeight="1">
      <c r="B252" s="12"/>
      <c r="D252" s="159"/>
      <c r="E252" s="20"/>
      <c r="F252" s="154"/>
    </row>
    <row r="253" spans="2:6" ht="15.75" customHeight="1">
      <c r="B253" s="12"/>
      <c r="D253" s="159"/>
      <c r="E253" s="20"/>
      <c r="F253" s="154"/>
    </row>
    <row r="254" spans="2:6" ht="15.75" customHeight="1">
      <c r="B254" s="12"/>
      <c r="D254" s="159"/>
      <c r="E254" s="20"/>
      <c r="F254" s="154"/>
    </row>
    <row r="255" spans="2:6" ht="15.75" customHeight="1">
      <c r="B255" s="12"/>
      <c r="D255" s="159"/>
      <c r="E255" s="20"/>
      <c r="F255" s="154"/>
    </row>
    <row r="256" spans="2:6" ht="15.75" customHeight="1">
      <c r="B256" s="12"/>
      <c r="D256" s="159"/>
      <c r="E256" s="20"/>
      <c r="F256" s="154"/>
    </row>
    <row r="257" spans="2:6" ht="15.75" customHeight="1">
      <c r="B257" s="12"/>
      <c r="D257" s="159"/>
      <c r="E257" s="20"/>
      <c r="F257" s="154"/>
    </row>
    <row r="258" spans="2:6" ht="15.75" customHeight="1">
      <c r="B258" s="12"/>
      <c r="D258" s="159"/>
      <c r="E258" s="20"/>
      <c r="F258" s="154"/>
    </row>
    <row r="259" spans="2:6" ht="15.75" customHeight="1">
      <c r="B259" s="12"/>
      <c r="D259" s="159"/>
      <c r="E259" s="20"/>
      <c r="F259" s="154"/>
    </row>
    <row r="260" spans="2:6" ht="15.75" customHeight="1">
      <c r="B260" s="12"/>
      <c r="D260" s="159"/>
      <c r="E260" s="20"/>
      <c r="F260" s="154"/>
    </row>
    <row r="261" spans="2:6" ht="15.75" customHeight="1">
      <c r="B261" s="12"/>
      <c r="D261" s="159"/>
      <c r="E261" s="20"/>
      <c r="F261" s="154"/>
    </row>
    <row r="262" spans="2:6" ht="15.75" customHeight="1">
      <c r="B262" s="12"/>
      <c r="D262" s="159"/>
      <c r="E262" s="20"/>
      <c r="F262" s="154"/>
    </row>
    <row r="263" spans="2:6" ht="15.75" customHeight="1">
      <c r="B263" s="12"/>
      <c r="D263" s="159"/>
      <c r="E263" s="20"/>
      <c r="F263" s="154"/>
    </row>
    <row r="264" spans="2:6" ht="15.75" customHeight="1">
      <c r="B264" s="12"/>
      <c r="D264" s="159"/>
      <c r="E264" s="20"/>
      <c r="F264" s="154"/>
    </row>
    <row r="265" spans="2:6" ht="15.75" customHeight="1">
      <c r="B265" s="12"/>
      <c r="D265" s="159"/>
      <c r="E265" s="20"/>
      <c r="F265" s="154"/>
    </row>
    <row r="266" spans="2:6" ht="15.75" customHeight="1">
      <c r="B266" s="12"/>
      <c r="D266" s="159"/>
      <c r="E266" s="20"/>
      <c r="F266" s="154"/>
    </row>
    <row r="267" spans="2:6" ht="15.75" customHeight="1">
      <c r="B267" s="12"/>
      <c r="D267" s="159"/>
      <c r="E267" s="20"/>
      <c r="F267" s="154"/>
    </row>
    <row r="268" spans="2:6" ht="15.75" customHeight="1">
      <c r="B268" s="12"/>
      <c r="D268" s="159"/>
      <c r="E268" s="20"/>
      <c r="F268" s="154"/>
    </row>
    <row r="269" spans="2:6" ht="15.75" customHeight="1">
      <c r="B269" s="12"/>
      <c r="D269" s="159"/>
      <c r="E269" s="20"/>
      <c r="F269" s="154"/>
    </row>
    <row r="270" spans="2:6" ht="15.75" customHeight="1">
      <c r="B270" s="12"/>
      <c r="D270" s="159"/>
      <c r="E270" s="20"/>
      <c r="F270" s="154"/>
    </row>
    <row r="271" spans="2:6" ht="15.75" customHeight="1">
      <c r="B271" s="12"/>
      <c r="D271" s="159"/>
      <c r="E271" s="20"/>
      <c r="F271" s="154"/>
    </row>
    <row r="272" spans="2:6" ht="15.75" customHeight="1">
      <c r="B272" s="12"/>
      <c r="D272" s="159"/>
      <c r="E272" s="20"/>
      <c r="F272" s="154"/>
    </row>
    <row r="273" spans="2:6" ht="15.75" customHeight="1">
      <c r="B273" s="12"/>
      <c r="D273" s="159"/>
      <c r="E273" s="20"/>
      <c r="F273" s="154"/>
    </row>
    <row r="274" spans="2:6" ht="15.75" customHeight="1">
      <c r="B274" s="12"/>
      <c r="D274" s="159"/>
      <c r="E274" s="20"/>
      <c r="F274" s="154"/>
    </row>
    <row r="275" spans="2:6" ht="15.75" customHeight="1">
      <c r="B275" s="12"/>
      <c r="D275" s="159"/>
      <c r="E275" s="20"/>
      <c r="F275" s="154"/>
    </row>
    <row r="276" spans="2:6" ht="15.75" customHeight="1">
      <c r="B276" s="12"/>
      <c r="D276" s="159"/>
      <c r="E276" s="20"/>
      <c r="F276" s="154"/>
    </row>
    <row r="277" spans="2:6" ht="15.75" customHeight="1">
      <c r="B277" s="12"/>
      <c r="D277" s="159"/>
      <c r="E277" s="20"/>
      <c r="F277" s="154"/>
    </row>
    <row r="278" spans="2:6" ht="15.75" customHeight="1">
      <c r="B278" s="12"/>
      <c r="D278" s="159"/>
      <c r="E278" s="20"/>
      <c r="F278" s="154"/>
    </row>
    <row r="279" spans="2:6" ht="15.75" customHeight="1">
      <c r="B279" s="12"/>
      <c r="D279" s="159"/>
      <c r="E279" s="20"/>
      <c r="F279" s="154"/>
    </row>
    <row r="280" spans="2:6" ht="15.75" customHeight="1">
      <c r="B280" s="12"/>
      <c r="D280" s="159"/>
      <c r="E280" s="20"/>
      <c r="F280" s="154"/>
    </row>
    <row r="281" spans="2:6" ht="15.75" customHeight="1">
      <c r="B281" s="12"/>
      <c r="D281" s="159"/>
      <c r="E281" s="20"/>
      <c r="F281" s="154"/>
    </row>
    <row r="282" spans="2:6" ht="15.75" customHeight="1">
      <c r="B282" s="12"/>
      <c r="D282" s="159"/>
      <c r="E282" s="20"/>
      <c r="F282" s="154"/>
    </row>
    <row r="283" spans="2:6" ht="15.75" customHeight="1">
      <c r="B283" s="12"/>
      <c r="D283" s="159"/>
      <c r="E283" s="20"/>
      <c r="F283" s="154"/>
    </row>
    <row r="284" spans="2:6" ht="15.75" customHeight="1">
      <c r="B284" s="12"/>
      <c r="D284" s="159"/>
      <c r="E284" s="20"/>
      <c r="F284" s="154"/>
    </row>
    <row r="285" spans="2:6" ht="15.75" customHeight="1">
      <c r="B285" s="12"/>
      <c r="D285" s="159"/>
      <c r="E285" s="20"/>
      <c r="F285" s="154"/>
    </row>
    <row r="286" spans="2:6" ht="15.75" customHeight="1">
      <c r="B286" s="12"/>
      <c r="D286" s="159"/>
      <c r="E286" s="20"/>
      <c r="F286" s="154"/>
    </row>
    <row r="287" spans="2:6" ht="15.75" customHeight="1">
      <c r="B287" s="12"/>
      <c r="D287" s="159"/>
      <c r="E287" s="20"/>
      <c r="F287" s="154"/>
    </row>
    <row r="288" spans="2:6" ht="15.75" customHeight="1">
      <c r="B288" s="12"/>
      <c r="D288" s="159"/>
      <c r="E288" s="20"/>
      <c r="F288" s="154"/>
    </row>
    <row r="289" spans="2:6" ht="15.75" customHeight="1">
      <c r="B289" s="12"/>
      <c r="D289" s="159"/>
      <c r="E289" s="20"/>
      <c r="F289" s="154"/>
    </row>
    <row r="290" spans="2:6" ht="15.75" customHeight="1">
      <c r="B290" s="12"/>
      <c r="D290" s="159"/>
      <c r="E290" s="20"/>
      <c r="F290" s="154"/>
    </row>
    <row r="291" spans="2:6" ht="15.75" customHeight="1">
      <c r="B291" s="12"/>
      <c r="D291" s="159"/>
      <c r="E291" s="20"/>
      <c r="F291" s="154"/>
    </row>
    <row r="292" spans="2:6" ht="15.75" customHeight="1">
      <c r="B292" s="12"/>
      <c r="D292" s="159"/>
      <c r="E292" s="20"/>
      <c r="F292" s="154"/>
    </row>
    <row r="293" spans="2:6" ht="15.75" customHeight="1">
      <c r="B293" s="12"/>
      <c r="D293" s="159"/>
      <c r="E293" s="20"/>
      <c r="F293" s="154"/>
    </row>
    <row r="294" spans="2:6" ht="15.75" customHeight="1">
      <c r="B294" s="12"/>
      <c r="D294" s="159"/>
      <c r="E294" s="20"/>
      <c r="F294" s="154"/>
    </row>
    <row r="295" spans="2:6" ht="15.75" customHeight="1">
      <c r="B295" s="12"/>
      <c r="D295" s="159"/>
      <c r="E295" s="20"/>
      <c r="F295" s="154"/>
    </row>
    <row r="296" spans="2:6" ht="15.75" customHeight="1">
      <c r="B296" s="12"/>
      <c r="D296" s="159"/>
      <c r="E296" s="20"/>
      <c r="F296" s="154"/>
    </row>
    <row r="297" spans="2:6" ht="15.75" customHeight="1">
      <c r="B297" s="12"/>
      <c r="D297" s="159"/>
      <c r="E297" s="20"/>
      <c r="F297" s="154"/>
    </row>
    <row r="298" spans="2:6" ht="15.75" customHeight="1">
      <c r="B298" s="12"/>
      <c r="D298" s="159"/>
      <c r="E298" s="20"/>
      <c r="F298" s="154"/>
    </row>
    <row r="299" spans="2:6" ht="15.75" customHeight="1">
      <c r="B299" s="12"/>
      <c r="D299" s="159"/>
      <c r="E299" s="20"/>
      <c r="F299" s="154"/>
    </row>
    <row r="300" spans="2:6" ht="15.75" customHeight="1">
      <c r="B300" s="12"/>
      <c r="D300" s="159"/>
      <c r="E300" s="20"/>
      <c r="F300" s="154"/>
    </row>
    <row r="301" spans="2:6" ht="15.75" customHeight="1">
      <c r="B301" s="12"/>
      <c r="D301" s="159"/>
      <c r="E301" s="20"/>
      <c r="F301" s="154"/>
    </row>
    <row r="302" spans="2:6" ht="15.75" customHeight="1">
      <c r="B302" s="12"/>
      <c r="D302" s="159"/>
      <c r="E302" s="20"/>
      <c r="F302" s="154"/>
    </row>
    <row r="303" spans="2:6" ht="15.75" customHeight="1">
      <c r="B303" s="12"/>
      <c r="D303" s="159"/>
      <c r="E303" s="20"/>
      <c r="F303" s="154"/>
    </row>
    <row r="304" spans="2:6" ht="15.75" customHeight="1">
      <c r="B304" s="12"/>
      <c r="D304" s="159"/>
      <c r="E304" s="20"/>
      <c r="F304" s="154"/>
    </row>
    <row r="305" spans="2:6" ht="15.75" customHeight="1">
      <c r="B305" s="12"/>
      <c r="D305" s="159"/>
      <c r="E305" s="20"/>
      <c r="F305" s="154"/>
    </row>
    <row r="306" spans="2:6" ht="15.75" customHeight="1">
      <c r="B306" s="12"/>
      <c r="D306" s="159"/>
      <c r="E306" s="20"/>
      <c r="F306" s="154"/>
    </row>
    <row r="307" spans="2:6" ht="15.75" customHeight="1">
      <c r="B307" s="12"/>
      <c r="D307" s="159"/>
      <c r="E307" s="20"/>
      <c r="F307" s="154"/>
    </row>
    <row r="308" spans="2:6" ht="15.75" customHeight="1">
      <c r="B308" s="12"/>
      <c r="D308" s="159"/>
      <c r="E308" s="20"/>
      <c r="F308" s="154"/>
    </row>
    <row r="309" spans="2:6" ht="15.75" customHeight="1">
      <c r="B309" s="12"/>
      <c r="D309" s="159"/>
      <c r="E309" s="20"/>
      <c r="F309" s="154"/>
    </row>
    <row r="310" spans="2:6" ht="15.75" customHeight="1">
      <c r="B310" s="12"/>
      <c r="D310" s="159"/>
      <c r="E310" s="20"/>
      <c r="F310" s="154"/>
    </row>
    <row r="311" spans="2:6" ht="15.75" customHeight="1">
      <c r="B311" s="12"/>
      <c r="D311" s="159"/>
      <c r="E311" s="20"/>
      <c r="F311" s="154"/>
    </row>
    <row r="312" spans="2:6" ht="15.75" customHeight="1">
      <c r="B312" s="12"/>
      <c r="D312" s="159"/>
      <c r="E312" s="20"/>
      <c r="F312" s="154"/>
    </row>
    <row r="313" spans="2:6" ht="15.75" customHeight="1">
      <c r="B313" s="12"/>
      <c r="D313" s="159"/>
      <c r="E313" s="20"/>
      <c r="F313" s="154"/>
    </row>
    <row r="314" spans="2:6" ht="15.75" customHeight="1">
      <c r="B314" s="12"/>
      <c r="D314" s="159"/>
      <c r="E314" s="20"/>
      <c r="F314" s="154"/>
    </row>
    <row r="315" spans="2:6" ht="15.75" customHeight="1">
      <c r="B315" s="12"/>
      <c r="D315" s="159"/>
      <c r="E315" s="20"/>
      <c r="F315" s="154"/>
    </row>
    <row r="316" spans="2:6" ht="15.75" customHeight="1">
      <c r="B316" s="12"/>
      <c r="D316" s="159"/>
      <c r="E316" s="20"/>
      <c r="F316" s="154"/>
    </row>
    <row r="317" spans="2:6" ht="15.75" customHeight="1">
      <c r="B317" s="12"/>
      <c r="D317" s="159"/>
      <c r="E317" s="20"/>
      <c r="F317" s="154"/>
    </row>
    <row r="318" spans="2:6" ht="15.75" customHeight="1">
      <c r="B318" s="12"/>
      <c r="D318" s="159"/>
      <c r="E318" s="20"/>
      <c r="F318" s="154"/>
    </row>
    <row r="319" spans="2:6" ht="15.75" customHeight="1">
      <c r="B319" s="12"/>
      <c r="D319" s="159"/>
      <c r="E319" s="20"/>
      <c r="F319" s="154"/>
    </row>
    <row r="320" spans="2:6" ht="15.75" customHeight="1">
      <c r="B320" s="12"/>
      <c r="D320" s="159"/>
      <c r="E320" s="20"/>
      <c r="F320" s="154"/>
    </row>
    <row r="321" spans="2:6" ht="15.75" customHeight="1">
      <c r="B321" s="12"/>
      <c r="D321" s="159"/>
      <c r="E321" s="20"/>
      <c r="F321" s="154"/>
    </row>
    <row r="322" spans="2:6" ht="15.75" customHeight="1">
      <c r="B322" s="12"/>
      <c r="D322" s="159"/>
      <c r="E322" s="20"/>
      <c r="F322" s="154"/>
    </row>
    <row r="323" spans="2:6" ht="15.75" customHeight="1">
      <c r="B323" s="12"/>
      <c r="D323" s="159"/>
      <c r="E323" s="20"/>
      <c r="F323" s="154"/>
    </row>
    <row r="324" spans="2:6" ht="15.75" customHeight="1">
      <c r="B324" s="12"/>
      <c r="D324" s="159"/>
      <c r="E324" s="20"/>
      <c r="F324" s="154"/>
    </row>
    <row r="325" spans="2:6" ht="15.75" customHeight="1">
      <c r="B325" s="12"/>
      <c r="D325" s="159"/>
      <c r="E325" s="20"/>
      <c r="F325" s="154"/>
    </row>
    <row r="326" spans="2:6" ht="15.75" customHeight="1">
      <c r="B326" s="12"/>
      <c r="D326" s="159"/>
      <c r="E326" s="20"/>
      <c r="F326" s="154"/>
    </row>
    <row r="327" spans="2:6" ht="15.75" customHeight="1">
      <c r="B327" s="12"/>
      <c r="D327" s="159"/>
      <c r="E327" s="20"/>
      <c r="F327" s="154"/>
    </row>
    <row r="328" spans="2:6" ht="15.75" customHeight="1">
      <c r="B328" s="12"/>
      <c r="D328" s="159"/>
      <c r="E328" s="20"/>
      <c r="F328" s="154"/>
    </row>
    <row r="329" spans="2:6" ht="15.75" customHeight="1">
      <c r="B329" s="12"/>
      <c r="D329" s="159"/>
      <c r="E329" s="20"/>
      <c r="F329" s="154"/>
    </row>
    <row r="330" spans="2:6" ht="15.75" customHeight="1">
      <c r="B330" s="12"/>
      <c r="D330" s="159"/>
      <c r="E330" s="20"/>
      <c r="F330" s="154"/>
    </row>
    <row r="331" spans="2:6" ht="15.75" customHeight="1">
      <c r="B331" s="12"/>
      <c r="D331" s="159"/>
      <c r="E331" s="20"/>
      <c r="F331" s="154"/>
    </row>
    <row r="332" spans="2:6" ht="15.75" customHeight="1">
      <c r="B332" s="12"/>
      <c r="D332" s="159"/>
      <c r="E332" s="20"/>
      <c r="F332" s="154"/>
    </row>
    <row r="333" spans="2:6" ht="15.75" customHeight="1">
      <c r="B333" s="12"/>
      <c r="D333" s="159"/>
      <c r="E333" s="20"/>
      <c r="F333" s="154"/>
    </row>
    <row r="334" spans="2:6" ht="15.75" customHeight="1">
      <c r="B334" s="12"/>
      <c r="D334" s="159"/>
      <c r="E334" s="20"/>
      <c r="F334" s="154"/>
    </row>
    <row r="335" spans="2:6" ht="15.75" customHeight="1">
      <c r="B335" s="12"/>
      <c r="D335" s="159"/>
      <c r="E335" s="20"/>
      <c r="F335" s="154"/>
    </row>
    <row r="336" spans="2:6" ht="15.75" customHeight="1">
      <c r="B336" s="12"/>
      <c r="D336" s="159"/>
      <c r="E336" s="20"/>
      <c r="F336" s="154"/>
    </row>
    <row r="337" spans="2:6" ht="15.75" customHeight="1">
      <c r="B337" s="12"/>
      <c r="D337" s="159"/>
      <c r="E337" s="20"/>
      <c r="F337" s="154"/>
    </row>
    <row r="338" spans="2:6" ht="15.75" customHeight="1">
      <c r="B338" s="12"/>
      <c r="D338" s="159"/>
      <c r="E338" s="20"/>
      <c r="F338" s="154"/>
    </row>
    <row r="339" spans="2:6" ht="15.75" customHeight="1">
      <c r="B339" s="12"/>
      <c r="D339" s="159"/>
      <c r="E339" s="20"/>
      <c r="F339" s="154"/>
    </row>
    <row r="340" spans="2:6" ht="15.75" customHeight="1">
      <c r="B340" s="12"/>
      <c r="D340" s="159"/>
      <c r="E340" s="20"/>
      <c r="F340" s="154"/>
    </row>
    <row r="341" spans="2:6" ht="15.75" customHeight="1">
      <c r="B341" s="12"/>
      <c r="D341" s="159"/>
      <c r="E341" s="20"/>
      <c r="F341" s="154"/>
    </row>
    <row r="342" spans="2:6" ht="15.75" customHeight="1">
      <c r="B342" s="12"/>
      <c r="D342" s="159"/>
      <c r="E342" s="20"/>
      <c r="F342" s="154"/>
    </row>
    <row r="343" spans="2:6" ht="15.75" customHeight="1">
      <c r="B343" s="12"/>
      <c r="D343" s="159"/>
      <c r="E343" s="20"/>
      <c r="F343" s="154"/>
    </row>
    <row r="344" spans="2:6" ht="15.75" customHeight="1">
      <c r="B344" s="12"/>
      <c r="D344" s="159"/>
      <c r="E344" s="20"/>
      <c r="F344" s="154"/>
    </row>
    <row r="345" spans="2:6" ht="15.75" customHeight="1">
      <c r="B345" s="12"/>
      <c r="D345" s="159"/>
      <c r="E345" s="20"/>
      <c r="F345" s="154"/>
    </row>
    <row r="346" spans="2:6" ht="15.75" customHeight="1">
      <c r="B346" s="12"/>
      <c r="D346" s="159"/>
      <c r="E346" s="20"/>
      <c r="F346" s="154"/>
    </row>
    <row r="347" spans="2:6" ht="15.75" customHeight="1">
      <c r="B347" s="12"/>
      <c r="D347" s="159"/>
      <c r="E347" s="20"/>
      <c r="F347" s="154"/>
    </row>
    <row r="348" spans="2:6" ht="15.75" customHeight="1">
      <c r="B348" s="12"/>
      <c r="D348" s="159"/>
      <c r="E348" s="20"/>
      <c r="F348" s="154"/>
    </row>
    <row r="349" spans="2:6" ht="15.75" customHeight="1">
      <c r="B349" s="12"/>
      <c r="D349" s="159"/>
      <c r="E349" s="20"/>
      <c r="F349" s="154"/>
    </row>
    <row r="350" spans="2:6" ht="15.75" customHeight="1">
      <c r="B350" s="12"/>
      <c r="D350" s="159"/>
      <c r="E350" s="20"/>
      <c r="F350" s="154"/>
    </row>
    <row r="351" spans="2:6" ht="15.75" customHeight="1">
      <c r="B351" s="12"/>
      <c r="D351" s="159"/>
      <c r="E351" s="20"/>
      <c r="F351" s="154"/>
    </row>
    <row r="352" spans="2:6" ht="15.75" customHeight="1">
      <c r="B352" s="12"/>
      <c r="D352" s="159"/>
      <c r="E352" s="20"/>
      <c r="F352" s="154"/>
    </row>
    <row r="353" spans="2:6" ht="15.75" customHeight="1">
      <c r="B353" s="12"/>
      <c r="D353" s="159"/>
      <c r="E353" s="20"/>
      <c r="F353" s="154"/>
    </row>
    <row r="354" spans="2:6" ht="15.75" customHeight="1">
      <c r="B354" s="12"/>
      <c r="D354" s="159"/>
      <c r="E354" s="20"/>
      <c r="F354" s="154"/>
    </row>
    <row r="355" spans="2:6" ht="15.75" customHeight="1">
      <c r="B355" s="12"/>
      <c r="D355" s="159"/>
      <c r="E355" s="20"/>
      <c r="F355" s="154"/>
    </row>
    <row r="356" spans="2:6" ht="15.75" customHeight="1">
      <c r="B356" s="12"/>
      <c r="D356" s="159"/>
      <c r="E356" s="20"/>
      <c r="F356" s="154"/>
    </row>
    <row r="357" spans="2:6" ht="15.75" customHeight="1">
      <c r="B357" s="12"/>
      <c r="D357" s="159"/>
      <c r="E357" s="20"/>
      <c r="F357" s="154"/>
    </row>
    <row r="358" spans="2:6" ht="15.75" customHeight="1">
      <c r="B358" s="12"/>
      <c r="D358" s="159"/>
      <c r="E358" s="20"/>
      <c r="F358" s="154"/>
    </row>
    <row r="359" spans="2:6" ht="15.75" customHeight="1">
      <c r="B359" s="12"/>
      <c r="D359" s="159"/>
      <c r="E359" s="20"/>
      <c r="F359" s="154"/>
    </row>
    <row r="360" spans="2:6" ht="15.75" customHeight="1">
      <c r="B360" s="12"/>
      <c r="D360" s="159"/>
      <c r="E360" s="20"/>
      <c r="F360" s="154"/>
    </row>
    <row r="361" spans="2:6" ht="15.75" customHeight="1">
      <c r="B361" s="12"/>
      <c r="D361" s="159"/>
      <c r="E361" s="20"/>
      <c r="F361" s="154"/>
    </row>
    <row r="362" spans="2:6" ht="15.75" customHeight="1">
      <c r="B362" s="12"/>
      <c r="D362" s="159"/>
      <c r="E362" s="20"/>
      <c r="F362" s="154"/>
    </row>
    <row r="363" spans="2:6" ht="15.75" customHeight="1">
      <c r="B363" s="12"/>
      <c r="D363" s="159"/>
      <c r="E363" s="20"/>
      <c r="F363" s="154"/>
    </row>
    <row r="364" spans="2:6" ht="15.75" customHeight="1">
      <c r="B364" s="12"/>
      <c r="D364" s="159"/>
      <c r="E364" s="20"/>
      <c r="F364" s="154"/>
    </row>
    <row r="365" spans="2:6" ht="15.75" customHeight="1">
      <c r="B365" s="12"/>
      <c r="D365" s="159"/>
      <c r="E365" s="20"/>
      <c r="F365" s="154"/>
    </row>
    <row r="366" spans="2:6" ht="15.75" customHeight="1">
      <c r="B366" s="12"/>
      <c r="D366" s="159"/>
      <c r="E366" s="20"/>
      <c r="F366" s="154"/>
    </row>
    <row r="367" spans="2:6" ht="15.75" customHeight="1">
      <c r="B367" s="12"/>
      <c r="D367" s="159"/>
      <c r="E367" s="20"/>
      <c r="F367" s="154"/>
    </row>
    <row r="368" spans="2:6" ht="15.75" customHeight="1">
      <c r="B368" s="12"/>
      <c r="D368" s="159"/>
      <c r="E368" s="20"/>
      <c r="F368" s="154"/>
    </row>
    <row r="369" spans="2:6" ht="15.75" customHeight="1">
      <c r="B369" s="12"/>
      <c r="D369" s="159"/>
      <c r="E369" s="20"/>
      <c r="F369" s="154"/>
    </row>
    <row r="370" spans="2:6" ht="15.75" customHeight="1">
      <c r="B370" s="12"/>
      <c r="D370" s="159"/>
      <c r="E370" s="20"/>
      <c r="F370" s="154"/>
    </row>
    <row r="371" spans="2:6" ht="15.75" customHeight="1">
      <c r="B371" s="12"/>
      <c r="D371" s="159"/>
      <c r="E371" s="20"/>
      <c r="F371" s="154"/>
    </row>
    <row r="372" spans="2:6" ht="15.75" customHeight="1">
      <c r="B372" s="12"/>
      <c r="D372" s="159"/>
      <c r="E372" s="20"/>
      <c r="F372" s="154"/>
    </row>
    <row r="373" spans="2:6" ht="15.75" customHeight="1">
      <c r="B373" s="12"/>
      <c r="D373" s="159"/>
      <c r="E373" s="20"/>
      <c r="F373" s="154"/>
    </row>
    <row r="374" spans="2:6" ht="15.75" customHeight="1">
      <c r="B374" s="12"/>
      <c r="D374" s="159"/>
      <c r="E374" s="20"/>
      <c r="F374" s="154"/>
    </row>
    <row r="375" spans="2:6" ht="15.75" customHeight="1">
      <c r="B375" s="12"/>
      <c r="D375" s="159"/>
      <c r="E375" s="20"/>
      <c r="F375" s="154"/>
    </row>
    <row r="376" spans="2:6" ht="15.75" customHeight="1">
      <c r="B376" s="12"/>
      <c r="D376" s="159"/>
      <c r="E376" s="20"/>
      <c r="F376" s="154"/>
    </row>
    <row r="377" spans="2:6" ht="15.75" customHeight="1">
      <c r="B377" s="12"/>
      <c r="D377" s="159"/>
      <c r="E377" s="20"/>
      <c r="F377" s="154"/>
    </row>
    <row r="378" spans="2:6" ht="15.75" customHeight="1">
      <c r="B378" s="12"/>
      <c r="D378" s="159"/>
      <c r="E378" s="20"/>
      <c r="F378" s="154"/>
    </row>
    <row r="379" spans="2:6" ht="15.75" customHeight="1">
      <c r="B379" s="12"/>
      <c r="D379" s="159"/>
      <c r="E379" s="20"/>
      <c r="F379" s="154"/>
    </row>
    <row r="380" spans="2:6" ht="15.75" customHeight="1">
      <c r="B380" s="12"/>
      <c r="D380" s="159"/>
      <c r="E380" s="20"/>
      <c r="F380" s="154"/>
    </row>
    <row r="381" spans="2:6" ht="15.75" customHeight="1">
      <c r="B381" s="12"/>
      <c r="D381" s="159"/>
      <c r="E381" s="20"/>
      <c r="F381" s="154"/>
    </row>
    <row r="382" spans="2:6" ht="15.75" customHeight="1">
      <c r="B382" s="12"/>
      <c r="D382" s="159"/>
      <c r="E382" s="20"/>
      <c r="F382" s="154"/>
    </row>
    <row r="383" spans="2:6" ht="15.75" customHeight="1">
      <c r="B383" s="12"/>
      <c r="D383" s="159"/>
      <c r="E383" s="20"/>
      <c r="F383" s="154"/>
    </row>
    <row r="384" spans="2:6" ht="15.75" customHeight="1">
      <c r="B384" s="12"/>
      <c r="D384" s="159"/>
      <c r="E384" s="20"/>
      <c r="F384" s="154"/>
    </row>
    <row r="385" spans="2:6" ht="15.75" customHeight="1">
      <c r="B385" s="12"/>
      <c r="D385" s="159"/>
      <c r="E385" s="20"/>
      <c r="F385" s="154"/>
    </row>
    <row r="386" spans="2:6" ht="15.75" customHeight="1">
      <c r="B386" s="12"/>
      <c r="D386" s="159"/>
      <c r="E386" s="20"/>
      <c r="F386" s="154"/>
    </row>
    <row r="387" spans="2:6" ht="15.75" customHeight="1">
      <c r="B387" s="12"/>
      <c r="D387" s="159"/>
      <c r="E387" s="20"/>
      <c r="F387" s="154"/>
    </row>
    <row r="388" spans="2:6" ht="15.75" customHeight="1">
      <c r="B388" s="12"/>
      <c r="D388" s="159"/>
      <c r="E388" s="20"/>
      <c r="F388" s="154"/>
    </row>
    <row r="389" spans="2:6" ht="15.75" customHeight="1">
      <c r="B389" s="12"/>
      <c r="D389" s="159"/>
      <c r="E389" s="20"/>
      <c r="F389" s="154"/>
    </row>
    <row r="390" spans="2:6" ht="15.75" customHeight="1">
      <c r="B390" s="12"/>
      <c r="D390" s="159"/>
      <c r="E390" s="20"/>
      <c r="F390" s="154"/>
    </row>
    <row r="391" spans="2:6" ht="15.75" customHeight="1">
      <c r="B391" s="12"/>
      <c r="D391" s="159"/>
      <c r="E391" s="20"/>
      <c r="F391" s="154"/>
    </row>
    <row r="392" spans="2:6" ht="15.75" customHeight="1">
      <c r="B392" s="12"/>
      <c r="D392" s="159"/>
      <c r="E392" s="20"/>
      <c r="F392" s="154"/>
    </row>
    <row r="393" spans="2:6" ht="15.75" customHeight="1">
      <c r="B393" s="12"/>
      <c r="D393" s="159"/>
      <c r="E393" s="20"/>
      <c r="F393" s="154"/>
    </row>
    <row r="394" spans="2:6" ht="15.75" customHeight="1">
      <c r="B394" s="12"/>
      <c r="D394" s="159"/>
      <c r="E394" s="20"/>
      <c r="F394" s="154"/>
    </row>
    <row r="395" spans="2:6" ht="15.75" customHeight="1">
      <c r="B395" s="12"/>
      <c r="D395" s="159"/>
      <c r="E395" s="20"/>
      <c r="F395" s="154"/>
    </row>
    <row r="396" spans="2:6" ht="15.75" customHeight="1">
      <c r="B396" s="12"/>
      <c r="D396" s="159"/>
      <c r="E396" s="20"/>
      <c r="F396" s="154"/>
    </row>
    <row r="397" spans="2:6" ht="15.75" customHeight="1">
      <c r="B397" s="12"/>
      <c r="D397" s="159"/>
      <c r="E397" s="20"/>
      <c r="F397" s="154"/>
    </row>
    <row r="398" spans="2:6" ht="15.75" customHeight="1">
      <c r="B398" s="12"/>
      <c r="D398" s="159"/>
      <c r="E398" s="20"/>
      <c r="F398" s="154"/>
    </row>
    <row r="399" spans="2:6" ht="15.75" customHeight="1">
      <c r="B399" s="12"/>
      <c r="D399" s="159"/>
      <c r="E399" s="20"/>
      <c r="F399" s="154"/>
    </row>
    <row r="400" spans="2:6" ht="15.75" customHeight="1">
      <c r="B400" s="12"/>
      <c r="D400" s="159"/>
      <c r="E400" s="20"/>
      <c r="F400" s="154"/>
    </row>
    <row r="401" spans="2:6" ht="15.75" customHeight="1">
      <c r="B401" s="12"/>
      <c r="D401" s="159"/>
      <c r="E401" s="20"/>
      <c r="F401" s="154"/>
    </row>
    <row r="402" spans="2:6" ht="15.75" customHeight="1">
      <c r="B402" s="12"/>
      <c r="D402" s="159"/>
      <c r="E402" s="20"/>
      <c r="F402" s="154"/>
    </row>
    <row r="403" spans="2:6" ht="15.75" customHeight="1">
      <c r="B403" s="12"/>
      <c r="D403" s="159"/>
      <c r="E403" s="20"/>
      <c r="F403" s="154"/>
    </row>
    <row r="404" spans="2:6" ht="15.75" customHeight="1">
      <c r="B404" s="12"/>
      <c r="D404" s="159"/>
      <c r="E404" s="20"/>
      <c r="F404" s="154"/>
    </row>
    <row r="405" spans="2:6" ht="15.75" customHeight="1">
      <c r="B405" s="12"/>
      <c r="D405" s="159"/>
      <c r="E405" s="20"/>
      <c r="F405" s="154"/>
    </row>
    <row r="406" spans="2:6" ht="15.75" customHeight="1">
      <c r="B406" s="12"/>
      <c r="D406" s="159"/>
      <c r="E406" s="20"/>
      <c r="F406" s="154"/>
    </row>
    <row r="407" spans="2:6" ht="15.75" customHeight="1">
      <c r="B407" s="12"/>
      <c r="D407" s="159"/>
      <c r="E407" s="20"/>
      <c r="F407" s="154"/>
    </row>
    <row r="408" spans="2:6" ht="15.75" customHeight="1">
      <c r="B408" s="12"/>
      <c r="D408" s="159"/>
      <c r="E408" s="20"/>
      <c r="F408" s="154"/>
    </row>
    <row r="409" spans="2:6" ht="15.75" customHeight="1">
      <c r="B409" s="12"/>
      <c r="D409" s="159"/>
      <c r="E409" s="20"/>
      <c r="F409" s="154"/>
    </row>
    <row r="410" spans="2:6" ht="15.75" customHeight="1">
      <c r="B410" s="12"/>
      <c r="D410" s="159"/>
      <c r="E410" s="20"/>
      <c r="F410" s="154"/>
    </row>
    <row r="411" spans="2:6" ht="15.75" customHeight="1">
      <c r="B411" s="12"/>
      <c r="D411" s="159"/>
      <c r="E411" s="20"/>
      <c r="F411" s="154"/>
    </row>
    <row r="412" spans="2:6" ht="15.75" customHeight="1">
      <c r="B412" s="12"/>
      <c r="D412" s="159"/>
      <c r="E412" s="20"/>
      <c r="F412" s="154"/>
    </row>
    <row r="413" spans="2:6" ht="15.75" customHeight="1">
      <c r="B413" s="12"/>
      <c r="D413" s="159"/>
      <c r="E413" s="20"/>
      <c r="F413" s="154"/>
    </row>
    <row r="414" spans="2:6" ht="15.75" customHeight="1">
      <c r="B414" s="12"/>
      <c r="D414" s="159"/>
      <c r="E414" s="20"/>
      <c r="F414" s="154"/>
    </row>
    <row r="415" spans="2:6" ht="15.75" customHeight="1">
      <c r="B415" s="12"/>
      <c r="D415" s="159"/>
      <c r="E415" s="20"/>
      <c r="F415" s="154"/>
    </row>
    <row r="416" spans="2:6" ht="15.75" customHeight="1">
      <c r="B416" s="12"/>
      <c r="D416" s="159"/>
      <c r="E416" s="20"/>
      <c r="F416" s="154"/>
    </row>
    <row r="417" spans="2:6" ht="15.75" customHeight="1">
      <c r="B417" s="12"/>
      <c r="D417" s="159"/>
      <c r="E417" s="20"/>
      <c r="F417" s="154"/>
    </row>
    <row r="418" spans="2:6" ht="15.75" customHeight="1">
      <c r="B418" s="12"/>
      <c r="D418" s="159"/>
      <c r="E418" s="20"/>
      <c r="F418" s="154"/>
    </row>
    <row r="419" spans="2:6" ht="15.75" customHeight="1">
      <c r="B419" s="12"/>
      <c r="D419" s="159"/>
      <c r="E419" s="20"/>
      <c r="F419" s="154"/>
    </row>
    <row r="420" spans="2:6" ht="15.75" customHeight="1">
      <c r="B420" s="12"/>
      <c r="D420" s="159"/>
      <c r="E420" s="20"/>
      <c r="F420" s="154"/>
    </row>
    <row r="421" spans="2:6" ht="15.75" customHeight="1">
      <c r="B421" s="12"/>
      <c r="D421" s="159"/>
      <c r="E421" s="20"/>
      <c r="F421" s="154"/>
    </row>
    <row r="422" spans="2:6" ht="15.75" customHeight="1">
      <c r="B422" s="12"/>
      <c r="D422" s="159"/>
      <c r="E422" s="20"/>
      <c r="F422" s="154"/>
    </row>
    <row r="423" spans="2:6" ht="15.75" customHeight="1">
      <c r="B423" s="12"/>
      <c r="D423" s="159"/>
      <c r="E423" s="20"/>
      <c r="F423" s="154"/>
    </row>
    <row r="424" spans="2:6" ht="15.75" customHeight="1">
      <c r="B424" s="12"/>
      <c r="D424" s="159"/>
      <c r="E424" s="20"/>
      <c r="F424" s="154"/>
    </row>
    <row r="425" spans="2:6" ht="15.75" customHeight="1">
      <c r="B425" s="12"/>
      <c r="D425" s="159"/>
      <c r="E425" s="20"/>
      <c r="F425" s="154"/>
    </row>
    <row r="426" spans="2:6" ht="15.75" customHeight="1">
      <c r="B426" s="12"/>
      <c r="D426" s="159"/>
      <c r="E426" s="20"/>
      <c r="F426" s="154"/>
    </row>
    <row r="427" spans="2:6" ht="15.75" customHeight="1">
      <c r="B427" s="12"/>
      <c r="D427" s="159"/>
      <c r="E427" s="20"/>
      <c r="F427" s="154"/>
    </row>
    <row r="428" spans="2:6" ht="15.75" customHeight="1">
      <c r="B428" s="12"/>
      <c r="D428" s="159"/>
      <c r="E428" s="20"/>
      <c r="F428" s="154"/>
    </row>
    <row r="429" spans="2:6" ht="15.75" customHeight="1">
      <c r="B429" s="12"/>
      <c r="D429" s="159"/>
      <c r="E429" s="20"/>
      <c r="F429" s="154"/>
    </row>
    <row r="430" spans="2:6" ht="15.75" customHeight="1">
      <c r="B430" s="12"/>
      <c r="D430" s="159"/>
      <c r="E430" s="20"/>
      <c r="F430" s="154"/>
    </row>
    <row r="431" spans="2:6" ht="15.75" customHeight="1">
      <c r="B431" s="12"/>
      <c r="D431" s="159"/>
      <c r="E431" s="20"/>
      <c r="F431" s="154"/>
    </row>
    <row r="432" spans="2:6" ht="15.75" customHeight="1">
      <c r="B432" s="12"/>
      <c r="D432" s="159"/>
      <c r="E432" s="20"/>
      <c r="F432" s="154"/>
    </row>
    <row r="433" spans="2:6" ht="15.75" customHeight="1">
      <c r="B433" s="12"/>
      <c r="D433" s="159"/>
      <c r="E433" s="20"/>
      <c r="F433" s="154"/>
    </row>
    <row r="434" spans="2:6" ht="15.75" customHeight="1">
      <c r="B434" s="12"/>
      <c r="D434" s="159"/>
      <c r="E434" s="20"/>
      <c r="F434" s="154"/>
    </row>
    <row r="435" spans="2:6" ht="15.75" customHeight="1">
      <c r="B435" s="12"/>
      <c r="D435" s="159"/>
      <c r="E435" s="20"/>
      <c r="F435" s="154"/>
    </row>
    <row r="436" spans="2:6" ht="15.75" customHeight="1">
      <c r="B436" s="12"/>
      <c r="D436" s="159"/>
      <c r="E436" s="20"/>
      <c r="F436" s="154"/>
    </row>
    <row r="437" spans="2:6" ht="15.75" customHeight="1">
      <c r="B437" s="12"/>
      <c r="D437" s="159"/>
      <c r="E437" s="20"/>
      <c r="F437" s="154"/>
    </row>
    <row r="438" spans="2:6" ht="15.75" customHeight="1">
      <c r="B438" s="12"/>
      <c r="D438" s="159"/>
      <c r="E438" s="20"/>
      <c r="F438" s="154"/>
    </row>
    <row r="439" spans="2:6" ht="15.75" customHeight="1">
      <c r="B439" s="12"/>
      <c r="D439" s="159"/>
      <c r="E439" s="20"/>
      <c r="F439" s="154"/>
    </row>
    <row r="440" spans="2:6" ht="15.75" customHeight="1">
      <c r="B440" s="12"/>
      <c r="D440" s="159"/>
      <c r="E440" s="20"/>
      <c r="F440" s="154"/>
    </row>
    <row r="441" spans="2:6" ht="15.75" customHeight="1">
      <c r="B441" s="12"/>
      <c r="D441" s="159"/>
      <c r="E441" s="20"/>
      <c r="F441" s="154"/>
    </row>
    <row r="442" spans="2:6" ht="15.75" customHeight="1">
      <c r="B442" s="12"/>
      <c r="D442" s="159"/>
      <c r="E442" s="20"/>
      <c r="F442" s="154"/>
    </row>
    <row r="443" spans="2:6" ht="15.75" customHeight="1">
      <c r="B443" s="12"/>
      <c r="D443" s="159"/>
      <c r="E443" s="20"/>
      <c r="F443" s="154"/>
    </row>
    <row r="444" spans="2:6" ht="15.75" customHeight="1">
      <c r="B444" s="12"/>
      <c r="D444" s="159"/>
      <c r="E444" s="20"/>
      <c r="F444" s="154"/>
    </row>
    <row r="445" spans="2:6" ht="15.75" customHeight="1">
      <c r="B445" s="12"/>
      <c r="D445" s="159"/>
      <c r="E445" s="20"/>
      <c r="F445" s="154"/>
    </row>
    <row r="446" spans="2:6" ht="15.75" customHeight="1">
      <c r="B446" s="12"/>
      <c r="D446" s="159"/>
      <c r="E446" s="20"/>
      <c r="F446" s="154"/>
    </row>
    <row r="447" spans="2:6" ht="15.75" customHeight="1">
      <c r="B447" s="12"/>
      <c r="D447" s="159"/>
      <c r="E447" s="20"/>
      <c r="F447" s="154"/>
    </row>
    <row r="448" spans="2:6" ht="15.75" customHeight="1">
      <c r="B448" s="12"/>
      <c r="D448" s="159"/>
      <c r="E448" s="20"/>
      <c r="F448" s="154"/>
    </row>
    <row r="449" spans="2:6" ht="15.75" customHeight="1">
      <c r="B449" s="12"/>
      <c r="D449" s="159"/>
      <c r="E449" s="20"/>
      <c r="F449" s="154"/>
    </row>
    <row r="450" spans="2:6" ht="15.75" customHeight="1">
      <c r="B450" s="12"/>
      <c r="D450" s="159"/>
      <c r="E450" s="20"/>
      <c r="F450" s="154"/>
    </row>
    <row r="451" spans="2:6" ht="15.75" customHeight="1">
      <c r="B451" s="12"/>
      <c r="D451" s="159"/>
      <c r="E451" s="20"/>
      <c r="F451" s="154"/>
    </row>
    <row r="452" spans="2:6" ht="15.75" customHeight="1">
      <c r="B452" s="12"/>
      <c r="D452" s="159"/>
      <c r="E452" s="20"/>
      <c r="F452" s="154"/>
    </row>
    <row r="453" spans="2:6" ht="15.75" customHeight="1">
      <c r="B453" s="12"/>
      <c r="D453" s="159"/>
      <c r="E453" s="20"/>
      <c r="F453" s="154"/>
    </row>
    <row r="454" spans="2:6" ht="15.75" customHeight="1">
      <c r="B454" s="12"/>
      <c r="D454" s="159"/>
      <c r="E454" s="20"/>
      <c r="F454" s="154"/>
    </row>
    <row r="455" spans="2:6" ht="15.75" customHeight="1">
      <c r="B455" s="12"/>
      <c r="D455" s="159"/>
      <c r="E455" s="20"/>
      <c r="F455" s="154"/>
    </row>
    <row r="456" spans="2:6" ht="15.75" customHeight="1">
      <c r="B456" s="12"/>
      <c r="D456" s="159"/>
      <c r="E456" s="20"/>
      <c r="F456" s="154"/>
    </row>
    <row r="457" spans="2:6" ht="15.75" customHeight="1">
      <c r="B457" s="12"/>
      <c r="D457" s="159"/>
      <c r="E457" s="20"/>
      <c r="F457" s="154"/>
    </row>
    <row r="458" spans="2:6" ht="15.75" customHeight="1">
      <c r="B458" s="12"/>
      <c r="D458" s="159"/>
      <c r="E458" s="20"/>
      <c r="F458" s="154"/>
    </row>
    <row r="459" spans="2:6" ht="15.75" customHeight="1">
      <c r="B459" s="12"/>
      <c r="D459" s="159"/>
      <c r="E459" s="20"/>
      <c r="F459" s="154"/>
    </row>
    <row r="460" spans="2:6" ht="15.75" customHeight="1">
      <c r="B460" s="12"/>
      <c r="D460" s="159"/>
      <c r="E460" s="20"/>
      <c r="F460" s="154"/>
    </row>
    <row r="461" spans="2:6" ht="15.75" customHeight="1">
      <c r="B461" s="12"/>
      <c r="D461" s="159"/>
      <c r="E461" s="20"/>
      <c r="F461" s="154"/>
    </row>
    <row r="462" spans="2:6" ht="15.75" customHeight="1">
      <c r="B462" s="12"/>
      <c r="D462" s="159"/>
      <c r="E462" s="20"/>
      <c r="F462" s="154"/>
    </row>
    <row r="463" spans="2:6" ht="15.75" customHeight="1">
      <c r="B463" s="12"/>
      <c r="D463" s="159"/>
      <c r="E463" s="20"/>
      <c r="F463" s="154"/>
    </row>
    <row r="464" spans="2:6" ht="15.75" customHeight="1">
      <c r="B464" s="12"/>
      <c r="D464" s="159"/>
      <c r="E464" s="20"/>
      <c r="F464" s="154"/>
    </row>
    <row r="465" spans="2:6" ht="15.75" customHeight="1">
      <c r="B465" s="12"/>
      <c r="D465" s="159"/>
      <c r="E465" s="20"/>
      <c r="F465" s="154"/>
    </row>
    <row r="466" spans="2:6" ht="15.75" customHeight="1">
      <c r="B466" s="12"/>
      <c r="D466" s="159"/>
      <c r="E466" s="20"/>
      <c r="F466" s="154"/>
    </row>
    <row r="467" spans="2:6" ht="15.75" customHeight="1">
      <c r="B467" s="12"/>
      <c r="D467" s="159"/>
      <c r="E467" s="20"/>
      <c r="F467" s="154"/>
    </row>
    <row r="468" spans="2:6" ht="15.75" customHeight="1">
      <c r="B468" s="12"/>
      <c r="D468" s="159"/>
      <c r="E468" s="20"/>
      <c r="F468" s="154"/>
    </row>
    <row r="469" spans="2:6" ht="15.75" customHeight="1">
      <c r="B469" s="12"/>
      <c r="D469" s="159"/>
      <c r="E469" s="20"/>
      <c r="F469" s="154"/>
    </row>
    <row r="470" spans="2:6" ht="15.75" customHeight="1">
      <c r="B470" s="12"/>
      <c r="D470" s="159"/>
      <c r="E470" s="20"/>
      <c r="F470" s="154"/>
    </row>
    <row r="471" spans="2:6" ht="15.75" customHeight="1">
      <c r="B471" s="12"/>
      <c r="D471" s="159"/>
      <c r="E471" s="20"/>
      <c r="F471" s="154"/>
    </row>
    <row r="472" spans="2:6" ht="15.75" customHeight="1">
      <c r="B472" s="12"/>
      <c r="D472" s="159"/>
      <c r="E472" s="20"/>
      <c r="F472" s="154"/>
    </row>
    <row r="473" spans="2:6" ht="15.75" customHeight="1">
      <c r="B473" s="12"/>
      <c r="D473" s="159"/>
      <c r="E473" s="20"/>
      <c r="F473" s="154"/>
    </row>
    <row r="474" spans="2:6" ht="15.75" customHeight="1">
      <c r="B474" s="12"/>
      <c r="D474" s="159"/>
      <c r="E474" s="20"/>
      <c r="F474" s="154"/>
    </row>
    <row r="475" spans="2:6" ht="15.75" customHeight="1">
      <c r="B475" s="12"/>
      <c r="D475" s="159"/>
      <c r="E475" s="20"/>
      <c r="F475" s="154"/>
    </row>
    <row r="476" spans="2:6" ht="15.75" customHeight="1">
      <c r="B476" s="12"/>
      <c r="D476" s="159"/>
      <c r="E476" s="20"/>
      <c r="F476" s="154"/>
    </row>
    <row r="477" spans="2:6" ht="15.75" customHeight="1">
      <c r="B477" s="12"/>
      <c r="D477" s="159"/>
      <c r="E477" s="20"/>
      <c r="F477" s="154"/>
    </row>
    <row r="478" spans="2:6" ht="15.75" customHeight="1">
      <c r="B478" s="12"/>
      <c r="D478" s="159"/>
      <c r="E478" s="20"/>
      <c r="F478" s="154"/>
    </row>
    <row r="479" spans="2:6" ht="15.75" customHeight="1">
      <c r="B479" s="12"/>
      <c r="D479" s="159"/>
      <c r="E479" s="20"/>
      <c r="F479" s="154"/>
    </row>
    <row r="480" spans="2:6" ht="15.75" customHeight="1">
      <c r="B480" s="12"/>
      <c r="D480" s="159"/>
      <c r="E480" s="20"/>
      <c r="F480" s="154"/>
    </row>
    <row r="481" spans="2:6" ht="15.75" customHeight="1">
      <c r="B481" s="12"/>
      <c r="D481" s="159"/>
      <c r="E481" s="20"/>
      <c r="F481" s="154"/>
    </row>
    <row r="482" spans="2:6" ht="15.75" customHeight="1">
      <c r="B482" s="12"/>
      <c r="D482" s="159"/>
      <c r="E482" s="20"/>
      <c r="F482" s="154"/>
    </row>
    <row r="483" spans="2:6" ht="15.75" customHeight="1">
      <c r="B483" s="12"/>
      <c r="D483" s="159"/>
      <c r="E483" s="20"/>
      <c r="F483" s="154"/>
    </row>
    <row r="484" spans="2:6" ht="15.75" customHeight="1">
      <c r="B484" s="12"/>
      <c r="D484" s="159"/>
      <c r="E484" s="20"/>
      <c r="F484" s="154"/>
    </row>
    <row r="485" spans="2:6" ht="15.75" customHeight="1">
      <c r="B485" s="12"/>
      <c r="D485" s="159"/>
      <c r="E485" s="20"/>
      <c r="F485" s="154"/>
    </row>
    <row r="486" spans="2:6" ht="15.75" customHeight="1">
      <c r="B486" s="12"/>
      <c r="D486" s="159"/>
      <c r="E486" s="20"/>
      <c r="F486" s="154"/>
    </row>
    <row r="487" spans="2:6" ht="15.75" customHeight="1">
      <c r="B487" s="12"/>
      <c r="D487" s="159"/>
      <c r="E487" s="20"/>
      <c r="F487" s="154"/>
    </row>
    <row r="488" spans="2:6" ht="15.75" customHeight="1">
      <c r="B488" s="12"/>
      <c r="D488" s="159"/>
      <c r="E488" s="20"/>
      <c r="F488" s="154"/>
    </row>
    <row r="489" spans="2:6" ht="15.75" customHeight="1">
      <c r="B489" s="12"/>
      <c r="D489" s="159"/>
      <c r="E489" s="20"/>
      <c r="F489" s="154"/>
    </row>
    <row r="490" spans="2:6" ht="15.75" customHeight="1">
      <c r="B490" s="12"/>
      <c r="D490" s="159"/>
      <c r="E490" s="20"/>
      <c r="F490" s="154"/>
    </row>
    <row r="491" spans="2:6" ht="15.75" customHeight="1">
      <c r="B491" s="12"/>
      <c r="D491" s="159"/>
      <c r="E491" s="20"/>
      <c r="F491" s="154"/>
    </row>
    <row r="492" spans="2:6" ht="15.75" customHeight="1">
      <c r="B492" s="12"/>
      <c r="D492" s="159"/>
      <c r="E492" s="20"/>
      <c r="F492" s="154"/>
    </row>
    <row r="493" spans="2:6" ht="15.75" customHeight="1">
      <c r="B493" s="12"/>
      <c r="D493" s="159"/>
      <c r="E493" s="20"/>
      <c r="F493" s="154"/>
    </row>
    <row r="494" spans="2:6" ht="15.75" customHeight="1">
      <c r="B494" s="12"/>
      <c r="D494" s="159"/>
      <c r="E494" s="20"/>
      <c r="F494" s="154"/>
    </row>
    <row r="495" spans="2:6" ht="15.75" customHeight="1">
      <c r="B495" s="12"/>
      <c r="D495" s="159"/>
      <c r="E495" s="20"/>
      <c r="F495" s="154"/>
    </row>
    <row r="496" spans="2:6" ht="15.75" customHeight="1">
      <c r="B496" s="12"/>
      <c r="D496" s="159"/>
      <c r="E496" s="20"/>
      <c r="F496" s="154"/>
    </row>
    <row r="497" spans="2:6" ht="15.75" customHeight="1">
      <c r="B497" s="12"/>
      <c r="D497" s="159"/>
      <c r="E497" s="20"/>
      <c r="F497" s="154"/>
    </row>
    <row r="498" spans="2:6" ht="15.75" customHeight="1">
      <c r="B498" s="12"/>
      <c r="D498" s="159"/>
      <c r="E498" s="20"/>
      <c r="F498" s="154"/>
    </row>
    <row r="499" spans="2:6" ht="15.75" customHeight="1">
      <c r="B499" s="12"/>
      <c r="D499" s="159"/>
      <c r="E499" s="20"/>
      <c r="F499" s="154"/>
    </row>
    <row r="500" spans="2:6" ht="15.75" customHeight="1">
      <c r="B500" s="12"/>
      <c r="D500" s="159"/>
      <c r="E500" s="20"/>
      <c r="F500" s="154"/>
    </row>
    <row r="501" spans="2:6" ht="15.75" customHeight="1">
      <c r="B501" s="12"/>
      <c r="D501" s="159"/>
      <c r="E501" s="20"/>
      <c r="F501" s="154"/>
    </row>
    <row r="502" spans="2:6" ht="15.75" customHeight="1">
      <c r="B502" s="12"/>
      <c r="D502" s="159"/>
      <c r="E502" s="20"/>
      <c r="F502" s="154"/>
    </row>
    <row r="503" spans="2:6" ht="15.75" customHeight="1">
      <c r="B503" s="12"/>
      <c r="D503" s="159"/>
      <c r="E503" s="20"/>
      <c r="F503" s="154"/>
    </row>
    <row r="504" spans="2:6" ht="15.75" customHeight="1">
      <c r="B504" s="12"/>
      <c r="D504" s="159"/>
      <c r="E504" s="20"/>
      <c r="F504" s="154"/>
    </row>
    <row r="505" spans="2:6" ht="15.75" customHeight="1">
      <c r="B505" s="12"/>
      <c r="D505" s="159"/>
      <c r="E505" s="20"/>
      <c r="F505" s="154"/>
    </row>
    <row r="506" spans="2:6" ht="15.75" customHeight="1">
      <c r="B506" s="12"/>
      <c r="D506" s="159"/>
      <c r="E506" s="20"/>
      <c r="F506" s="154"/>
    </row>
    <row r="507" spans="2:6" ht="15.75" customHeight="1">
      <c r="B507" s="12"/>
      <c r="D507" s="159"/>
      <c r="E507" s="20"/>
      <c r="F507" s="154"/>
    </row>
    <row r="508" spans="2:6" ht="15.75" customHeight="1">
      <c r="B508" s="12"/>
      <c r="D508" s="159"/>
      <c r="E508" s="20"/>
      <c r="F508" s="154"/>
    </row>
    <row r="509" spans="2:6" ht="15.75" customHeight="1">
      <c r="B509" s="12"/>
      <c r="D509" s="159"/>
      <c r="E509" s="20"/>
      <c r="F509" s="154"/>
    </row>
    <row r="510" spans="2:6" ht="15.75" customHeight="1">
      <c r="B510" s="12"/>
      <c r="D510" s="159"/>
      <c r="E510" s="20"/>
      <c r="F510" s="154"/>
    </row>
    <row r="511" spans="2:6" ht="15.75" customHeight="1">
      <c r="B511" s="12"/>
      <c r="D511" s="159"/>
      <c r="E511" s="20"/>
      <c r="F511" s="154"/>
    </row>
    <row r="512" spans="2:6" ht="15.75" customHeight="1">
      <c r="B512" s="12"/>
      <c r="D512" s="159"/>
      <c r="E512" s="20"/>
      <c r="F512" s="154"/>
    </row>
    <row r="513" spans="2:6" ht="15.75" customHeight="1">
      <c r="B513" s="12"/>
      <c r="D513" s="159"/>
      <c r="E513" s="20"/>
      <c r="F513" s="154"/>
    </row>
    <row r="514" spans="2:6" ht="15.75" customHeight="1">
      <c r="B514" s="12"/>
      <c r="D514" s="159"/>
      <c r="E514" s="20"/>
      <c r="F514" s="154"/>
    </row>
    <row r="515" spans="2:6" ht="15.75" customHeight="1">
      <c r="B515" s="12"/>
      <c r="D515" s="159"/>
      <c r="E515" s="20"/>
      <c r="F515" s="154"/>
    </row>
    <row r="516" spans="2:6" ht="15.75" customHeight="1">
      <c r="B516" s="12"/>
      <c r="D516" s="159"/>
      <c r="E516" s="20"/>
      <c r="F516" s="154"/>
    </row>
    <row r="517" spans="2:6" ht="15.75" customHeight="1">
      <c r="B517" s="12"/>
      <c r="D517" s="159"/>
      <c r="E517" s="20"/>
      <c r="F517" s="154"/>
    </row>
    <row r="518" spans="2:6" ht="15.75" customHeight="1">
      <c r="B518" s="12"/>
      <c r="D518" s="159"/>
      <c r="E518" s="20"/>
      <c r="F518" s="154"/>
    </row>
    <row r="519" spans="2:6" ht="15.75" customHeight="1">
      <c r="B519" s="12"/>
      <c r="D519" s="159"/>
      <c r="E519" s="20"/>
      <c r="F519" s="154"/>
    </row>
    <row r="520" spans="2:6" ht="15.75" customHeight="1">
      <c r="B520" s="12"/>
      <c r="D520" s="159"/>
      <c r="E520" s="20"/>
      <c r="F520" s="154"/>
    </row>
    <row r="521" spans="2:6" ht="15.75" customHeight="1">
      <c r="B521" s="12"/>
      <c r="D521" s="159"/>
      <c r="E521" s="20"/>
      <c r="F521" s="154"/>
    </row>
    <row r="522" spans="2:6" ht="15.75" customHeight="1">
      <c r="B522" s="12"/>
      <c r="D522" s="159"/>
      <c r="E522" s="20"/>
      <c r="F522" s="154"/>
    </row>
    <row r="523" spans="2:6" ht="15.75" customHeight="1">
      <c r="B523" s="12"/>
      <c r="D523" s="159"/>
      <c r="E523" s="20"/>
      <c r="F523" s="154"/>
    </row>
    <row r="524" spans="2:6" ht="15.75" customHeight="1">
      <c r="B524" s="12"/>
      <c r="D524" s="159"/>
      <c r="E524" s="20"/>
      <c r="F524" s="154"/>
    </row>
    <row r="525" spans="2:6" ht="15.75" customHeight="1">
      <c r="B525" s="12"/>
      <c r="D525" s="159"/>
      <c r="E525" s="20"/>
      <c r="F525" s="154"/>
    </row>
    <row r="526" spans="2:6" ht="15.75" customHeight="1">
      <c r="B526" s="12"/>
      <c r="D526" s="159"/>
      <c r="E526" s="20"/>
      <c r="F526" s="154"/>
    </row>
    <row r="527" spans="2:6" ht="15.75" customHeight="1">
      <c r="B527" s="12"/>
      <c r="D527" s="159"/>
      <c r="E527" s="20"/>
      <c r="F527" s="154"/>
    </row>
    <row r="528" spans="2:6" ht="15.75" customHeight="1">
      <c r="B528" s="12"/>
      <c r="D528" s="159"/>
      <c r="E528" s="20"/>
      <c r="F528" s="154"/>
    </row>
    <row r="529" spans="2:6" ht="15.75" customHeight="1">
      <c r="B529" s="12"/>
      <c r="D529" s="159"/>
      <c r="E529" s="20"/>
      <c r="F529" s="154"/>
    </row>
    <row r="530" spans="2:6" ht="15.75" customHeight="1">
      <c r="B530" s="12"/>
      <c r="D530" s="159"/>
      <c r="E530" s="20"/>
      <c r="F530" s="154"/>
    </row>
    <row r="531" spans="2:6" ht="15.75" customHeight="1">
      <c r="B531" s="12"/>
      <c r="D531" s="159"/>
      <c r="E531" s="20"/>
      <c r="F531" s="154"/>
    </row>
    <row r="532" spans="2:6" ht="15.75" customHeight="1">
      <c r="B532" s="12"/>
      <c r="D532" s="159"/>
      <c r="E532" s="20"/>
      <c r="F532" s="154"/>
    </row>
    <row r="533" spans="2:6" ht="15.75" customHeight="1">
      <c r="B533" s="12"/>
      <c r="D533" s="159"/>
      <c r="E533" s="20"/>
      <c r="F533" s="154"/>
    </row>
    <row r="534" spans="2:6" ht="15.75" customHeight="1">
      <c r="B534" s="12"/>
      <c r="D534" s="159"/>
      <c r="E534" s="20"/>
      <c r="F534" s="154"/>
    </row>
    <row r="535" spans="2:6" ht="15.75" customHeight="1">
      <c r="B535" s="12"/>
      <c r="D535" s="159"/>
      <c r="E535" s="20"/>
      <c r="F535" s="154"/>
    </row>
    <row r="536" spans="2:6" ht="15.75" customHeight="1">
      <c r="B536" s="12"/>
      <c r="D536" s="159"/>
      <c r="E536" s="20"/>
      <c r="F536" s="154"/>
    </row>
    <row r="537" spans="2:6" ht="15.75" customHeight="1">
      <c r="B537" s="12"/>
      <c r="D537" s="159"/>
      <c r="E537" s="20"/>
      <c r="F537" s="154"/>
    </row>
    <row r="538" spans="2:6" ht="15.75" customHeight="1">
      <c r="B538" s="12"/>
      <c r="D538" s="159"/>
      <c r="E538" s="20"/>
      <c r="F538" s="154"/>
    </row>
    <row r="539" spans="2:6" ht="15.75" customHeight="1">
      <c r="B539" s="12"/>
      <c r="D539" s="159"/>
      <c r="E539" s="20"/>
      <c r="F539" s="154"/>
    </row>
    <row r="540" spans="2:6" ht="15.75" customHeight="1">
      <c r="B540" s="12"/>
      <c r="D540" s="159"/>
      <c r="E540" s="20"/>
      <c r="F540" s="154"/>
    </row>
    <row r="541" spans="2:6" ht="15.75" customHeight="1">
      <c r="B541" s="12"/>
      <c r="D541" s="159"/>
      <c r="E541" s="20"/>
      <c r="F541" s="154"/>
    </row>
    <row r="542" spans="2:6" ht="15.75" customHeight="1">
      <c r="B542" s="12"/>
      <c r="D542" s="159"/>
      <c r="E542" s="20"/>
      <c r="F542" s="154"/>
    </row>
    <row r="543" spans="2:6" ht="15.75" customHeight="1">
      <c r="B543" s="12"/>
      <c r="D543" s="159"/>
      <c r="E543" s="20"/>
      <c r="F543" s="154"/>
    </row>
    <row r="544" spans="2:6" ht="15.75" customHeight="1">
      <c r="B544" s="12"/>
      <c r="D544" s="159"/>
      <c r="E544" s="20"/>
      <c r="F544" s="154"/>
    </row>
    <row r="545" spans="2:6" ht="15.75" customHeight="1">
      <c r="B545" s="12"/>
      <c r="D545" s="159"/>
      <c r="E545" s="20"/>
      <c r="F545" s="154"/>
    </row>
    <row r="546" spans="2:6" ht="15.75" customHeight="1">
      <c r="B546" s="12"/>
      <c r="D546" s="159"/>
      <c r="E546" s="20"/>
      <c r="F546" s="154"/>
    </row>
    <row r="547" spans="2:6" ht="15.75" customHeight="1">
      <c r="B547" s="12"/>
      <c r="D547" s="159"/>
      <c r="E547" s="20"/>
      <c r="F547" s="154"/>
    </row>
    <row r="548" spans="2:6" ht="15.75" customHeight="1">
      <c r="B548" s="12"/>
      <c r="D548" s="159"/>
      <c r="E548" s="20"/>
      <c r="F548" s="154"/>
    </row>
    <row r="549" spans="2:6" ht="15.75" customHeight="1">
      <c r="B549" s="12"/>
      <c r="D549" s="159"/>
      <c r="E549" s="20"/>
      <c r="F549" s="154"/>
    </row>
    <row r="550" spans="2:6" ht="15.75" customHeight="1">
      <c r="B550" s="12"/>
      <c r="D550" s="159"/>
      <c r="E550" s="20"/>
      <c r="F550" s="154"/>
    </row>
    <row r="551" spans="2:6" ht="15.75" customHeight="1">
      <c r="B551" s="12"/>
      <c r="D551" s="159"/>
      <c r="E551" s="20"/>
      <c r="F551" s="154"/>
    </row>
    <row r="552" spans="2:6" ht="15.75" customHeight="1">
      <c r="B552" s="12"/>
      <c r="D552" s="159"/>
      <c r="E552" s="20"/>
      <c r="F552" s="154"/>
    </row>
    <row r="553" spans="2:6" ht="15.75" customHeight="1">
      <c r="B553" s="12"/>
      <c r="D553" s="159"/>
      <c r="E553" s="20"/>
      <c r="F553" s="154"/>
    </row>
    <row r="554" spans="2:6" ht="15.75" customHeight="1">
      <c r="B554" s="12"/>
      <c r="D554" s="159"/>
      <c r="E554" s="20"/>
      <c r="F554" s="154"/>
    </row>
    <row r="555" spans="2:6" ht="15.75" customHeight="1">
      <c r="B555" s="12"/>
      <c r="D555" s="159"/>
      <c r="E555" s="20"/>
      <c r="F555" s="154"/>
    </row>
    <row r="556" spans="2:6" ht="15.75" customHeight="1">
      <c r="B556" s="12"/>
      <c r="D556" s="159"/>
      <c r="E556" s="20"/>
      <c r="F556" s="154"/>
    </row>
    <row r="557" spans="2:6" ht="15.75" customHeight="1">
      <c r="B557" s="12"/>
      <c r="D557" s="159"/>
      <c r="E557" s="20"/>
      <c r="F557" s="154"/>
    </row>
    <row r="558" spans="2:6" ht="15.75" customHeight="1">
      <c r="B558" s="12"/>
      <c r="D558" s="159"/>
      <c r="E558" s="20"/>
      <c r="F558" s="154"/>
    </row>
    <row r="559" spans="2:6" ht="15.75" customHeight="1">
      <c r="B559" s="12"/>
      <c r="D559" s="159"/>
      <c r="E559" s="20"/>
      <c r="F559" s="154"/>
    </row>
    <row r="560" spans="2:6" ht="15.75" customHeight="1">
      <c r="B560" s="12"/>
      <c r="D560" s="159"/>
      <c r="E560" s="20"/>
      <c r="F560" s="154"/>
    </row>
    <row r="561" spans="2:6" ht="15.75" customHeight="1">
      <c r="B561" s="12"/>
      <c r="D561" s="159"/>
      <c r="E561" s="20"/>
      <c r="F561" s="154"/>
    </row>
    <row r="562" spans="2:6" ht="15.75" customHeight="1">
      <c r="B562" s="12"/>
      <c r="D562" s="159"/>
      <c r="E562" s="20"/>
      <c r="F562" s="154"/>
    </row>
    <row r="563" spans="2:6" ht="15.75" customHeight="1">
      <c r="B563" s="12"/>
      <c r="D563" s="159"/>
      <c r="E563" s="20"/>
      <c r="F563" s="154"/>
    </row>
    <row r="564" spans="2:6" ht="15.75" customHeight="1">
      <c r="B564" s="12"/>
      <c r="D564" s="159"/>
      <c r="E564" s="20"/>
      <c r="F564" s="154"/>
    </row>
    <row r="565" spans="2:6" ht="15.75" customHeight="1">
      <c r="B565" s="12"/>
      <c r="D565" s="159"/>
      <c r="E565" s="20"/>
      <c r="F565" s="154"/>
    </row>
    <row r="566" spans="2:6" ht="15.75" customHeight="1">
      <c r="B566" s="12"/>
      <c r="D566" s="159"/>
      <c r="E566" s="20"/>
      <c r="F566" s="154"/>
    </row>
    <row r="567" spans="2:6" ht="15.75" customHeight="1">
      <c r="B567" s="12"/>
      <c r="D567" s="159"/>
      <c r="E567" s="20"/>
      <c r="F567" s="154"/>
    </row>
    <row r="568" spans="2:6" ht="15.75" customHeight="1">
      <c r="B568" s="12"/>
      <c r="D568" s="159"/>
      <c r="E568" s="20"/>
      <c r="F568" s="154"/>
    </row>
    <row r="569" spans="2:6" ht="15.75" customHeight="1">
      <c r="B569" s="12"/>
      <c r="D569" s="159"/>
      <c r="E569" s="20"/>
      <c r="F569" s="154"/>
    </row>
    <row r="570" spans="2:6" ht="15.75" customHeight="1">
      <c r="B570" s="12"/>
      <c r="D570" s="159"/>
      <c r="E570" s="20"/>
      <c r="F570" s="154"/>
    </row>
    <row r="571" spans="2:6" ht="15.75" customHeight="1">
      <c r="B571" s="12"/>
      <c r="D571" s="159"/>
      <c r="E571" s="20"/>
      <c r="F571" s="154"/>
    </row>
    <row r="572" spans="2:6" ht="15.75" customHeight="1">
      <c r="B572" s="12"/>
      <c r="D572" s="159"/>
      <c r="E572" s="20"/>
      <c r="F572" s="154"/>
    </row>
    <row r="573" spans="2:6" ht="15.75" customHeight="1">
      <c r="B573" s="12"/>
      <c r="D573" s="159"/>
      <c r="E573" s="20"/>
      <c r="F573" s="154"/>
    </row>
    <row r="574" spans="2:6" ht="15.75" customHeight="1">
      <c r="B574" s="12"/>
      <c r="D574" s="159"/>
      <c r="E574" s="20"/>
      <c r="F574" s="154"/>
    </row>
    <row r="575" spans="2:6" ht="15.75" customHeight="1">
      <c r="B575" s="12"/>
      <c r="D575" s="159"/>
      <c r="E575" s="20"/>
      <c r="F575" s="154"/>
    </row>
    <row r="576" spans="2:6" ht="15.75" customHeight="1">
      <c r="B576" s="12"/>
      <c r="D576" s="159"/>
      <c r="E576" s="20"/>
      <c r="F576" s="154"/>
    </row>
    <row r="577" spans="2:6" ht="15.75" customHeight="1">
      <c r="B577" s="12"/>
      <c r="D577" s="159"/>
      <c r="E577" s="20"/>
      <c r="F577" s="154"/>
    </row>
    <row r="578" spans="2:6" ht="15.75" customHeight="1">
      <c r="B578" s="12"/>
      <c r="D578" s="159"/>
      <c r="E578" s="20"/>
      <c r="F578" s="154"/>
    </row>
    <row r="579" spans="2:6" ht="15.75" customHeight="1">
      <c r="B579" s="12"/>
      <c r="D579" s="159"/>
      <c r="E579" s="20"/>
      <c r="F579" s="154"/>
    </row>
    <row r="580" spans="2:6" ht="15.75" customHeight="1">
      <c r="B580" s="12"/>
      <c r="D580" s="159"/>
      <c r="E580" s="20"/>
      <c r="F580" s="154"/>
    </row>
    <row r="581" spans="2:6" ht="15.75" customHeight="1">
      <c r="B581" s="12"/>
      <c r="D581" s="159"/>
      <c r="E581" s="20"/>
      <c r="F581" s="154"/>
    </row>
    <row r="582" spans="2:6" ht="15.75" customHeight="1">
      <c r="B582" s="12"/>
      <c r="D582" s="159"/>
      <c r="E582" s="20"/>
      <c r="F582" s="154"/>
    </row>
    <row r="583" spans="2:6" ht="15.75" customHeight="1">
      <c r="B583" s="12"/>
      <c r="D583" s="159"/>
      <c r="E583" s="20"/>
      <c r="F583" s="154"/>
    </row>
    <row r="584" spans="2:6" ht="15.75" customHeight="1">
      <c r="B584" s="12"/>
      <c r="D584" s="159"/>
      <c r="E584" s="20"/>
      <c r="F584" s="154"/>
    </row>
    <row r="585" spans="2:6" ht="15.75" customHeight="1">
      <c r="B585" s="12"/>
      <c r="D585" s="159"/>
      <c r="E585" s="20"/>
      <c r="F585" s="154"/>
    </row>
    <row r="586" spans="2:6" ht="15.75" customHeight="1">
      <c r="B586" s="12"/>
      <c r="D586" s="159"/>
      <c r="E586" s="20"/>
      <c r="F586" s="154"/>
    </row>
    <row r="587" spans="2:6" ht="15.75" customHeight="1">
      <c r="B587" s="12"/>
      <c r="D587" s="159"/>
      <c r="E587" s="20"/>
      <c r="F587" s="154"/>
    </row>
    <row r="588" spans="2:6" ht="15.75" customHeight="1">
      <c r="B588" s="12"/>
      <c r="D588" s="159"/>
      <c r="E588" s="20"/>
      <c r="F588" s="154"/>
    </row>
    <row r="589" spans="2:6" ht="15.75" customHeight="1">
      <c r="B589" s="12"/>
      <c r="D589" s="159"/>
      <c r="E589" s="20"/>
      <c r="F589" s="154"/>
    </row>
    <row r="590" spans="2:6" ht="15.75" customHeight="1">
      <c r="B590" s="12"/>
      <c r="D590" s="159"/>
      <c r="E590" s="20"/>
      <c r="F590" s="154"/>
    </row>
    <row r="591" spans="2:6" ht="15.75" customHeight="1">
      <c r="B591" s="12"/>
      <c r="D591" s="159"/>
      <c r="E591" s="20"/>
      <c r="F591" s="154"/>
    </row>
    <row r="592" spans="2:6" ht="15.75" customHeight="1">
      <c r="B592" s="12"/>
      <c r="D592" s="159"/>
      <c r="E592" s="20"/>
      <c r="F592" s="154"/>
    </row>
    <row r="593" spans="2:6" ht="15.75" customHeight="1">
      <c r="B593" s="12"/>
      <c r="D593" s="159"/>
      <c r="E593" s="20"/>
      <c r="F593" s="154"/>
    </row>
    <row r="594" spans="2:6" ht="15.75" customHeight="1">
      <c r="B594" s="12"/>
      <c r="D594" s="159"/>
      <c r="E594" s="20"/>
      <c r="F594" s="154"/>
    </row>
    <row r="595" spans="2:6" ht="15.75" customHeight="1">
      <c r="B595" s="12"/>
      <c r="D595" s="159"/>
      <c r="E595" s="20"/>
      <c r="F595" s="154"/>
    </row>
    <row r="596" spans="2:6" ht="15.75" customHeight="1">
      <c r="B596" s="12"/>
      <c r="D596" s="159"/>
      <c r="E596" s="20"/>
      <c r="F596" s="154"/>
    </row>
    <row r="597" spans="2:6" ht="15.75" customHeight="1">
      <c r="B597" s="12"/>
      <c r="D597" s="159"/>
      <c r="E597" s="20"/>
      <c r="F597" s="154"/>
    </row>
    <row r="598" spans="2:6" ht="15.75" customHeight="1">
      <c r="B598" s="12"/>
      <c r="D598" s="159"/>
      <c r="E598" s="20"/>
      <c r="F598" s="154"/>
    </row>
    <row r="599" spans="2:6" ht="15.75" customHeight="1">
      <c r="B599" s="12"/>
      <c r="D599" s="159"/>
      <c r="E599" s="20"/>
      <c r="F599" s="154"/>
    </row>
    <row r="600" spans="2:6" ht="15.75" customHeight="1">
      <c r="B600" s="12"/>
      <c r="D600" s="159"/>
      <c r="E600" s="20"/>
      <c r="F600" s="154"/>
    </row>
    <row r="601" spans="2:6" ht="15.75" customHeight="1">
      <c r="B601" s="12"/>
      <c r="D601" s="159"/>
      <c r="E601" s="20"/>
      <c r="F601" s="154"/>
    </row>
    <row r="602" spans="2:6" ht="15.75" customHeight="1">
      <c r="B602" s="12"/>
      <c r="D602" s="159"/>
      <c r="E602" s="20"/>
      <c r="F602" s="154"/>
    </row>
    <row r="603" spans="2:6" ht="15.75" customHeight="1">
      <c r="B603" s="12"/>
      <c r="D603" s="159"/>
      <c r="E603" s="20"/>
      <c r="F603" s="154"/>
    </row>
    <row r="604" spans="2:6" ht="15.75" customHeight="1">
      <c r="B604" s="12"/>
      <c r="D604" s="159"/>
      <c r="E604" s="20"/>
      <c r="F604" s="154"/>
    </row>
    <row r="605" spans="2:6" ht="15.75" customHeight="1">
      <c r="B605" s="12"/>
      <c r="D605" s="159"/>
      <c r="E605" s="20"/>
      <c r="F605" s="154"/>
    </row>
    <row r="606" spans="2:6" ht="15.75" customHeight="1">
      <c r="B606" s="12"/>
      <c r="D606" s="159"/>
      <c r="E606" s="20"/>
      <c r="F606" s="154"/>
    </row>
    <row r="607" spans="2:6" ht="15.75" customHeight="1">
      <c r="B607" s="12"/>
      <c r="D607" s="159"/>
      <c r="E607" s="20"/>
      <c r="F607" s="154"/>
    </row>
    <row r="608" spans="2:6" ht="15.75" customHeight="1">
      <c r="B608" s="12"/>
      <c r="D608" s="159"/>
      <c r="E608" s="20"/>
      <c r="F608" s="154"/>
    </row>
    <row r="609" spans="2:6" ht="15.75" customHeight="1">
      <c r="B609" s="12"/>
      <c r="D609" s="159"/>
      <c r="E609" s="20"/>
      <c r="F609" s="154"/>
    </row>
    <row r="610" spans="2:6" ht="15.75" customHeight="1">
      <c r="B610" s="12"/>
      <c r="D610" s="159"/>
      <c r="E610" s="20"/>
      <c r="F610" s="154"/>
    </row>
    <row r="611" spans="2:6" ht="15.75" customHeight="1">
      <c r="B611" s="12"/>
      <c r="D611" s="159"/>
      <c r="E611" s="20"/>
      <c r="F611" s="154"/>
    </row>
    <row r="612" spans="2:6" ht="15.75" customHeight="1">
      <c r="B612" s="12"/>
      <c r="D612" s="159"/>
      <c r="E612" s="20"/>
      <c r="F612" s="154"/>
    </row>
    <row r="613" spans="2:6" ht="15.75" customHeight="1">
      <c r="B613" s="12"/>
      <c r="D613" s="159"/>
      <c r="E613" s="20"/>
      <c r="F613" s="154"/>
    </row>
    <row r="614" spans="2:6" ht="15.75" customHeight="1">
      <c r="B614" s="12"/>
      <c r="D614" s="159"/>
      <c r="E614" s="20"/>
      <c r="F614" s="154"/>
    </row>
    <row r="615" spans="2:6" ht="15.75" customHeight="1">
      <c r="B615" s="12"/>
      <c r="D615" s="159"/>
      <c r="E615" s="20"/>
      <c r="F615" s="154"/>
    </row>
    <row r="616" spans="2:6" ht="15.75" customHeight="1">
      <c r="B616" s="12"/>
      <c r="D616" s="159"/>
      <c r="E616" s="20"/>
      <c r="F616" s="154"/>
    </row>
    <row r="617" spans="2:6" ht="15.75" customHeight="1">
      <c r="B617" s="12"/>
      <c r="D617" s="159"/>
      <c r="E617" s="20"/>
      <c r="F617" s="154"/>
    </row>
    <row r="618" spans="2:6" ht="15.75" customHeight="1">
      <c r="B618" s="12"/>
      <c r="D618" s="159"/>
      <c r="E618" s="20"/>
      <c r="F618" s="154"/>
    </row>
    <row r="619" spans="2:6" ht="15.75" customHeight="1">
      <c r="B619" s="12"/>
      <c r="D619" s="159"/>
      <c r="E619" s="20"/>
      <c r="F619" s="154"/>
    </row>
    <row r="620" spans="2:6" ht="15.75" customHeight="1">
      <c r="B620" s="12"/>
      <c r="D620" s="159"/>
      <c r="E620" s="20"/>
      <c r="F620" s="154"/>
    </row>
    <row r="621" spans="2:6" ht="15.75" customHeight="1">
      <c r="B621" s="12"/>
      <c r="D621" s="159"/>
      <c r="E621" s="20"/>
      <c r="F621" s="154"/>
    </row>
    <row r="622" spans="2:6" ht="15.75" customHeight="1">
      <c r="B622" s="12"/>
      <c r="D622" s="159"/>
      <c r="E622" s="20"/>
      <c r="F622" s="154"/>
    </row>
    <row r="623" spans="2:6" ht="15.75" customHeight="1">
      <c r="B623" s="12"/>
      <c r="D623" s="159"/>
      <c r="E623" s="20"/>
      <c r="F623" s="154"/>
    </row>
    <row r="624" spans="2:6" ht="15.75" customHeight="1">
      <c r="B624" s="12"/>
      <c r="D624" s="159"/>
      <c r="E624" s="20"/>
      <c r="F624" s="154"/>
    </row>
    <row r="625" spans="2:6" ht="15.75" customHeight="1">
      <c r="B625" s="12"/>
      <c r="D625" s="159"/>
      <c r="E625" s="20"/>
      <c r="F625" s="154"/>
    </row>
    <row r="626" spans="2:6" ht="15.75" customHeight="1">
      <c r="B626" s="12"/>
      <c r="D626" s="159"/>
      <c r="E626" s="20"/>
      <c r="F626" s="154"/>
    </row>
    <row r="627" spans="2:6" ht="15.75" customHeight="1">
      <c r="B627" s="12"/>
      <c r="D627" s="159"/>
      <c r="E627" s="20"/>
      <c r="F627" s="154"/>
    </row>
    <row r="628" spans="2:6" ht="15.75" customHeight="1">
      <c r="B628" s="12"/>
      <c r="D628" s="159"/>
      <c r="E628" s="20"/>
      <c r="F628" s="154"/>
    </row>
    <row r="629" spans="2:6" ht="15.75" customHeight="1">
      <c r="B629" s="12"/>
      <c r="D629" s="159"/>
      <c r="E629" s="20"/>
      <c r="F629" s="154"/>
    </row>
    <row r="630" spans="2:6" ht="15.75" customHeight="1">
      <c r="B630" s="12"/>
      <c r="D630" s="159"/>
      <c r="E630" s="20"/>
      <c r="F630" s="154"/>
    </row>
    <row r="631" spans="2:6" ht="15.75" customHeight="1">
      <c r="B631" s="12"/>
      <c r="D631" s="159"/>
      <c r="E631" s="20"/>
      <c r="F631" s="154"/>
    </row>
    <row r="632" spans="2:6" ht="15.75" customHeight="1">
      <c r="B632" s="12"/>
      <c r="D632" s="159"/>
      <c r="E632" s="20"/>
      <c r="F632" s="154"/>
    </row>
    <row r="633" spans="2:6" ht="15.75" customHeight="1">
      <c r="B633" s="12"/>
      <c r="D633" s="159"/>
      <c r="E633" s="20"/>
      <c r="F633" s="154"/>
    </row>
    <row r="634" spans="2:6" ht="15.75" customHeight="1">
      <c r="B634" s="12"/>
      <c r="D634" s="159"/>
      <c r="E634" s="20"/>
      <c r="F634" s="154"/>
    </row>
    <row r="635" spans="2:6" ht="15.75" customHeight="1">
      <c r="B635" s="12"/>
      <c r="D635" s="159"/>
      <c r="E635" s="20"/>
      <c r="F635" s="154"/>
    </row>
    <row r="636" spans="2:6" ht="15.75" customHeight="1">
      <c r="B636" s="12"/>
      <c r="D636" s="159"/>
      <c r="E636" s="20"/>
      <c r="F636" s="154"/>
    </row>
    <row r="637" spans="2:6" ht="15.75" customHeight="1">
      <c r="B637" s="12"/>
      <c r="D637" s="159"/>
      <c r="E637" s="20"/>
      <c r="F637" s="154"/>
    </row>
    <row r="638" spans="2:6" ht="15.75" customHeight="1">
      <c r="B638" s="12"/>
      <c r="D638" s="159"/>
      <c r="E638" s="20"/>
      <c r="F638" s="154"/>
    </row>
    <row r="639" spans="2:6" ht="15.75" customHeight="1">
      <c r="B639" s="12"/>
      <c r="D639" s="159"/>
      <c r="E639" s="20"/>
      <c r="F639" s="154"/>
    </row>
    <row r="640" spans="2:6" ht="15.75" customHeight="1">
      <c r="B640" s="12"/>
      <c r="D640" s="159"/>
      <c r="E640" s="20"/>
      <c r="F640" s="154"/>
    </row>
    <row r="641" spans="2:6" ht="15.75" customHeight="1">
      <c r="B641" s="12"/>
      <c r="D641" s="159"/>
      <c r="E641" s="20"/>
      <c r="F641" s="154"/>
    </row>
    <row r="642" spans="2:6" ht="15.75" customHeight="1">
      <c r="B642" s="12"/>
      <c r="D642" s="159"/>
      <c r="E642" s="20"/>
      <c r="F642" s="154"/>
    </row>
    <row r="643" spans="2:6" ht="15.75" customHeight="1">
      <c r="B643" s="12"/>
      <c r="D643" s="159"/>
      <c r="E643" s="20"/>
      <c r="F643" s="154"/>
    </row>
    <row r="644" spans="2:6" ht="15.75" customHeight="1">
      <c r="B644" s="12"/>
      <c r="D644" s="159"/>
      <c r="E644" s="20"/>
      <c r="F644" s="154"/>
    </row>
    <row r="645" spans="2:6" ht="15.75" customHeight="1">
      <c r="B645" s="12"/>
      <c r="D645" s="159"/>
      <c r="E645" s="20"/>
      <c r="F645" s="154"/>
    </row>
    <row r="646" spans="2:6" ht="15.75" customHeight="1">
      <c r="B646" s="12"/>
      <c r="D646" s="159"/>
      <c r="E646" s="20"/>
      <c r="F646" s="154"/>
    </row>
    <row r="647" spans="2:6" ht="15.75" customHeight="1">
      <c r="B647" s="12"/>
      <c r="D647" s="159"/>
      <c r="E647" s="20"/>
      <c r="F647" s="154"/>
    </row>
    <row r="648" spans="2:6" ht="15.75" customHeight="1">
      <c r="B648" s="12"/>
      <c r="D648" s="159"/>
      <c r="E648" s="20"/>
      <c r="F648" s="154"/>
    </row>
    <row r="649" spans="2:6" ht="15.75" customHeight="1">
      <c r="B649" s="12"/>
      <c r="D649" s="159"/>
      <c r="E649" s="20"/>
      <c r="F649" s="154"/>
    </row>
    <row r="650" spans="2:6" ht="15.75" customHeight="1">
      <c r="B650" s="12"/>
      <c r="D650" s="159"/>
      <c r="E650" s="20"/>
      <c r="F650" s="154"/>
    </row>
    <row r="651" spans="2:6" ht="15.75" customHeight="1">
      <c r="B651" s="12"/>
      <c r="D651" s="159"/>
      <c r="E651" s="20"/>
      <c r="F651" s="154"/>
    </row>
    <row r="652" spans="2:6" ht="15.75" customHeight="1">
      <c r="B652" s="12"/>
      <c r="D652" s="159"/>
      <c r="E652" s="20"/>
      <c r="F652" s="154"/>
    </row>
    <row r="653" spans="2:6" ht="15.75" customHeight="1">
      <c r="B653" s="12"/>
      <c r="D653" s="159"/>
      <c r="E653" s="20"/>
      <c r="F653" s="154"/>
    </row>
    <row r="654" spans="2:6" ht="15.75" customHeight="1">
      <c r="B654" s="12"/>
      <c r="D654" s="159"/>
      <c r="E654" s="20"/>
      <c r="F654" s="154"/>
    </row>
    <row r="655" spans="2:6" ht="15.75" customHeight="1">
      <c r="B655" s="12"/>
      <c r="D655" s="159"/>
      <c r="E655" s="20"/>
      <c r="F655" s="154"/>
    </row>
    <row r="656" spans="2:6" ht="15.75" customHeight="1">
      <c r="B656" s="12"/>
      <c r="D656" s="159"/>
      <c r="E656" s="20"/>
      <c r="F656" s="154"/>
    </row>
    <row r="657" spans="2:6" ht="15.75" customHeight="1">
      <c r="B657" s="12"/>
      <c r="D657" s="159"/>
      <c r="E657" s="20"/>
      <c r="F657" s="154"/>
    </row>
    <row r="658" spans="2:6" ht="15.75" customHeight="1">
      <c r="B658" s="12"/>
      <c r="D658" s="159"/>
      <c r="E658" s="20"/>
      <c r="F658" s="154"/>
    </row>
    <row r="659" spans="2:6" ht="15.75" customHeight="1">
      <c r="B659" s="12"/>
      <c r="D659" s="159"/>
      <c r="E659" s="20"/>
      <c r="F659" s="154"/>
    </row>
    <row r="660" spans="2:6" ht="15.75" customHeight="1">
      <c r="B660" s="12"/>
      <c r="D660" s="159"/>
      <c r="E660" s="20"/>
      <c r="F660" s="154"/>
    </row>
    <row r="661" spans="2:6" ht="15.75" customHeight="1">
      <c r="B661" s="12"/>
      <c r="D661" s="159"/>
      <c r="E661" s="20"/>
      <c r="F661" s="154"/>
    </row>
    <row r="662" spans="2:6" ht="15.75" customHeight="1">
      <c r="B662" s="12"/>
      <c r="D662" s="159"/>
      <c r="E662" s="20"/>
      <c r="F662" s="154"/>
    </row>
    <row r="663" spans="2:6" ht="15.75" customHeight="1">
      <c r="B663" s="12"/>
      <c r="D663" s="159"/>
      <c r="E663" s="20"/>
      <c r="F663" s="154"/>
    </row>
    <row r="664" spans="2:6" ht="15.75" customHeight="1">
      <c r="B664" s="12"/>
      <c r="D664" s="159"/>
      <c r="E664" s="20"/>
      <c r="F664" s="154"/>
    </row>
    <row r="665" spans="2:6" ht="15.75" customHeight="1">
      <c r="B665" s="12"/>
      <c r="D665" s="159"/>
      <c r="E665" s="20"/>
      <c r="F665" s="154"/>
    </row>
    <row r="666" spans="2:6" ht="15.75" customHeight="1">
      <c r="B666" s="12"/>
      <c r="D666" s="159"/>
      <c r="E666" s="20"/>
      <c r="F666" s="154"/>
    </row>
    <row r="667" spans="2:6" ht="15.75" customHeight="1">
      <c r="B667" s="12"/>
      <c r="D667" s="159"/>
      <c r="E667" s="20"/>
      <c r="F667" s="154"/>
    </row>
    <row r="668" spans="2:6" ht="15.75" customHeight="1">
      <c r="B668" s="12"/>
      <c r="D668" s="159"/>
      <c r="E668" s="20"/>
      <c r="F668" s="154"/>
    </row>
    <row r="669" spans="2:6" ht="15.75" customHeight="1">
      <c r="B669" s="12"/>
      <c r="D669" s="159"/>
      <c r="E669" s="20"/>
      <c r="F669" s="154"/>
    </row>
    <row r="670" spans="2:6" ht="15.75" customHeight="1">
      <c r="B670" s="12"/>
      <c r="D670" s="159"/>
      <c r="E670" s="20"/>
      <c r="F670" s="154"/>
    </row>
    <row r="671" spans="2:6" ht="15.75" customHeight="1">
      <c r="B671" s="12"/>
      <c r="D671" s="159"/>
      <c r="E671" s="20"/>
      <c r="F671" s="154"/>
    </row>
    <row r="672" spans="2:6" ht="15.75" customHeight="1">
      <c r="B672" s="12"/>
      <c r="D672" s="159"/>
      <c r="E672" s="20"/>
      <c r="F672" s="154"/>
    </row>
    <row r="673" spans="2:6" ht="15.75" customHeight="1">
      <c r="B673" s="12"/>
      <c r="D673" s="159"/>
      <c r="E673" s="20"/>
      <c r="F673" s="154"/>
    </row>
    <row r="674" spans="2:6" ht="15.75" customHeight="1">
      <c r="B674" s="12"/>
      <c r="D674" s="159"/>
      <c r="E674" s="20"/>
      <c r="F674" s="154"/>
    </row>
    <row r="675" spans="2:6" ht="15.75" customHeight="1">
      <c r="B675" s="12"/>
      <c r="D675" s="159"/>
      <c r="E675" s="20"/>
      <c r="F675" s="154"/>
    </row>
    <row r="676" spans="2:6" ht="15.75" customHeight="1">
      <c r="B676" s="12"/>
      <c r="D676" s="159"/>
      <c r="E676" s="20"/>
      <c r="F676" s="154"/>
    </row>
    <row r="677" spans="2:6" ht="15.75" customHeight="1">
      <c r="B677" s="12"/>
      <c r="D677" s="159"/>
      <c r="E677" s="20"/>
      <c r="F677" s="154"/>
    </row>
    <row r="678" spans="2:6" ht="15.75" customHeight="1">
      <c r="B678" s="12"/>
      <c r="D678" s="159"/>
      <c r="E678" s="20"/>
      <c r="F678" s="154"/>
    </row>
    <row r="679" spans="2:6" ht="15.75" customHeight="1">
      <c r="B679" s="12"/>
      <c r="D679" s="159"/>
      <c r="E679" s="20"/>
      <c r="F679" s="154"/>
    </row>
    <row r="680" spans="2:6" ht="15.75" customHeight="1">
      <c r="B680" s="12"/>
      <c r="D680" s="159"/>
      <c r="E680" s="20"/>
      <c r="F680" s="154"/>
    </row>
    <row r="681" spans="2:6" ht="15.75" customHeight="1">
      <c r="B681" s="12"/>
      <c r="D681" s="159"/>
      <c r="E681" s="20"/>
      <c r="F681" s="154"/>
    </row>
    <row r="682" spans="2:6" ht="15.75" customHeight="1">
      <c r="B682" s="12"/>
      <c r="D682" s="159"/>
      <c r="E682" s="20"/>
      <c r="F682" s="154"/>
    </row>
    <row r="683" spans="2:6" ht="15.75" customHeight="1">
      <c r="B683" s="12"/>
      <c r="D683" s="159"/>
      <c r="E683" s="20"/>
      <c r="F683" s="154"/>
    </row>
    <row r="684" spans="2:6" ht="15.75" customHeight="1">
      <c r="B684" s="12"/>
      <c r="D684" s="159"/>
      <c r="E684" s="20"/>
      <c r="F684" s="154"/>
    </row>
    <row r="685" spans="2:6" ht="15.75" customHeight="1">
      <c r="B685" s="12"/>
      <c r="D685" s="159"/>
      <c r="E685" s="20"/>
      <c r="F685" s="154"/>
    </row>
    <row r="686" spans="2:6" ht="15.75" customHeight="1">
      <c r="B686" s="12"/>
      <c r="D686" s="159"/>
      <c r="E686" s="20"/>
      <c r="F686" s="154"/>
    </row>
    <row r="687" spans="2:6" ht="15.75" customHeight="1">
      <c r="B687" s="12"/>
      <c r="D687" s="159"/>
      <c r="E687" s="20"/>
      <c r="F687" s="154"/>
    </row>
    <row r="688" spans="2:6" ht="15.75" customHeight="1">
      <c r="B688" s="12"/>
      <c r="D688" s="159"/>
      <c r="E688" s="20"/>
      <c r="F688" s="154"/>
    </row>
    <row r="689" spans="2:6" ht="15.75" customHeight="1">
      <c r="B689" s="12"/>
      <c r="D689" s="159"/>
      <c r="E689" s="20"/>
      <c r="F689" s="154"/>
    </row>
    <row r="690" spans="2:6" ht="15.75" customHeight="1">
      <c r="B690" s="12"/>
      <c r="D690" s="159"/>
      <c r="E690" s="20"/>
      <c r="F690" s="154"/>
    </row>
    <row r="691" spans="2:6" ht="15.75" customHeight="1">
      <c r="B691" s="12"/>
      <c r="D691" s="159"/>
      <c r="E691" s="20"/>
      <c r="F691" s="154"/>
    </row>
    <row r="692" spans="2:6" ht="15.75" customHeight="1">
      <c r="B692" s="12"/>
      <c r="D692" s="159"/>
      <c r="E692" s="20"/>
      <c r="F692" s="154"/>
    </row>
    <row r="693" spans="2:6" ht="15.75" customHeight="1">
      <c r="B693" s="12"/>
      <c r="D693" s="159"/>
      <c r="E693" s="20"/>
      <c r="F693" s="154"/>
    </row>
    <row r="694" spans="2:6" ht="15.75" customHeight="1">
      <c r="B694" s="12"/>
      <c r="D694" s="159"/>
      <c r="E694" s="20"/>
      <c r="F694" s="154"/>
    </row>
    <row r="695" spans="2:6" ht="15.75" customHeight="1">
      <c r="B695" s="12"/>
      <c r="D695" s="159"/>
      <c r="E695" s="20"/>
      <c r="F695" s="154"/>
    </row>
    <row r="696" spans="2:6" ht="15.75" customHeight="1">
      <c r="B696" s="12"/>
      <c r="D696" s="159"/>
      <c r="E696" s="20"/>
      <c r="F696" s="154"/>
    </row>
    <row r="697" spans="2:6" ht="15.75" customHeight="1">
      <c r="B697" s="12"/>
      <c r="D697" s="159"/>
      <c r="E697" s="20"/>
      <c r="F697" s="154"/>
    </row>
    <row r="698" spans="2:6" ht="15.75" customHeight="1">
      <c r="B698" s="12"/>
      <c r="D698" s="159"/>
      <c r="E698" s="20"/>
      <c r="F698" s="154"/>
    </row>
    <row r="699" spans="2:6" ht="15.75" customHeight="1">
      <c r="B699" s="12"/>
      <c r="D699" s="159"/>
      <c r="E699" s="20"/>
      <c r="F699" s="154"/>
    </row>
    <row r="700" spans="2:6" ht="15.75" customHeight="1">
      <c r="B700" s="12"/>
      <c r="D700" s="159"/>
      <c r="E700" s="20"/>
      <c r="F700" s="154"/>
    </row>
    <row r="701" spans="2:6" ht="15.75" customHeight="1">
      <c r="B701" s="12"/>
      <c r="D701" s="159"/>
      <c r="E701" s="20"/>
      <c r="F701" s="154"/>
    </row>
    <row r="702" spans="2:6" ht="15.75" customHeight="1">
      <c r="B702" s="12"/>
      <c r="D702" s="159"/>
      <c r="E702" s="20"/>
      <c r="F702" s="154"/>
    </row>
    <row r="703" spans="2:6" ht="15.75" customHeight="1">
      <c r="B703" s="12"/>
      <c r="D703" s="159"/>
      <c r="E703" s="20"/>
      <c r="F703" s="154"/>
    </row>
    <row r="704" spans="2:6" ht="15.75" customHeight="1">
      <c r="B704" s="12"/>
      <c r="D704" s="159"/>
      <c r="E704" s="20"/>
      <c r="F704" s="154"/>
    </row>
    <row r="705" spans="2:6" ht="15.75" customHeight="1">
      <c r="B705" s="12"/>
      <c r="D705" s="159"/>
      <c r="E705" s="20"/>
      <c r="F705" s="154"/>
    </row>
    <row r="706" spans="2:6" ht="15.75" customHeight="1">
      <c r="B706" s="12"/>
      <c r="D706" s="159"/>
      <c r="E706" s="20"/>
      <c r="F706" s="154"/>
    </row>
    <row r="707" spans="2:6" ht="15.75" customHeight="1">
      <c r="B707" s="12"/>
      <c r="D707" s="159"/>
      <c r="E707" s="20"/>
      <c r="F707" s="154"/>
    </row>
    <row r="708" spans="2:6" ht="15.75" customHeight="1">
      <c r="B708" s="12"/>
      <c r="D708" s="159"/>
      <c r="E708" s="20"/>
      <c r="F708" s="154"/>
    </row>
    <row r="709" spans="2:6" ht="15.75" customHeight="1">
      <c r="B709" s="12"/>
      <c r="D709" s="159"/>
      <c r="E709" s="20"/>
      <c r="F709" s="154"/>
    </row>
    <row r="710" spans="2:6" ht="15.75" customHeight="1">
      <c r="B710" s="12"/>
      <c r="D710" s="159"/>
      <c r="E710" s="20"/>
      <c r="F710" s="154"/>
    </row>
    <row r="711" spans="2:6" ht="15.75" customHeight="1">
      <c r="B711" s="12"/>
      <c r="D711" s="159"/>
      <c r="E711" s="20"/>
      <c r="F711" s="154"/>
    </row>
    <row r="712" spans="2:6" ht="15.75" customHeight="1">
      <c r="B712" s="12"/>
      <c r="D712" s="159"/>
      <c r="E712" s="20"/>
      <c r="F712" s="154"/>
    </row>
    <row r="713" spans="2:6" ht="15.75" customHeight="1">
      <c r="B713" s="12"/>
      <c r="D713" s="159"/>
      <c r="E713" s="20"/>
      <c r="F713" s="154"/>
    </row>
    <row r="714" spans="2:6" ht="15.75" customHeight="1">
      <c r="B714" s="12"/>
      <c r="D714" s="159"/>
      <c r="E714" s="20"/>
      <c r="F714" s="154"/>
    </row>
    <row r="715" spans="2:6" ht="15.75" customHeight="1">
      <c r="B715" s="12"/>
      <c r="D715" s="159"/>
      <c r="E715" s="20"/>
      <c r="F715" s="154"/>
    </row>
    <row r="716" spans="2:6" ht="15.75" customHeight="1">
      <c r="B716" s="12"/>
      <c r="D716" s="159"/>
      <c r="E716" s="20"/>
      <c r="F716" s="154"/>
    </row>
    <row r="717" spans="2:6" ht="15.75" customHeight="1">
      <c r="B717" s="12"/>
      <c r="D717" s="159"/>
      <c r="E717" s="20"/>
      <c r="F717" s="154"/>
    </row>
    <row r="718" spans="2:6" ht="15.75" customHeight="1">
      <c r="B718" s="12"/>
      <c r="D718" s="159"/>
      <c r="E718" s="20"/>
      <c r="F718" s="154"/>
    </row>
    <row r="719" spans="2:6" ht="15.75" customHeight="1">
      <c r="B719" s="12"/>
      <c r="D719" s="159"/>
      <c r="E719" s="20"/>
      <c r="F719" s="154"/>
    </row>
    <row r="720" spans="2:6" ht="15.75" customHeight="1">
      <c r="B720" s="12"/>
      <c r="D720" s="159"/>
      <c r="E720" s="20"/>
      <c r="F720" s="154"/>
    </row>
    <row r="721" spans="2:6" ht="15.75" customHeight="1">
      <c r="B721" s="12"/>
      <c r="D721" s="159"/>
      <c r="E721" s="20"/>
      <c r="F721" s="154"/>
    </row>
    <row r="722" spans="2:6" ht="15.75" customHeight="1">
      <c r="B722" s="12"/>
      <c r="D722" s="159"/>
      <c r="E722" s="20"/>
      <c r="F722" s="154"/>
    </row>
    <row r="723" spans="2:6" ht="15.75" customHeight="1">
      <c r="B723" s="12"/>
      <c r="D723" s="159"/>
      <c r="E723" s="20"/>
      <c r="F723" s="154"/>
    </row>
    <row r="724" spans="2:6" ht="15.75" customHeight="1">
      <c r="B724" s="12"/>
      <c r="D724" s="159"/>
      <c r="E724" s="20"/>
      <c r="F724" s="154"/>
    </row>
    <row r="725" spans="2:6" ht="15.75" customHeight="1">
      <c r="B725" s="12"/>
      <c r="D725" s="159"/>
      <c r="E725" s="20"/>
      <c r="F725" s="154"/>
    </row>
    <row r="726" spans="2:6" ht="15.75" customHeight="1">
      <c r="B726" s="12"/>
      <c r="D726" s="159"/>
      <c r="E726" s="20"/>
      <c r="F726" s="154"/>
    </row>
    <row r="727" spans="2:6" ht="15.75" customHeight="1">
      <c r="B727" s="12"/>
      <c r="D727" s="159"/>
      <c r="E727" s="20"/>
      <c r="F727" s="154"/>
    </row>
    <row r="728" spans="2:6" ht="15.75" customHeight="1">
      <c r="B728" s="12"/>
      <c r="D728" s="159"/>
      <c r="E728" s="20"/>
      <c r="F728" s="154"/>
    </row>
    <row r="729" spans="2:6" ht="15.75" customHeight="1">
      <c r="B729" s="12"/>
      <c r="D729" s="159"/>
      <c r="E729" s="20"/>
      <c r="F729" s="154"/>
    </row>
    <row r="730" spans="2:6" ht="15.75" customHeight="1">
      <c r="B730" s="12"/>
      <c r="D730" s="159"/>
      <c r="E730" s="20"/>
      <c r="F730" s="154"/>
    </row>
    <row r="731" spans="2:6" ht="15.75" customHeight="1">
      <c r="B731" s="12"/>
      <c r="D731" s="159"/>
      <c r="E731" s="20"/>
      <c r="F731" s="154"/>
    </row>
    <row r="732" spans="2:6" ht="15.75" customHeight="1">
      <c r="B732" s="12"/>
      <c r="D732" s="159"/>
      <c r="E732" s="20"/>
      <c r="F732" s="154"/>
    </row>
    <row r="733" spans="2:6" ht="15.75" customHeight="1">
      <c r="B733" s="12"/>
      <c r="D733" s="159"/>
      <c r="E733" s="20"/>
      <c r="F733" s="154"/>
    </row>
    <row r="734" spans="2:6" ht="15.75" customHeight="1">
      <c r="B734" s="12"/>
      <c r="D734" s="159"/>
      <c r="E734" s="20"/>
      <c r="F734" s="154"/>
    </row>
    <row r="735" spans="2:6" ht="15.75" customHeight="1">
      <c r="B735" s="12"/>
      <c r="D735" s="159"/>
      <c r="E735" s="20"/>
      <c r="F735" s="154"/>
    </row>
    <row r="736" spans="2:6" ht="15.75" customHeight="1">
      <c r="B736" s="12"/>
      <c r="D736" s="159"/>
      <c r="E736" s="20"/>
      <c r="F736" s="154"/>
    </row>
    <row r="737" spans="2:6" ht="15.75" customHeight="1">
      <c r="B737" s="12"/>
      <c r="D737" s="159"/>
      <c r="E737" s="20"/>
      <c r="F737" s="154"/>
    </row>
    <row r="738" spans="2:6" ht="15.75" customHeight="1">
      <c r="B738" s="12"/>
      <c r="D738" s="159"/>
      <c r="E738" s="20"/>
      <c r="F738" s="154"/>
    </row>
    <row r="739" spans="2:6" ht="15.75" customHeight="1">
      <c r="B739" s="12"/>
      <c r="D739" s="159"/>
      <c r="E739" s="20"/>
      <c r="F739" s="154"/>
    </row>
    <row r="740" spans="2:6" ht="15.75" customHeight="1">
      <c r="B740" s="12"/>
      <c r="D740" s="159"/>
      <c r="E740" s="20"/>
      <c r="F740" s="154"/>
    </row>
    <row r="741" spans="2:6" ht="15.75" customHeight="1">
      <c r="B741" s="12"/>
      <c r="D741" s="159"/>
      <c r="E741" s="20"/>
      <c r="F741" s="154"/>
    </row>
    <row r="742" spans="2:6" ht="15.75" customHeight="1">
      <c r="B742" s="12"/>
      <c r="D742" s="159"/>
      <c r="E742" s="20"/>
      <c r="F742" s="154"/>
    </row>
    <row r="743" spans="2:6" ht="15.75" customHeight="1">
      <c r="B743" s="12"/>
      <c r="D743" s="159"/>
      <c r="E743" s="20"/>
      <c r="F743" s="154"/>
    </row>
    <row r="744" spans="2:6" ht="15.75" customHeight="1">
      <c r="B744" s="12"/>
      <c r="D744" s="159"/>
      <c r="E744" s="20"/>
      <c r="F744" s="154"/>
    </row>
    <row r="745" spans="2:6" ht="15.75" customHeight="1">
      <c r="B745" s="12"/>
      <c r="D745" s="159"/>
      <c r="E745" s="20"/>
      <c r="F745" s="154"/>
    </row>
    <row r="746" spans="2:6" ht="15.75" customHeight="1">
      <c r="B746" s="12"/>
      <c r="D746" s="159"/>
      <c r="E746" s="20"/>
      <c r="F746" s="154"/>
    </row>
    <row r="747" spans="2:6" ht="15.75" customHeight="1">
      <c r="B747" s="12"/>
      <c r="D747" s="159"/>
      <c r="E747" s="20"/>
      <c r="F747" s="154"/>
    </row>
    <row r="748" spans="2:6" ht="15.75" customHeight="1">
      <c r="B748" s="12"/>
      <c r="D748" s="159"/>
      <c r="E748" s="20"/>
      <c r="F748" s="154"/>
    </row>
    <row r="749" spans="2:6" ht="15.75" customHeight="1">
      <c r="B749" s="12"/>
      <c r="D749" s="159"/>
      <c r="E749" s="20"/>
      <c r="F749" s="154"/>
    </row>
    <row r="750" spans="2:6" ht="15.75" customHeight="1">
      <c r="B750" s="12"/>
      <c r="D750" s="159"/>
      <c r="E750" s="20"/>
      <c r="F750" s="154"/>
    </row>
    <row r="751" spans="2:6" ht="15.75" customHeight="1">
      <c r="B751" s="12"/>
      <c r="D751" s="159"/>
      <c r="E751" s="20"/>
      <c r="F751" s="154"/>
    </row>
    <row r="752" spans="2:6" ht="15.75" customHeight="1">
      <c r="B752" s="12"/>
      <c r="D752" s="159"/>
      <c r="E752" s="20"/>
      <c r="F752" s="154"/>
    </row>
    <row r="753" spans="2:6" ht="15.75" customHeight="1">
      <c r="B753" s="12"/>
      <c r="D753" s="159"/>
      <c r="E753" s="20"/>
      <c r="F753" s="154"/>
    </row>
    <row r="754" spans="2:6" ht="15.75" customHeight="1">
      <c r="B754" s="12"/>
      <c r="D754" s="159"/>
      <c r="E754" s="20"/>
      <c r="F754" s="154"/>
    </row>
    <row r="755" spans="2:6" ht="15.75" customHeight="1">
      <c r="B755" s="12"/>
      <c r="D755" s="159"/>
      <c r="E755" s="20"/>
      <c r="F755" s="154"/>
    </row>
    <row r="756" spans="2:6" ht="15.75" customHeight="1">
      <c r="B756" s="12"/>
      <c r="D756" s="159"/>
      <c r="E756" s="20"/>
      <c r="F756" s="154"/>
    </row>
    <row r="757" spans="2:6" ht="15.75" customHeight="1">
      <c r="B757" s="12"/>
      <c r="D757" s="159"/>
      <c r="E757" s="20"/>
      <c r="F757" s="154"/>
    </row>
    <row r="758" spans="2:6" ht="15.75" customHeight="1">
      <c r="B758" s="12"/>
      <c r="D758" s="159"/>
      <c r="E758" s="20"/>
      <c r="F758" s="154"/>
    </row>
    <row r="759" spans="2:6" ht="15.75" customHeight="1">
      <c r="B759" s="12"/>
      <c r="D759" s="159"/>
      <c r="E759" s="20"/>
      <c r="F759" s="154"/>
    </row>
    <row r="760" spans="2:6" ht="15.75" customHeight="1">
      <c r="B760" s="12"/>
      <c r="D760" s="159"/>
      <c r="E760" s="20"/>
      <c r="F760" s="154"/>
    </row>
    <row r="761" spans="2:6" ht="15.75" customHeight="1">
      <c r="B761" s="12"/>
      <c r="D761" s="159"/>
      <c r="E761" s="20"/>
      <c r="F761" s="154"/>
    </row>
    <row r="762" spans="2:6" ht="15.75" customHeight="1">
      <c r="B762" s="12"/>
      <c r="D762" s="159"/>
      <c r="E762" s="20"/>
      <c r="F762" s="154"/>
    </row>
    <row r="763" spans="2:6" ht="15.75" customHeight="1">
      <c r="B763" s="12"/>
      <c r="D763" s="159"/>
      <c r="E763" s="20"/>
      <c r="F763" s="154"/>
    </row>
    <row r="764" spans="2:6" ht="15.75" customHeight="1">
      <c r="B764" s="12"/>
      <c r="D764" s="159"/>
      <c r="E764" s="20"/>
      <c r="F764" s="154"/>
    </row>
    <row r="765" spans="2:6" ht="15.75" customHeight="1">
      <c r="B765" s="12"/>
      <c r="D765" s="159"/>
      <c r="E765" s="20"/>
      <c r="F765" s="154"/>
    </row>
    <row r="766" spans="2:6" ht="15.75" customHeight="1">
      <c r="B766" s="12"/>
      <c r="D766" s="159"/>
      <c r="E766" s="20"/>
      <c r="F766" s="154"/>
    </row>
    <row r="767" spans="2:6" ht="15.75" customHeight="1">
      <c r="B767" s="12"/>
      <c r="D767" s="159"/>
      <c r="E767" s="20"/>
      <c r="F767" s="154"/>
    </row>
    <row r="768" spans="2:6" ht="15.75" customHeight="1">
      <c r="B768" s="12"/>
      <c r="D768" s="159"/>
      <c r="E768" s="20"/>
      <c r="F768" s="154"/>
    </row>
    <row r="769" spans="2:6" ht="15.75" customHeight="1">
      <c r="B769" s="12"/>
      <c r="D769" s="159"/>
      <c r="E769" s="20"/>
      <c r="F769" s="154"/>
    </row>
    <row r="770" spans="2:6" ht="15.75" customHeight="1">
      <c r="B770" s="12"/>
      <c r="D770" s="159"/>
      <c r="E770" s="20"/>
      <c r="F770" s="154"/>
    </row>
    <row r="771" spans="2:6" ht="15.75" customHeight="1">
      <c r="B771" s="12"/>
      <c r="D771" s="159"/>
      <c r="E771" s="20"/>
      <c r="F771" s="154"/>
    </row>
    <row r="772" spans="2:6" ht="15.75" customHeight="1">
      <c r="B772" s="12"/>
      <c r="D772" s="159"/>
      <c r="E772" s="20"/>
      <c r="F772" s="154"/>
    </row>
    <row r="773" spans="2:6" ht="15.75" customHeight="1">
      <c r="B773" s="12"/>
      <c r="D773" s="159"/>
      <c r="E773" s="20"/>
      <c r="F773" s="154"/>
    </row>
    <row r="774" spans="2:6" ht="15.75" customHeight="1">
      <c r="B774" s="12"/>
      <c r="D774" s="159"/>
      <c r="E774" s="20"/>
      <c r="F774" s="154"/>
    </row>
    <row r="775" spans="2:6" ht="15.75" customHeight="1">
      <c r="B775" s="12"/>
      <c r="D775" s="159"/>
      <c r="E775" s="20"/>
      <c r="F775" s="154"/>
    </row>
    <row r="776" spans="2:6" ht="15.75" customHeight="1">
      <c r="B776" s="12"/>
      <c r="D776" s="159"/>
      <c r="E776" s="20"/>
      <c r="F776" s="154"/>
    </row>
    <row r="777" spans="2:6" ht="15.75" customHeight="1">
      <c r="B777" s="12"/>
      <c r="D777" s="159"/>
      <c r="E777" s="20"/>
      <c r="F777" s="154"/>
    </row>
    <row r="778" spans="2:6" ht="15.75" customHeight="1">
      <c r="B778" s="12"/>
      <c r="D778" s="159"/>
      <c r="E778" s="20"/>
      <c r="F778" s="154"/>
    </row>
    <row r="779" spans="2:6" ht="15.75" customHeight="1">
      <c r="B779" s="12"/>
      <c r="D779" s="159"/>
      <c r="E779" s="20"/>
      <c r="F779" s="154"/>
    </row>
    <row r="780" spans="2:6" ht="15.75" customHeight="1">
      <c r="B780" s="12"/>
      <c r="D780" s="159"/>
      <c r="E780" s="20"/>
      <c r="F780" s="154"/>
    </row>
    <row r="781" spans="2:6" ht="15.75" customHeight="1">
      <c r="B781" s="12"/>
      <c r="D781" s="159"/>
      <c r="E781" s="20"/>
      <c r="F781" s="154"/>
    </row>
    <row r="782" spans="2:6" ht="15.75" customHeight="1">
      <c r="B782" s="12"/>
      <c r="D782" s="159"/>
      <c r="E782" s="20"/>
      <c r="F782" s="154"/>
    </row>
    <row r="783" spans="2:6" ht="15.75" customHeight="1">
      <c r="B783" s="12"/>
      <c r="D783" s="159"/>
      <c r="E783" s="20"/>
      <c r="F783" s="154"/>
    </row>
    <row r="784" spans="2:6" ht="15.75" customHeight="1">
      <c r="B784" s="12"/>
      <c r="D784" s="159"/>
      <c r="E784" s="20"/>
      <c r="F784" s="154"/>
    </row>
    <row r="785" spans="2:6" ht="15.75" customHeight="1">
      <c r="B785" s="12"/>
      <c r="D785" s="159"/>
      <c r="E785" s="20"/>
      <c r="F785" s="154"/>
    </row>
    <row r="786" spans="2:6" ht="15.75" customHeight="1">
      <c r="B786" s="12"/>
      <c r="D786" s="159"/>
      <c r="E786" s="20"/>
      <c r="F786" s="154"/>
    </row>
    <row r="787" spans="2:6" ht="15.75" customHeight="1">
      <c r="B787" s="12"/>
      <c r="D787" s="159"/>
      <c r="E787" s="20"/>
      <c r="F787" s="154"/>
    </row>
    <row r="788" spans="2:6" ht="15.75" customHeight="1">
      <c r="B788" s="12"/>
      <c r="D788" s="159"/>
      <c r="E788" s="20"/>
      <c r="F788" s="154"/>
    </row>
    <row r="789" spans="2:6" ht="15.75" customHeight="1">
      <c r="B789" s="12"/>
      <c r="D789" s="159"/>
      <c r="E789" s="20"/>
      <c r="F789" s="154"/>
    </row>
    <row r="790" spans="2:6" ht="15.75" customHeight="1">
      <c r="B790" s="12"/>
      <c r="D790" s="159"/>
      <c r="E790" s="20"/>
      <c r="F790" s="154"/>
    </row>
    <row r="791" spans="2:6" ht="15.75" customHeight="1">
      <c r="B791" s="12"/>
      <c r="D791" s="159"/>
      <c r="E791" s="20"/>
      <c r="F791" s="154"/>
    </row>
    <row r="792" spans="2:6" ht="15.75" customHeight="1">
      <c r="B792" s="12"/>
      <c r="D792" s="159"/>
      <c r="E792" s="20"/>
      <c r="F792" s="154"/>
    </row>
    <row r="793" spans="2:6" ht="15.75" customHeight="1">
      <c r="B793" s="12"/>
      <c r="D793" s="159"/>
      <c r="E793" s="20"/>
      <c r="F793" s="154"/>
    </row>
    <row r="794" spans="2:6" ht="15.75" customHeight="1">
      <c r="B794" s="12"/>
      <c r="D794" s="159"/>
      <c r="E794" s="20"/>
      <c r="F794" s="154"/>
    </row>
    <row r="795" spans="2:6" ht="15.75" customHeight="1">
      <c r="B795" s="12"/>
      <c r="D795" s="159"/>
      <c r="E795" s="20"/>
      <c r="F795" s="154"/>
    </row>
    <row r="796" spans="2:6" ht="15.75" customHeight="1">
      <c r="B796" s="12"/>
      <c r="D796" s="159"/>
      <c r="E796" s="20"/>
      <c r="F796" s="154"/>
    </row>
    <row r="797" spans="2:6" ht="15.75" customHeight="1">
      <c r="B797" s="12"/>
      <c r="D797" s="159"/>
      <c r="E797" s="20"/>
      <c r="F797" s="154"/>
    </row>
    <row r="798" spans="2:6" ht="15.75" customHeight="1">
      <c r="B798" s="12"/>
      <c r="D798" s="159"/>
      <c r="E798" s="20"/>
      <c r="F798" s="154"/>
    </row>
    <row r="799" spans="2:6" ht="15.75" customHeight="1">
      <c r="B799" s="12"/>
      <c r="D799" s="159"/>
      <c r="E799" s="20"/>
      <c r="F799" s="154"/>
    </row>
    <row r="800" spans="2:6" ht="15.75" customHeight="1">
      <c r="B800" s="12"/>
      <c r="D800" s="159"/>
      <c r="E800" s="20"/>
      <c r="F800" s="154"/>
    </row>
    <row r="801" spans="2:6" ht="15.75" customHeight="1">
      <c r="B801" s="12"/>
      <c r="D801" s="159"/>
      <c r="E801" s="20"/>
      <c r="F801" s="154"/>
    </row>
    <row r="802" spans="2:6" ht="15.75" customHeight="1">
      <c r="B802" s="12"/>
      <c r="D802" s="159"/>
      <c r="E802" s="20"/>
      <c r="F802" s="154"/>
    </row>
    <row r="803" spans="2:6" ht="15.75" customHeight="1">
      <c r="B803" s="12"/>
      <c r="D803" s="159"/>
      <c r="E803" s="20"/>
      <c r="F803" s="154"/>
    </row>
    <row r="804" spans="2:6" ht="15.75" customHeight="1">
      <c r="B804" s="12"/>
      <c r="D804" s="159"/>
      <c r="E804" s="20"/>
      <c r="F804" s="154"/>
    </row>
    <row r="805" spans="2:6" ht="15.75" customHeight="1">
      <c r="B805" s="12"/>
      <c r="D805" s="159"/>
      <c r="E805" s="20"/>
      <c r="F805" s="154"/>
    </row>
    <row r="806" spans="2:6" ht="15.75" customHeight="1">
      <c r="B806" s="12"/>
      <c r="D806" s="159"/>
      <c r="E806" s="20"/>
      <c r="F806" s="154"/>
    </row>
    <row r="807" spans="2:6" ht="15.75" customHeight="1">
      <c r="B807" s="12"/>
      <c r="D807" s="159"/>
      <c r="E807" s="20"/>
      <c r="F807" s="154"/>
    </row>
    <row r="808" spans="2:6" ht="15.75" customHeight="1">
      <c r="B808" s="12"/>
      <c r="D808" s="159"/>
      <c r="E808" s="20"/>
      <c r="F808" s="154"/>
    </row>
    <row r="809" spans="2:6" ht="15.75" customHeight="1">
      <c r="B809" s="12"/>
      <c r="D809" s="159"/>
      <c r="E809" s="20"/>
      <c r="F809" s="154"/>
    </row>
    <row r="810" spans="2:6" ht="15.75" customHeight="1">
      <c r="B810" s="12"/>
      <c r="D810" s="159"/>
      <c r="E810" s="20"/>
      <c r="F810" s="154"/>
    </row>
    <row r="811" spans="2:6" ht="15.75" customHeight="1">
      <c r="B811" s="12"/>
      <c r="D811" s="159"/>
      <c r="E811" s="20"/>
      <c r="F811" s="154"/>
    </row>
    <row r="812" spans="2:6" ht="15.75" customHeight="1">
      <c r="B812" s="12"/>
      <c r="D812" s="159"/>
      <c r="E812" s="20"/>
      <c r="F812" s="154"/>
    </row>
    <row r="813" spans="2:6" ht="15.75" customHeight="1">
      <c r="B813" s="12"/>
      <c r="D813" s="159"/>
      <c r="E813" s="20"/>
      <c r="F813" s="154"/>
    </row>
    <row r="814" spans="2:6" ht="15.75" customHeight="1">
      <c r="B814" s="12"/>
      <c r="D814" s="159"/>
      <c r="E814" s="20"/>
      <c r="F814" s="154"/>
    </row>
    <row r="815" spans="2:6" ht="15.75" customHeight="1">
      <c r="B815" s="12"/>
      <c r="D815" s="159"/>
      <c r="E815" s="20"/>
      <c r="F815" s="154"/>
    </row>
    <row r="816" spans="2:6" ht="15.75" customHeight="1">
      <c r="B816" s="12"/>
      <c r="D816" s="159"/>
      <c r="E816" s="20"/>
      <c r="F816" s="154"/>
    </row>
    <row r="817" spans="2:6" ht="15.75" customHeight="1">
      <c r="B817" s="12"/>
      <c r="D817" s="159"/>
      <c r="E817" s="20"/>
      <c r="F817" s="154"/>
    </row>
    <row r="818" spans="2:6" ht="15.75" customHeight="1">
      <c r="B818" s="12"/>
      <c r="D818" s="159"/>
      <c r="E818" s="20"/>
      <c r="F818" s="154"/>
    </row>
    <row r="819" spans="2:6" ht="15.75" customHeight="1">
      <c r="B819" s="12"/>
      <c r="D819" s="159"/>
      <c r="E819" s="20"/>
      <c r="F819" s="154"/>
    </row>
    <row r="820" spans="2:6" ht="15.75" customHeight="1">
      <c r="B820" s="12"/>
      <c r="D820" s="159"/>
      <c r="E820" s="20"/>
      <c r="F820" s="154"/>
    </row>
    <row r="821" spans="2:6" ht="15.75" customHeight="1">
      <c r="B821" s="12"/>
      <c r="D821" s="159"/>
      <c r="E821" s="20"/>
      <c r="F821" s="154"/>
    </row>
    <row r="822" spans="2:6" ht="15.75" customHeight="1">
      <c r="B822" s="12"/>
      <c r="D822" s="159"/>
      <c r="E822" s="20"/>
      <c r="F822" s="154"/>
    </row>
    <row r="823" spans="2:6" ht="15.75" customHeight="1">
      <c r="B823" s="12"/>
      <c r="D823" s="159"/>
      <c r="E823" s="20"/>
      <c r="F823" s="154"/>
    </row>
    <row r="824" spans="2:6" ht="15.75" customHeight="1">
      <c r="B824" s="12"/>
      <c r="D824" s="159"/>
      <c r="E824" s="20"/>
      <c r="F824" s="154"/>
    </row>
    <row r="825" spans="2:6" ht="15.75" customHeight="1">
      <c r="B825" s="12"/>
      <c r="D825" s="159"/>
      <c r="E825" s="20"/>
      <c r="F825" s="154"/>
    </row>
    <row r="826" spans="2:6" ht="15.75" customHeight="1">
      <c r="B826" s="12"/>
      <c r="D826" s="159"/>
      <c r="E826" s="20"/>
      <c r="F826" s="154"/>
    </row>
    <row r="827" spans="2:6" ht="15.75" customHeight="1">
      <c r="B827" s="12"/>
      <c r="D827" s="159"/>
      <c r="E827" s="20"/>
      <c r="F827" s="154"/>
    </row>
    <row r="828" spans="2:6" ht="15.75" customHeight="1">
      <c r="B828" s="12"/>
      <c r="D828" s="159"/>
      <c r="E828" s="20"/>
      <c r="F828" s="154"/>
    </row>
    <row r="829" spans="2:6" ht="15.75" customHeight="1">
      <c r="B829" s="12"/>
      <c r="D829" s="159"/>
      <c r="E829" s="20"/>
      <c r="F829" s="154"/>
    </row>
    <row r="830" spans="2:6" ht="15.75" customHeight="1">
      <c r="B830" s="12"/>
      <c r="D830" s="159"/>
      <c r="E830" s="20"/>
      <c r="F830" s="154"/>
    </row>
    <row r="831" spans="2:6" ht="15.75" customHeight="1">
      <c r="B831" s="12"/>
      <c r="D831" s="159"/>
      <c r="E831" s="20"/>
      <c r="F831" s="154"/>
    </row>
    <row r="832" spans="2:6" ht="15.75" customHeight="1">
      <c r="B832" s="12"/>
      <c r="D832" s="159"/>
      <c r="E832" s="20"/>
      <c r="F832" s="154"/>
    </row>
    <row r="833" spans="2:6" ht="15.75" customHeight="1">
      <c r="B833" s="12"/>
      <c r="D833" s="159"/>
      <c r="E833" s="20"/>
      <c r="F833" s="154"/>
    </row>
    <row r="834" spans="2:6" ht="15.75" customHeight="1">
      <c r="B834" s="12"/>
      <c r="D834" s="159"/>
      <c r="E834" s="20"/>
      <c r="F834" s="154"/>
    </row>
    <row r="835" spans="2:6" ht="15.75" customHeight="1">
      <c r="B835" s="12"/>
      <c r="D835" s="159"/>
      <c r="E835" s="20"/>
      <c r="F835" s="154"/>
    </row>
    <row r="836" spans="2:6" ht="15.75" customHeight="1">
      <c r="B836" s="12"/>
      <c r="D836" s="159"/>
      <c r="E836" s="20"/>
      <c r="F836" s="154"/>
    </row>
    <row r="837" spans="2:6" ht="15.75" customHeight="1">
      <c r="B837" s="12"/>
      <c r="D837" s="159"/>
      <c r="E837" s="20"/>
      <c r="F837" s="154"/>
    </row>
    <row r="838" spans="2:6" ht="15.75" customHeight="1">
      <c r="B838" s="12"/>
      <c r="D838" s="159"/>
      <c r="E838" s="20"/>
      <c r="F838" s="154"/>
    </row>
    <row r="839" spans="2:6" ht="15.75" customHeight="1">
      <c r="B839" s="12"/>
      <c r="D839" s="159"/>
      <c r="E839" s="20"/>
      <c r="F839" s="154"/>
    </row>
    <row r="840" spans="2:6" ht="15.75" customHeight="1">
      <c r="B840" s="12"/>
      <c r="D840" s="159"/>
      <c r="E840" s="20"/>
      <c r="F840" s="154"/>
    </row>
    <row r="841" spans="2:6" ht="15.75" customHeight="1">
      <c r="B841" s="12"/>
      <c r="D841" s="159"/>
      <c r="E841" s="20"/>
      <c r="F841" s="154"/>
    </row>
    <row r="842" spans="2:6" ht="15.75" customHeight="1">
      <c r="B842" s="12"/>
      <c r="D842" s="159"/>
      <c r="E842" s="20"/>
      <c r="F842" s="154"/>
    </row>
    <row r="843" spans="2:6" ht="15.75" customHeight="1">
      <c r="B843" s="12"/>
      <c r="D843" s="159"/>
      <c r="E843" s="20"/>
      <c r="F843" s="154"/>
    </row>
    <row r="844" spans="2:6" ht="15.75" customHeight="1">
      <c r="B844" s="12"/>
      <c r="D844" s="159"/>
      <c r="E844" s="20"/>
      <c r="F844" s="154"/>
    </row>
    <row r="845" spans="2:6" ht="15.75" customHeight="1">
      <c r="B845" s="12"/>
      <c r="D845" s="159"/>
      <c r="E845" s="20"/>
      <c r="F845" s="154"/>
    </row>
    <row r="846" spans="2:6" ht="15.75" customHeight="1">
      <c r="B846" s="12"/>
      <c r="D846" s="159"/>
      <c r="E846" s="20"/>
      <c r="F846" s="154"/>
    </row>
    <row r="847" spans="2:6" ht="15.75" customHeight="1">
      <c r="B847" s="12"/>
      <c r="D847" s="159"/>
      <c r="E847" s="20"/>
      <c r="F847" s="154"/>
    </row>
    <row r="848" spans="2:6" ht="15.75" customHeight="1">
      <c r="B848" s="12"/>
      <c r="D848" s="159"/>
      <c r="E848" s="20"/>
      <c r="F848" s="154"/>
    </row>
    <row r="849" spans="2:6" ht="15.75" customHeight="1">
      <c r="B849" s="12"/>
      <c r="D849" s="159"/>
      <c r="E849" s="20"/>
      <c r="F849" s="154"/>
    </row>
    <row r="850" spans="2:6" ht="15.75" customHeight="1">
      <c r="B850" s="12"/>
      <c r="D850" s="159"/>
      <c r="E850" s="20"/>
      <c r="F850" s="154"/>
    </row>
    <row r="851" spans="2:6" ht="15.75" customHeight="1">
      <c r="B851" s="12"/>
      <c r="D851" s="159"/>
      <c r="E851" s="20"/>
      <c r="F851" s="154"/>
    </row>
    <row r="852" spans="2:6" ht="15.75" customHeight="1">
      <c r="B852" s="12"/>
      <c r="D852" s="159"/>
      <c r="E852" s="20"/>
      <c r="F852" s="154"/>
    </row>
    <row r="853" spans="2:6" ht="15.75" customHeight="1">
      <c r="B853" s="12"/>
      <c r="D853" s="159"/>
      <c r="E853" s="20"/>
      <c r="F853" s="154"/>
    </row>
    <row r="854" spans="2:6" ht="15.75" customHeight="1">
      <c r="B854" s="12"/>
      <c r="D854" s="159"/>
      <c r="E854" s="20"/>
      <c r="F854" s="154"/>
    </row>
    <row r="855" spans="2:6" ht="15.75" customHeight="1">
      <c r="B855" s="12"/>
      <c r="D855" s="159"/>
      <c r="E855" s="20"/>
      <c r="F855" s="154"/>
    </row>
    <row r="856" spans="2:6" ht="15.75" customHeight="1">
      <c r="B856" s="12"/>
      <c r="D856" s="159"/>
      <c r="E856" s="20"/>
      <c r="F856" s="154"/>
    </row>
    <row r="857" spans="2:6" ht="15.75" customHeight="1">
      <c r="B857" s="12"/>
      <c r="D857" s="159"/>
      <c r="E857" s="20"/>
      <c r="F857" s="154"/>
    </row>
    <row r="858" spans="2:6" ht="15.75" customHeight="1">
      <c r="B858" s="12"/>
      <c r="D858" s="159"/>
      <c r="E858" s="20"/>
      <c r="F858" s="154"/>
    </row>
    <row r="859" spans="2:6" ht="15.75" customHeight="1">
      <c r="B859" s="12"/>
      <c r="D859" s="159"/>
      <c r="E859" s="20"/>
      <c r="F859" s="154"/>
    </row>
    <row r="860" spans="2:6" ht="15.75" customHeight="1">
      <c r="B860" s="12"/>
      <c r="D860" s="159"/>
      <c r="E860" s="20"/>
      <c r="F860" s="154"/>
    </row>
    <row r="861" spans="2:6" ht="15.75" customHeight="1">
      <c r="B861" s="12"/>
      <c r="D861" s="159"/>
      <c r="E861" s="20"/>
      <c r="F861" s="154"/>
    </row>
    <row r="862" spans="2:6" ht="15.75" customHeight="1">
      <c r="B862" s="12"/>
      <c r="D862" s="159"/>
      <c r="E862" s="20"/>
      <c r="F862" s="154"/>
    </row>
    <row r="863" spans="2:6" ht="15.75" customHeight="1">
      <c r="B863" s="12"/>
      <c r="D863" s="159"/>
      <c r="E863" s="20"/>
      <c r="F863" s="154"/>
    </row>
    <row r="864" spans="2:6" ht="15.75" customHeight="1">
      <c r="B864" s="12"/>
      <c r="D864" s="159"/>
      <c r="E864" s="20"/>
      <c r="F864" s="154"/>
    </row>
    <row r="865" spans="2:6" ht="15.75" customHeight="1">
      <c r="B865" s="12"/>
      <c r="D865" s="159"/>
      <c r="E865" s="20"/>
      <c r="F865" s="154"/>
    </row>
    <row r="866" spans="2:6" ht="15.75" customHeight="1">
      <c r="B866" s="12"/>
      <c r="D866" s="159"/>
      <c r="E866" s="20"/>
      <c r="F866" s="154"/>
    </row>
    <row r="867" spans="2:6" ht="15.75" customHeight="1">
      <c r="B867" s="12"/>
      <c r="D867" s="159"/>
      <c r="E867" s="20"/>
      <c r="F867" s="154"/>
    </row>
    <row r="868" spans="2:6" ht="15.75" customHeight="1">
      <c r="B868" s="12"/>
      <c r="D868" s="159"/>
      <c r="E868" s="20"/>
      <c r="F868" s="154"/>
    </row>
    <row r="869" spans="2:6" ht="15.75" customHeight="1">
      <c r="B869" s="12"/>
      <c r="D869" s="159"/>
      <c r="E869" s="20"/>
      <c r="F869" s="154"/>
    </row>
    <row r="870" spans="2:6" ht="15.75" customHeight="1">
      <c r="B870" s="12"/>
      <c r="D870" s="159"/>
      <c r="E870" s="20"/>
      <c r="F870" s="154"/>
    </row>
    <row r="871" spans="2:6" ht="15.75" customHeight="1">
      <c r="B871" s="12"/>
      <c r="D871" s="159"/>
      <c r="E871" s="20"/>
      <c r="F871" s="154"/>
    </row>
    <row r="872" spans="2:6" ht="15.75" customHeight="1">
      <c r="B872" s="12"/>
      <c r="D872" s="159"/>
      <c r="E872" s="20"/>
      <c r="F872" s="154"/>
    </row>
    <row r="873" spans="2:6" ht="15.75" customHeight="1">
      <c r="B873" s="12"/>
      <c r="D873" s="159"/>
      <c r="E873" s="20"/>
      <c r="F873" s="154"/>
    </row>
    <row r="874" spans="2:6" ht="15.75" customHeight="1">
      <c r="B874" s="12"/>
      <c r="D874" s="159"/>
      <c r="E874" s="20"/>
      <c r="F874" s="154"/>
    </row>
    <row r="875" spans="2:6" ht="15.75" customHeight="1">
      <c r="B875" s="12"/>
      <c r="D875" s="159"/>
      <c r="E875" s="20"/>
      <c r="F875" s="154"/>
    </row>
    <row r="876" spans="2:6" ht="15.75" customHeight="1">
      <c r="B876" s="12"/>
      <c r="D876" s="159"/>
      <c r="E876" s="20"/>
      <c r="F876" s="154"/>
    </row>
    <row r="877" spans="2:6" ht="15.75" customHeight="1">
      <c r="B877" s="12"/>
      <c r="D877" s="159"/>
      <c r="E877" s="20"/>
      <c r="F877" s="154"/>
    </row>
    <row r="878" spans="2:6" ht="15.75" customHeight="1">
      <c r="B878" s="12"/>
      <c r="D878" s="159"/>
      <c r="E878" s="20"/>
      <c r="F878" s="154"/>
    </row>
    <row r="879" spans="2:6" ht="15.75" customHeight="1">
      <c r="B879" s="12"/>
      <c r="D879" s="159"/>
      <c r="E879" s="20"/>
      <c r="F879" s="154"/>
    </row>
    <row r="880" spans="2:6" ht="15.75" customHeight="1">
      <c r="B880" s="12"/>
      <c r="D880" s="159"/>
      <c r="E880" s="20"/>
      <c r="F880" s="154"/>
    </row>
    <row r="881" spans="2:6" ht="15.75" customHeight="1">
      <c r="B881" s="12"/>
      <c r="D881" s="159"/>
      <c r="E881" s="20"/>
      <c r="F881" s="154"/>
    </row>
    <row r="882" spans="2:6" ht="15.75" customHeight="1">
      <c r="B882" s="12"/>
      <c r="D882" s="159"/>
      <c r="E882" s="20"/>
      <c r="F882" s="154"/>
    </row>
    <row r="883" spans="2:6" ht="15.75" customHeight="1">
      <c r="B883" s="12"/>
      <c r="D883" s="159"/>
      <c r="E883" s="20"/>
      <c r="F883" s="154"/>
    </row>
    <row r="884" spans="2:6" ht="15.75" customHeight="1">
      <c r="B884" s="12"/>
      <c r="D884" s="159"/>
      <c r="E884" s="20"/>
      <c r="F884" s="154"/>
    </row>
    <row r="885" spans="2:6" ht="15.75" customHeight="1">
      <c r="B885" s="12"/>
      <c r="D885" s="159"/>
      <c r="E885" s="20"/>
      <c r="F885" s="154"/>
    </row>
    <row r="886" spans="2:6" ht="15.75" customHeight="1">
      <c r="B886" s="12"/>
      <c r="D886" s="159"/>
      <c r="E886" s="20"/>
      <c r="F886" s="154"/>
    </row>
    <row r="887" spans="2:6" ht="15.75" customHeight="1">
      <c r="B887" s="12"/>
      <c r="D887" s="159"/>
      <c r="E887" s="20"/>
      <c r="F887" s="154"/>
    </row>
    <row r="888" spans="2:6" ht="15.75" customHeight="1">
      <c r="B888" s="12"/>
      <c r="D888" s="159"/>
      <c r="E888" s="20"/>
      <c r="F888" s="154"/>
    </row>
    <row r="889" spans="2:6" ht="15.75" customHeight="1">
      <c r="B889" s="12"/>
      <c r="D889" s="159"/>
      <c r="E889" s="20"/>
      <c r="F889" s="154"/>
    </row>
    <row r="890" spans="2:6" ht="15.75" customHeight="1">
      <c r="B890" s="12"/>
      <c r="D890" s="159"/>
      <c r="E890" s="20"/>
      <c r="F890" s="154"/>
    </row>
    <row r="891" spans="2:6" ht="15.75" customHeight="1">
      <c r="B891" s="12"/>
      <c r="D891" s="159"/>
      <c r="E891" s="20"/>
      <c r="F891" s="154"/>
    </row>
    <row r="892" spans="2:6" ht="15.75" customHeight="1">
      <c r="B892" s="12"/>
      <c r="D892" s="159"/>
      <c r="E892" s="20"/>
      <c r="F892" s="154"/>
    </row>
    <row r="893" spans="2:6" ht="15.75" customHeight="1">
      <c r="B893" s="12"/>
      <c r="D893" s="159"/>
      <c r="E893" s="20"/>
      <c r="F893" s="154"/>
    </row>
    <row r="894" spans="2:6" ht="15.75" customHeight="1">
      <c r="B894" s="12"/>
      <c r="D894" s="159"/>
      <c r="E894" s="20"/>
      <c r="F894" s="154"/>
    </row>
    <row r="895" spans="2:6" ht="15.75" customHeight="1">
      <c r="B895" s="12"/>
      <c r="D895" s="159"/>
      <c r="E895" s="20"/>
      <c r="F895" s="154"/>
    </row>
    <row r="896" spans="2:6" ht="15.75" customHeight="1">
      <c r="B896" s="12"/>
      <c r="D896" s="159"/>
      <c r="E896" s="20"/>
      <c r="F896" s="154"/>
    </row>
    <row r="897" spans="2:6" ht="15.75" customHeight="1">
      <c r="B897" s="12"/>
      <c r="D897" s="159"/>
      <c r="E897" s="20"/>
      <c r="F897" s="154"/>
    </row>
    <row r="898" spans="2:6" ht="15.75" customHeight="1">
      <c r="B898" s="12"/>
      <c r="D898" s="159"/>
      <c r="E898" s="20"/>
      <c r="F898" s="154"/>
    </row>
    <row r="899" spans="2:6" ht="15.75" customHeight="1">
      <c r="B899" s="12"/>
      <c r="D899" s="159"/>
      <c r="E899" s="20"/>
      <c r="F899" s="154"/>
    </row>
    <row r="900" spans="2:6" ht="15.75" customHeight="1">
      <c r="B900" s="12"/>
      <c r="D900" s="159"/>
      <c r="E900" s="20"/>
      <c r="F900" s="154"/>
    </row>
    <row r="901" spans="2:6" ht="15.75" customHeight="1">
      <c r="B901" s="12"/>
      <c r="D901" s="159"/>
      <c r="E901" s="20"/>
      <c r="F901" s="154"/>
    </row>
    <row r="902" spans="2:6" ht="15.75" customHeight="1">
      <c r="B902" s="12"/>
      <c r="D902" s="159"/>
      <c r="E902" s="20"/>
      <c r="F902" s="154"/>
    </row>
    <row r="903" spans="2:6" ht="15.75" customHeight="1">
      <c r="B903" s="12"/>
      <c r="D903" s="159"/>
      <c r="E903" s="20"/>
      <c r="F903" s="154"/>
    </row>
    <row r="904" spans="2:6" ht="15.75" customHeight="1">
      <c r="B904" s="12"/>
      <c r="D904" s="159"/>
      <c r="E904" s="20"/>
      <c r="F904" s="154"/>
    </row>
    <row r="905" spans="2:6" ht="15.75" customHeight="1">
      <c r="B905" s="12"/>
      <c r="D905" s="159"/>
      <c r="E905" s="20"/>
      <c r="F905" s="154"/>
    </row>
    <row r="906" spans="2:6" ht="15.75" customHeight="1">
      <c r="B906" s="12"/>
      <c r="D906" s="159"/>
      <c r="E906" s="20"/>
      <c r="F906" s="154"/>
    </row>
    <row r="907" spans="2:6" ht="15.75" customHeight="1">
      <c r="B907" s="12"/>
      <c r="D907" s="159"/>
      <c r="E907" s="20"/>
      <c r="F907" s="154"/>
    </row>
    <row r="908" spans="2:6" ht="15.75" customHeight="1">
      <c r="B908" s="12"/>
      <c r="D908" s="159"/>
      <c r="E908" s="20"/>
      <c r="F908" s="154"/>
    </row>
    <row r="909" spans="2:6" ht="15.75" customHeight="1">
      <c r="B909" s="12"/>
      <c r="D909" s="159"/>
      <c r="E909" s="20"/>
      <c r="F909" s="154"/>
    </row>
    <row r="910" spans="2:6" ht="15.75" customHeight="1">
      <c r="B910" s="12"/>
      <c r="D910" s="159"/>
      <c r="E910" s="20"/>
      <c r="F910" s="154"/>
    </row>
    <row r="911" spans="2:6" ht="15.75" customHeight="1">
      <c r="B911" s="12"/>
      <c r="D911" s="159"/>
      <c r="E911" s="20"/>
      <c r="F911" s="154"/>
    </row>
    <row r="912" spans="2:6" ht="15.75" customHeight="1">
      <c r="B912" s="12"/>
      <c r="D912" s="159"/>
      <c r="E912" s="20"/>
      <c r="F912" s="154"/>
    </row>
    <row r="913" spans="2:6" ht="15.75" customHeight="1">
      <c r="B913" s="12"/>
      <c r="D913" s="159"/>
      <c r="E913" s="20"/>
      <c r="F913" s="154"/>
    </row>
    <row r="914" spans="2:6" ht="15.75" customHeight="1">
      <c r="B914" s="12"/>
      <c r="D914" s="159"/>
      <c r="E914" s="20"/>
      <c r="F914" s="154"/>
    </row>
    <row r="915" spans="2:6" ht="15.75" customHeight="1">
      <c r="B915" s="12"/>
      <c r="D915" s="159"/>
      <c r="E915" s="20"/>
      <c r="F915" s="154"/>
    </row>
    <row r="916" spans="2:6" ht="15.75" customHeight="1">
      <c r="B916" s="12"/>
      <c r="D916" s="159"/>
      <c r="E916" s="20"/>
      <c r="F916" s="154"/>
    </row>
    <row r="917" spans="2:6" ht="15.75" customHeight="1">
      <c r="B917" s="12"/>
      <c r="D917" s="159"/>
      <c r="E917" s="20"/>
      <c r="F917" s="154"/>
    </row>
    <row r="918" spans="2:6" ht="15.75" customHeight="1">
      <c r="B918" s="12"/>
      <c r="D918" s="159"/>
      <c r="E918" s="20"/>
      <c r="F918" s="154"/>
    </row>
    <row r="919" spans="2:6" ht="15.75" customHeight="1">
      <c r="B919" s="12"/>
      <c r="D919" s="159"/>
      <c r="E919" s="20"/>
      <c r="F919" s="154"/>
    </row>
    <row r="920" spans="2:6" ht="15.75" customHeight="1">
      <c r="B920" s="12"/>
      <c r="D920" s="159"/>
      <c r="E920" s="20"/>
      <c r="F920" s="154"/>
    </row>
    <row r="921" spans="2:6" ht="15.75" customHeight="1">
      <c r="B921" s="12"/>
      <c r="D921" s="159"/>
      <c r="E921" s="20"/>
      <c r="F921" s="154"/>
    </row>
    <row r="922" spans="2:6" ht="15.75" customHeight="1">
      <c r="B922" s="12"/>
      <c r="D922" s="159"/>
      <c r="E922" s="20"/>
      <c r="F922" s="154"/>
    </row>
    <row r="923" spans="2:6" ht="15.75" customHeight="1">
      <c r="B923" s="12"/>
      <c r="D923" s="159"/>
      <c r="E923" s="20"/>
      <c r="F923" s="154"/>
    </row>
    <row r="924" spans="2:6" ht="15.75" customHeight="1">
      <c r="B924" s="12"/>
      <c r="D924" s="159"/>
      <c r="E924" s="20"/>
      <c r="F924" s="154"/>
    </row>
    <row r="925" spans="2:6" ht="15.75" customHeight="1">
      <c r="B925" s="12"/>
      <c r="D925" s="159"/>
      <c r="E925" s="20"/>
      <c r="F925" s="154"/>
    </row>
    <row r="926" spans="2:6" ht="15.75" customHeight="1">
      <c r="B926" s="12"/>
      <c r="D926" s="159"/>
      <c r="E926" s="20"/>
      <c r="F926" s="154"/>
    </row>
    <row r="927" spans="2:6" ht="15.75" customHeight="1">
      <c r="B927" s="12"/>
      <c r="D927" s="159"/>
      <c r="E927" s="20"/>
      <c r="F927" s="154"/>
    </row>
    <row r="928" spans="2:6" ht="15.75" customHeight="1">
      <c r="B928" s="12"/>
      <c r="D928" s="159"/>
      <c r="E928" s="20"/>
      <c r="F928" s="154"/>
    </row>
    <row r="929" spans="2:6" ht="15.75" customHeight="1">
      <c r="B929" s="12"/>
      <c r="D929" s="159"/>
      <c r="E929" s="20"/>
      <c r="F929" s="154"/>
    </row>
    <row r="930" spans="2:6" ht="15.75" customHeight="1">
      <c r="B930" s="12"/>
      <c r="D930" s="159"/>
      <c r="E930" s="20"/>
      <c r="F930" s="154"/>
    </row>
    <row r="931" spans="2:6" ht="15.75" customHeight="1">
      <c r="B931" s="12"/>
      <c r="D931" s="159"/>
      <c r="E931" s="20"/>
      <c r="F931" s="154"/>
    </row>
    <row r="932" spans="2:6" ht="15.75" customHeight="1">
      <c r="B932" s="12"/>
      <c r="D932" s="159"/>
      <c r="E932" s="20"/>
      <c r="F932" s="154"/>
    </row>
    <row r="933" spans="2:6" ht="15.75" customHeight="1">
      <c r="B933" s="12"/>
      <c r="D933" s="159"/>
      <c r="E933" s="20"/>
      <c r="F933" s="154"/>
    </row>
    <row r="934" spans="2:6" ht="15.75" customHeight="1">
      <c r="B934" s="12"/>
      <c r="D934" s="159"/>
      <c r="E934" s="20"/>
      <c r="F934" s="154"/>
    </row>
    <row r="935" spans="2:6" ht="15.75" customHeight="1">
      <c r="B935" s="12"/>
      <c r="D935" s="159"/>
      <c r="E935" s="20"/>
      <c r="F935" s="154"/>
    </row>
    <row r="936" spans="2:6" ht="15.75" customHeight="1">
      <c r="B936" s="12"/>
      <c r="D936" s="159"/>
      <c r="E936" s="20"/>
      <c r="F936" s="154"/>
    </row>
    <row r="937" spans="2:6" ht="15.75" customHeight="1">
      <c r="B937" s="12"/>
      <c r="D937" s="159"/>
      <c r="E937" s="20"/>
      <c r="F937" s="154"/>
    </row>
    <row r="938" spans="2:6" ht="15.75" customHeight="1">
      <c r="B938" s="12"/>
      <c r="D938" s="159"/>
      <c r="E938" s="20"/>
      <c r="F938" s="154"/>
    </row>
    <row r="939" spans="2:6" ht="15.75" customHeight="1">
      <c r="B939" s="12"/>
      <c r="D939" s="159"/>
      <c r="E939" s="20"/>
      <c r="F939" s="154"/>
    </row>
    <row r="940" spans="2:6" ht="15.75" customHeight="1">
      <c r="B940" s="12"/>
      <c r="D940" s="159"/>
      <c r="E940" s="20"/>
      <c r="F940" s="154"/>
    </row>
    <row r="941" spans="2:6" ht="15.75" customHeight="1">
      <c r="B941" s="12"/>
      <c r="D941" s="159"/>
      <c r="E941" s="20"/>
      <c r="F941" s="154"/>
    </row>
    <row r="942" spans="2:6" ht="15.75" customHeight="1">
      <c r="B942" s="12"/>
      <c r="D942" s="159"/>
      <c r="E942" s="20"/>
      <c r="F942" s="154"/>
    </row>
    <row r="943" spans="2:6" ht="15.75" customHeight="1">
      <c r="B943" s="12"/>
      <c r="D943" s="159"/>
      <c r="E943" s="20"/>
      <c r="F943" s="154"/>
    </row>
    <row r="944" spans="2:6" ht="15.75" customHeight="1">
      <c r="B944" s="12"/>
      <c r="D944" s="159"/>
      <c r="E944" s="20"/>
      <c r="F944" s="154"/>
    </row>
    <row r="945" spans="2:6" ht="15.75" customHeight="1">
      <c r="B945" s="12"/>
      <c r="D945" s="159"/>
      <c r="E945" s="20"/>
      <c r="F945" s="154"/>
    </row>
    <row r="946" spans="2:6" ht="15.75" customHeight="1">
      <c r="B946" s="12"/>
      <c r="D946" s="159"/>
      <c r="E946" s="20"/>
      <c r="F946" s="154"/>
    </row>
    <row r="947" spans="2:6" ht="15.75" customHeight="1">
      <c r="B947" s="12"/>
      <c r="D947" s="159"/>
      <c r="E947" s="20"/>
      <c r="F947" s="154"/>
    </row>
    <row r="948" spans="2:6" ht="15.75" customHeight="1">
      <c r="B948" s="12"/>
      <c r="D948" s="159"/>
      <c r="E948" s="20"/>
      <c r="F948" s="154"/>
    </row>
    <row r="949" spans="2:6" ht="15.75" customHeight="1">
      <c r="B949" s="12"/>
      <c r="D949" s="159"/>
      <c r="E949" s="20"/>
      <c r="F949" s="154"/>
    </row>
    <row r="950" spans="2:6" ht="15.75" customHeight="1">
      <c r="B950" s="12"/>
      <c r="D950" s="159"/>
      <c r="E950" s="20"/>
      <c r="F950" s="154"/>
    </row>
    <row r="951" spans="2:6" ht="15.75" customHeight="1">
      <c r="B951" s="12"/>
      <c r="D951" s="159"/>
      <c r="E951" s="20"/>
      <c r="F951" s="154"/>
    </row>
    <row r="952" spans="2:6" ht="15.75" customHeight="1">
      <c r="B952" s="12"/>
      <c r="D952" s="159"/>
      <c r="E952" s="20"/>
      <c r="F952" s="154"/>
    </row>
    <row r="953" spans="2:6" ht="15.75" customHeight="1">
      <c r="B953" s="12"/>
      <c r="D953" s="159"/>
      <c r="E953" s="20"/>
      <c r="F953" s="154"/>
    </row>
    <row r="954" spans="2:6" ht="15.75" customHeight="1">
      <c r="B954" s="12"/>
      <c r="D954" s="159"/>
      <c r="E954" s="20"/>
      <c r="F954" s="154"/>
    </row>
    <row r="955" spans="2:6" ht="15.75" customHeight="1">
      <c r="B955" s="12"/>
      <c r="D955" s="159"/>
      <c r="E955" s="20"/>
      <c r="F955" s="154"/>
    </row>
    <row r="956" spans="2:6" ht="15.75" customHeight="1">
      <c r="B956" s="12"/>
      <c r="D956" s="159"/>
      <c r="E956" s="20"/>
      <c r="F956" s="154"/>
    </row>
    <row r="957" spans="2:6" ht="15.75" customHeight="1">
      <c r="B957" s="12"/>
      <c r="D957" s="159"/>
      <c r="E957" s="20"/>
      <c r="F957" s="154"/>
    </row>
    <row r="958" spans="2:6" ht="15.75" customHeight="1">
      <c r="B958" s="12"/>
      <c r="D958" s="159"/>
      <c r="E958" s="20"/>
      <c r="F958" s="154"/>
    </row>
    <row r="959" spans="2:6" ht="15.75" customHeight="1">
      <c r="B959" s="12"/>
      <c r="D959" s="159"/>
      <c r="E959" s="20"/>
      <c r="F959" s="154"/>
    </row>
    <row r="960" spans="2:6" ht="15.75" customHeight="1">
      <c r="B960" s="12"/>
      <c r="D960" s="159"/>
      <c r="E960" s="20"/>
      <c r="F960" s="154"/>
    </row>
    <row r="961" spans="2:6" ht="15.75" customHeight="1">
      <c r="B961" s="12"/>
      <c r="D961" s="159"/>
      <c r="E961" s="20"/>
      <c r="F961" s="154"/>
    </row>
    <row r="962" spans="2:6" ht="15.75" customHeight="1">
      <c r="B962" s="12"/>
      <c r="D962" s="159"/>
      <c r="E962" s="20"/>
      <c r="F962" s="154"/>
    </row>
    <row r="963" spans="2:6" ht="15.75" customHeight="1">
      <c r="B963" s="12"/>
      <c r="D963" s="159"/>
      <c r="E963" s="20"/>
      <c r="F963" s="154"/>
    </row>
    <row r="964" spans="2:6" ht="15.75" customHeight="1">
      <c r="B964" s="12"/>
      <c r="D964" s="159"/>
      <c r="E964" s="20"/>
      <c r="F964" s="154"/>
    </row>
    <row r="965" spans="2:6" ht="15.75" customHeight="1">
      <c r="B965" s="12"/>
      <c r="D965" s="159"/>
      <c r="E965" s="20"/>
      <c r="F965" s="154"/>
    </row>
    <row r="966" spans="2:6" ht="15.75" customHeight="1">
      <c r="B966" s="12"/>
      <c r="D966" s="159"/>
      <c r="E966" s="20"/>
      <c r="F966" s="154"/>
    </row>
    <row r="967" spans="2:6" ht="15.75" customHeight="1">
      <c r="B967" s="12"/>
      <c r="D967" s="159"/>
      <c r="E967" s="20"/>
      <c r="F967" s="154"/>
    </row>
    <row r="968" spans="2:6" ht="15.75" customHeight="1">
      <c r="B968" s="12"/>
      <c r="D968" s="159"/>
      <c r="E968" s="20"/>
      <c r="F968" s="154"/>
    </row>
    <row r="969" spans="2:6" ht="15.75" customHeight="1">
      <c r="B969" s="12"/>
      <c r="D969" s="159"/>
      <c r="E969" s="20"/>
      <c r="F969" s="154"/>
    </row>
    <row r="970" spans="2:6" ht="15.75" customHeight="1">
      <c r="B970" s="12"/>
      <c r="D970" s="159"/>
      <c r="E970" s="20"/>
      <c r="F970" s="154"/>
    </row>
    <row r="971" spans="2:6" ht="15.75" customHeight="1">
      <c r="B971" s="12"/>
      <c r="D971" s="159"/>
      <c r="E971" s="20"/>
      <c r="F971" s="154"/>
    </row>
    <row r="972" spans="2:6" ht="15.75" customHeight="1">
      <c r="B972" s="12"/>
      <c r="D972" s="159"/>
      <c r="E972" s="20"/>
      <c r="F972" s="154"/>
    </row>
    <row r="973" spans="2:6" ht="15.75" customHeight="1">
      <c r="B973" s="12"/>
      <c r="D973" s="159"/>
      <c r="E973" s="20"/>
      <c r="F973" s="154"/>
    </row>
    <row r="974" spans="2:6" ht="15.75" customHeight="1">
      <c r="B974" s="12"/>
      <c r="D974" s="159"/>
      <c r="E974" s="20"/>
      <c r="F974" s="154"/>
    </row>
    <row r="975" spans="2:6" ht="15.75" customHeight="1">
      <c r="B975" s="12"/>
      <c r="D975" s="159"/>
      <c r="E975" s="20"/>
      <c r="F975" s="154"/>
    </row>
    <row r="976" spans="2:6" ht="15.75" customHeight="1">
      <c r="B976" s="12"/>
      <c r="D976" s="159"/>
      <c r="E976" s="20"/>
      <c r="F976" s="154"/>
    </row>
    <row r="977" spans="2:6" ht="15.75" customHeight="1">
      <c r="B977" s="12"/>
      <c r="D977" s="159"/>
      <c r="E977" s="20"/>
      <c r="F977" s="154"/>
    </row>
    <row r="978" spans="2:6" ht="15.75" customHeight="1">
      <c r="B978" s="12"/>
      <c r="D978" s="159"/>
      <c r="E978" s="20"/>
      <c r="F978" s="154"/>
    </row>
    <row r="979" spans="2:6" ht="15.75" customHeight="1">
      <c r="B979" s="12"/>
      <c r="D979" s="159"/>
      <c r="E979" s="20"/>
      <c r="F979" s="154"/>
    </row>
    <row r="980" spans="2:6" ht="15.75" customHeight="1">
      <c r="B980" s="12"/>
      <c r="D980" s="159"/>
      <c r="E980" s="20"/>
      <c r="F980" s="154"/>
    </row>
    <row r="981" spans="2:6" ht="15.75" customHeight="1">
      <c r="B981" s="12"/>
      <c r="D981" s="159"/>
      <c r="E981" s="20"/>
      <c r="F981" s="154"/>
    </row>
    <row r="982" spans="2:6" ht="15.75" customHeight="1">
      <c r="B982" s="12"/>
      <c r="D982" s="159"/>
      <c r="E982" s="20"/>
      <c r="F982" s="154"/>
    </row>
    <row r="983" spans="2:6" ht="15.75" customHeight="1">
      <c r="B983" s="12"/>
      <c r="D983" s="159"/>
      <c r="E983" s="20"/>
      <c r="F983" s="154"/>
    </row>
    <row r="984" spans="2:6" ht="15.75" customHeight="1">
      <c r="B984" s="12"/>
      <c r="D984" s="159"/>
      <c r="E984" s="20"/>
      <c r="F984" s="154"/>
    </row>
    <row r="985" spans="2:6" ht="15.75" customHeight="1">
      <c r="B985" s="12"/>
      <c r="D985" s="159"/>
      <c r="E985" s="20"/>
      <c r="F985" s="154"/>
    </row>
    <row r="986" spans="2:6" ht="15.75" customHeight="1">
      <c r="B986" s="12"/>
      <c r="D986" s="159"/>
      <c r="E986" s="20"/>
      <c r="F986" s="154"/>
    </row>
    <row r="987" spans="2:6" ht="15.75" customHeight="1">
      <c r="B987" s="12"/>
      <c r="D987" s="159"/>
      <c r="E987" s="20"/>
      <c r="F987" s="154"/>
    </row>
    <row r="988" spans="2:6" ht="15.75" customHeight="1">
      <c r="B988" s="12"/>
      <c r="D988" s="159"/>
      <c r="E988" s="20"/>
      <c r="F988" s="154"/>
    </row>
    <row r="989" spans="2:6" ht="15.75" customHeight="1">
      <c r="B989" s="12"/>
      <c r="D989" s="159"/>
      <c r="E989" s="20"/>
      <c r="F989" s="154"/>
    </row>
    <row r="990" spans="2:6" ht="15.75" customHeight="1">
      <c r="B990" s="12"/>
      <c r="D990" s="159"/>
      <c r="E990" s="20"/>
      <c r="F990" s="154"/>
    </row>
    <row r="991" spans="2:6" ht="15.75" customHeight="1">
      <c r="B991" s="12"/>
      <c r="D991" s="159"/>
      <c r="E991" s="20"/>
      <c r="F991" s="154"/>
    </row>
    <row r="992" spans="2:6" ht="15.75" customHeight="1">
      <c r="B992" s="12"/>
      <c r="D992" s="159"/>
      <c r="E992" s="20"/>
      <c r="F992" s="154"/>
    </row>
    <row r="993" spans="2:6" ht="15.75" customHeight="1">
      <c r="B993" s="12"/>
      <c r="D993" s="159"/>
      <c r="E993" s="20"/>
      <c r="F993" s="154"/>
    </row>
    <row r="994" spans="2:6" ht="15.75" customHeight="1">
      <c r="B994" s="12"/>
      <c r="D994" s="159"/>
      <c r="E994" s="20"/>
      <c r="F994" s="154"/>
    </row>
    <row r="995" spans="2:6" ht="15.75" customHeight="1">
      <c r="B995" s="12"/>
      <c r="D995" s="159"/>
      <c r="E995" s="20"/>
      <c r="F995" s="154"/>
    </row>
    <row r="996" spans="2:6">
      <c r="B996" s="12"/>
      <c r="E996" s="20"/>
    </row>
  </sheetData>
  <hyperlinks>
    <hyperlink ref="E4" r:id="rId1" xr:uid="{00000000-0004-0000-0E00-000000000000}"/>
    <hyperlink ref="E6" r:id="rId2" xr:uid="{00000000-0004-0000-0E00-000001000000}"/>
    <hyperlink ref="E7" r:id="rId3" xr:uid="{00000000-0004-0000-0E00-000002000000}"/>
    <hyperlink ref="E8" r:id="rId4" xr:uid="{00000000-0004-0000-0E00-000003000000}"/>
    <hyperlink ref="E9" r:id="rId5" xr:uid="{00000000-0004-0000-0E00-000004000000}"/>
    <hyperlink ref="E11" r:id="rId6" xr:uid="{00000000-0004-0000-0E00-000005000000}"/>
    <hyperlink ref="E12" r:id="rId7" xr:uid="{00000000-0004-0000-0E00-000006000000}"/>
    <hyperlink ref="E13" r:id="rId8" xr:uid="{00000000-0004-0000-0E00-000007000000}"/>
    <hyperlink ref="E15" r:id="rId9" xr:uid="{00000000-0004-0000-0E00-000008000000}"/>
    <hyperlink ref="E16" r:id="rId10" xr:uid="{00000000-0004-0000-0E00-000009000000}"/>
    <hyperlink ref="E19" r:id="rId11" xr:uid="{00000000-0004-0000-0E00-00000A000000}"/>
    <hyperlink ref="E24" r:id="rId12" xr:uid="{00000000-0004-0000-0E00-00000B000000}"/>
    <hyperlink ref="E43" r:id="rId13" xr:uid="{00000000-0004-0000-0E00-00000D000000}"/>
    <hyperlink ref="E58" r:id="rId14" xr:uid="{00000000-0004-0000-0E00-00000E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3"/>
  <sheetViews>
    <sheetView topLeftCell="A9" workbookViewId="0">
      <selection activeCell="G39" sqref="G39"/>
    </sheetView>
  </sheetViews>
  <sheetFormatPr defaultColWidth="12.5703125" defaultRowHeight="15" customHeight="1"/>
  <cols>
    <col min="1" max="1" width="15" customWidth="1"/>
    <col min="2" max="2" width="52.28515625" customWidth="1"/>
  </cols>
  <sheetData>
    <row r="1" spans="1:2" ht="15.75">
      <c r="A1" s="167" t="s">
        <v>0</v>
      </c>
      <c r="B1" s="168"/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22</v>
      </c>
    </row>
    <row r="13" spans="1:2">
      <c r="A13" s="1" t="s">
        <v>23</v>
      </c>
      <c r="B13" s="2" t="s">
        <v>24</v>
      </c>
    </row>
    <row r="14" spans="1:2">
      <c r="A14" s="1" t="s">
        <v>25</v>
      </c>
      <c r="B14" s="2" t="s">
        <v>26</v>
      </c>
    </row>
    <row r="15" spans="1:2">
      <c r="A15" s="1" t="s">
        <v>27</v>
      </c>
      <c r="B15" s="2" t="s">
        <v>28</v>
      </c>
    </row>
    <row r="16" spans="1:2">
      <c r="A16" s="1" t="s">
        <v>29</v>
      </c>
      <c r="B16" s="2" t="s">
        <v>30</v>
      </c>
    </row>
    <row r="17" spans="1:3">
      <c r="A17" s="1" t="s">
        <v>31</v>
      </c>
      <c r="B17" s="2" t="s">
        <v>32</v>
      </c>
    </row>
    <row r="18" spans="1:3">
      <c r="A18" s="1" t="s">
        <v>33</v>
      </c>
      <c r="B18" s="1" t="s">
        <v>34</v>
      </c>
    </row>
    <row r="19" spans="1:3">
      <c r="A19" s="1" t="s">
        <v>35</v>
      </c>
      <c r="B19" s="1" t="s">
        <v>36</v>
      </c>
    </row>
    <row r="20" spans="1:3">
      <c r="A20" s="1" t="s">
        <v>37</v>
      </c>
      <c r="B20" s="1" t="s">
        <v>38</v>
      </c>
    </row>
    <row r="21" spans="1:3">
      <c r="A21" s="1" t="s">
        <v>39</v>
      </c>
      <c r="B21" s="1" t="s">
        <v>40</v>
      </c>
    </row>
    <row r="22" spans="1:3">
      <c r="A22" s="1" t="s">
        <v>41</v>
      </c>
      <c r="B22" s="1" t="s">
        <v>42</v>
      </c>
    </row>
    <row r="23" spans="1:3">
      <c r="A23" s="1" t="s">
        <v>43</v>
      </c>
      <c r="B23" s="1" t="s">
        <v>44</v>
      </c>
    </row>
    <row r="24" spans="1:3">
      <c r="A24" s="1" t="s">
        <v>45</v>
      </c>
      <c r="B24" s="1" t="s">
        <v>46</v>
      </c>
    </row>
    <row r="25" spans="1:3">
      <c r="A25" s="1" t="s">
        <v>47</v>
      </c>
      <c r="B25" s="1" t="s">
        <v>48</v>
      </c>
    </row>
    <row r="26" spans="1:3">
      <c r="A26" s="1" t="s">
        <v>49</v>
      </c>
      <c r="B26" s="1" t="s">
        <v>50</v>
      </c>
    </row>
    <row r="27" spans="1:3">
      <c r="A27" s="1" t="s">
        <v>51</v>
      </c>
      <c r="B27" s="1" t="s">
        <v>52</v>
      </c>
    </row>
    <row r="28" spans="1:3">
      <c r="A28" s="1" t="s">
        <v>53</v>
      </c>
      <c r="B28" s="1" t="s">
        <v>54</v>
      </c>
    </row>
    <row r="29" spans="1:3">
      <c r="A29" s="1" t="s">
        <v>55</v>
      </c>
      <c r="B29" s="1" t="s">
        <v>56</v>
      </c>
    </row>
    <row r="30" spans="1:3">
      <c r="A30" s="1" t="s">
        <v>57</v>
      </c>
      <c r="B30" s="1" t="s">
        <v>58</v>
      </c>
    </row>
    <row r="31" spans="1:3">
      <c r="A31" s="1" t="s">
        <v>59</v>
      </c>
      <c r="B31" s="1" t="s">
        <v>60</v>
      </c>
    </row>
    <row r="32" spans="1:3">
      <c r="A32" s="3" t="s">
        <v>61</v>
      </c>
      <c r="B32" s="4" t="s">
        <v>62</v>
      </c>
      <c r="C32" s="5" t="s">
        <v>63</v>
      </c>
    </row>
    <row r="33" spans="1:3">
      <c r="A33" s="1" t="s">
        <v>64</v>
      </c>
      <c r="B33" s="2" t="s">
        <v>65</v>
      </c>
      <c r="C33" s="6" t="s">
        <v>66</v>
      </c>
    </row>
    <row r="34" spans="1:3">
      <c r="A34" s="169" t="s">
        <v>67</v>
      </c>
      <c r="B34" s="168" t="s">
        <v>68</v>
      </c>
      <c r="C34" s="7"/>
    </row>
    <row r="35" spans="1:3">
      <c r="A35" s="1" t="s">
        <v>69</v>
      </c>
      <c r="B35" s="1" t="s">
        <v>70</v>
      </c>
    </row>
    <row r="36" spans="1:3">
      <c r="A36" s="1" t="s">
        <v>71</v>
      </c>
      <c r="B36" s="1" t="s">
        <v>72</v>
      </c>
    </row>
    <row r="37" spans="1:3">
      <c r="A37" s="1" t="s">
        <v>73</v>
      </c>
      <c r="B37" s="1" t="s">
        <v>74</v>
      </c>
    </row>
    <row r="38" spans="1:3">
      <c r="A38" s="1" t="s">
        <v>75</v>
      </c>
      <c r="B38" s="1" t="s">
        <v>76</v>
      </c>
    </row>
    <row r="39" spans="1:3">
      <c r="A39" s="1" t="s">
        <v>77</v>
      </c>
      <c r="B39" s="1" t="s">
        <v>78</v>
      </c>
    </row>
    <row r="40" spans="1:3">
      <c r="A40" s="1" t="s">
        <v>79</v>
      </c>
      <c r="B40" s="1" t="s">
        <v>80</v>
      </c>
    </row>
    <row r="41" spans="1:3">
      <c r="A41" s="1" t="s">
        <v>81</v>
      </c>
      <c r="B41" s="1" t="s">
        <v>82</v>
      </c>
    </row>
    <row r="42" spans="1:3">
      <c r="A42" s="1" t="s">
        <v>83</v>
      </c>
      <c r="B42" s="1" t="s">
        <v>84</v>
      </c>
    </row>
    <row r="43" spans="1:3">
      <c r="A43" s="1" t="s">
        <v>85</v>
      </c>
      <c r="B43" s="1" t="s">
        <v>86</v>
      </c>
    </row>
    <row r="44" spans="1:3">
      <c r="A44" s="1" t="s">
        <v>87</v>
      </c>
      <c r="B44" s="1" t="s">
        <v>88</v>
      </c>
    </row>
    <row r="45" spans="1:3">
      <c r="A45" s="1" t="s">
        <v>89</v>
      </c>
      <c r="B45" s="1" t="s">
        <v>90</v>
      </c>
      <c r="C45" s="2" t="s">
        <v>91</v>
      </c>
    </row>
    <row r="46" spans="1:3">
      <c r="A46" s="1" t="s">
        <v>92</v>
      </c>
      <c r="B46" s="1" t="s">
        <v>90</v>
      </c>
      <c r="C46" s="2" t="s">
        <v>93</v>
      </c>
    </row>
    <row r="47" spans="1:3">
      <c r="A47" s="1" t="s">
        <v>94</v>
      </c>
      <c r="B47" s="1" t="s">
        <v>90</v>
      </c>
      <c r="C47" s="2" t="s">
        <v>95</v>
      </c>
    </row>
    <row r="48" spans="1:3">
      <c r="A48" s="1" t="s">
        <v>96</v>
      </c>
      <c r="B48" s="1" t="s">
        <v>90</v>
      </c>
      <c r="C48" s="2" t="s">
        <v>97</v>
      </c>
    </row>
    <row r="49" spans="1:3">
      <c r="A49" s="1" t="s">
        <v>98</v>
      </c>
      <c r="B49" s="1" t="s">
        <v>99</v>
      </c>
      <c r="C49" s="2" t="s">
        <v>91</v>
      </c>
    </row>
    <row r="50" spans="1:3">
      <c r="A50" s="1" t="s">
        <v>100</v>
      </c>
      <c r="B50" s="1" t="s">
        <v>99</v>
      </c>
      <c r="C50" s="2" t="s">
        <v>93</v>
      </c>
    </row>
    <row r="51" spans="1:3">
      <c r="A51" s="1" t="s">
        <v>101</v>
      </c>
      <c r="B51" s="1" t="s">
        <v>99</v>
      </c>
      <c r="C51" s="2" t="s">
        <v>95</v>
      </c>
    </row>
    <row r="52" spans="1:3">
      <c r="A52" s="1" t="s">
        <v>102</v>
      </c>
      <c r="B52" s="1" t="s">
        <v>99</v>
      </c>
      <c r="C52" s="2" t="s">
        <v>97</v>
      </c>
    </row>
    <row r="53" spans="1:3">
      <c r="A53" s="1" t="s">
        <v>103</v>
      </c>
      <c r="B53" s="1" t="s">
        <v>99</v>
      </c>
    </row>
    <row r="54" spans="1:3">
      <c r="A54" s="1" t="s">
        <v>104</v>
      </c>
      <c r="B54" s="1" t="s">
        <v>90</v>
      </c>
    </row>
    <row r="55" spans="1:3">
      <c r="A55" s="1" t="s">
        <v>105</v>
      </c>
      <c r="B55" s="2" t="s">
        <v>106</v>
      </c>
    </row>
    <row r="56" spans="1:3">
      <c r="A56" s="1" t="s">
        <v>107</v>
      </c>
      <c r="B56" s="2" t="s">
        <v>108</v>
      </c>
    </row>
    <row r="57" spans="1:3">
      <c r="A57" s="1" t="s">
        <v>109</v>
      </c>
      <c r="B57" s="2" t="s">
        <v>110</v>
      </c>
    </row>
    <row r="58" spans="1:3">
      <c r="A58" s="1" t="s">
        <v>111</v>
      </c>
      <c r="B58" s="2" t="s">
        <v>112</v>
      </c>
    </row>
    <row r="59" spans="1:3">
      <c r="A59" s="1" t="s">
        <v>113</v>
      </c>
      <c r="B59" s="2" t="s">
        <v>114</v>
      </c>
    </row>
    <row r="60" spans="1:3">
      <c r="A60" s="1" t="s">
        <v>270</v>
      </c>
      <c r="B60" s="1" t="s">
        <v>115</v>
      </c>
    </row>
    <row r="61" spans="1:3">
      <c r="A61" s="1" t="s">
        <v>116</v>
      </c>
      <c r="B61" s="1" t="s">
        <v>117</v>
      </c>
    </row>
    <row r="62" spans="1:3">
      <c r="A62" s="1" t="s">
        <v>118</v>
      </c>
      <c r="B62" s="1" t="s">
        <v>119</v>
      </c>
    </row>
    <row r="63" spans="1:3">
      <c r="A63" s="1" t="s">
        <v>120</v>
      </c>
      <c r="B63" s="1" t="s">
        <v>121</v>
      </c>
    </row>
    <row r="64" spans="1:3">
      <c r="A64" s="1" t="s">
        <v>122</v>
      </c>
      <c r="B64" s="1" t="s">
        <v>123</v>
      </c>
    </row>
    <row r="65" spans="1:2">
      <c r="A65" s="1" t="s">
        <v>124</v>
      </c>
      <c r="B65" s="1" t="s">
        <v>125</v>
      </c>
    </row>
    <row r="66" spans="1:2">
      <c r="A66" s="1" t="s">
        <v>126</v>
      </c>
      <c r="B66" s="1" t="s">
        <v>127</v>
      </c>
    </row>
    <row r="67" spans="1:2">
      <c r="A67" s="1" t="s">
        <v>128</v>
      </c>
      <c r="B67" s="1" t="s">
        <v>129</v>
      </c>
    </row>
    <row r="68" spans="1:2">
      <c r="A68" s="1" t="s">
        <v>130</v>
      </c>
      <c r="B68" s="1" t="s">
        <v>131</v>
      </c>
    </row>
    <row r="69" spans="1:2" ht="15" customHeight="1">
      <c r="A69" s="8" t="s">
        <v>132</v>
      </c>
      <c r="B69" s="8" t="s">
        <v>133</v>
      </c>
    </row>
    <row r="70" spans="1:2" ht="15" customHeight="1">
      <c r="A70" s="8" t="s">
        <v>134</v>
      </c>
      <c r="B70" s="8" t="s">
        <v>135</v>
      </c>
    </row>
    <row r="71" spans="1:2" ht="15" customHeight="1">
      <c r="A71" s="8" t="s">
        <v>136</v>
      </c>
      <c r="B71" s="8" t="s">
        <v>137</v>
      </c>
    </row>
    <row r="72" spans="1:2" ht="15" customHeight="1">
      <c r="A72" s="8" t="s">
        <v>138</v>
      </c>
      <c r="B72" s="8" t="s">
        <v>139</v>
      </c>
    </row>
    <row r="73" spans="1:2" ht="15" customHeight="1">
      <c r="A73" s="8" t="s">
        <v>140</v>
      </c>
      <c r="B73" s="8" t="s">
        <v>141</v>
      </c>
    </row>
    <row r="74" spans="1:2" ht="15" customHeight="1">
      <c r="A74" s="8" t="s">
        <v>142</v>
      </c>
      <c r="B74" s="8" t="s">
        <v>143</v>
      </c>
    </row>
    <row r="75" spans="1:2" ht="15" customHeight="1">
      <c r="A75" s="1" t="s">
        <v>144</v>
      </c>
      <c r="B75" s="9" t="s">
        <v>145</v>
      </c>
    </row>
    <row r="76" spans="1:2" ht="15" customHeight="1">
      <c r="A76" s="8" t="s">
        <v>146</v>
      </c>
      <c r="B76" s="8" t="s">
        <v>147</v>
      </c>
    </row>
    <row r="77" spans="1:2" ht="15" customHeight="1">
      <c r="A77" s="8" t="s">
        <v>148</v>
      </c>
      <c r="B77" s="8" t="s">
        <v>149</v>
      </c>
    </row>
    <row r="78" spans="1:2" ht="15" customHeight="1">
      <c r="A78" s="10" t="s">
        <v>126</v>
      </c>
      <c r="B78" s="8" t="s">
        <v>150</v>
      </c>
    </row>
    <row r="79" spans="1:2" ht="15" customHeight="1">
      <c r="A79" s="10" t="s">
        <v>151</v>
      </c>
      <c r="B79" s="8" t="s">
        <v>152</v>
      </c>
    </row>
    <row r="80" spans="1:2" ht="15" customHeight="1">
      <c r="A80" s="10" t="s">
        <v>153</v>
      </c>
      <c r="B80" s="8" t="s">
        <v>154</v>
      </c>
    </row>
    <row r="81" spans="1:2" ht="15" customHeight="1">
      <c r="A81" s="8" t="s">
        <v>155</v>
      </c>
      <c r="B81" s="8" t="s">
        <v>156</v>
      </c>
    </row>
    <row r="82" spans="1:2" ht="15" customHeight="1">
      <c r="A82" s="8" t="s">
        <v>157</v>
      </c>
      <c r="B82" s="8" t="s">
        <v>158</v>
      </c>
    </row>
    <row r="83" spans="1:2" ht="15" customHeight="1">
      <c r="A83" s="8" t="s">
        <v>159</v>
      </c>
      <c r="B83" s="8" t="s">
        <v>160</v>
      </c>
    </row>
    <row r="84" spans="1:2" ht="15" customHeight="1">
      <c r="A84" s="8" t="s">
        <v>161</v>
      </c>
      <c r="B84" s="8" t="s">
        <v>162</v>
      </c>
    </row>
    <row r="85" spans="1:2" ht="15" customHeight="1">
      <c r="A85" s="8" t="s">
        <v>163</v>
      </c>
      <c r="B85" s="8" t="s">
        <v>164</v>
      </c>
    </row>
    <row r="86" spans="1:2" ht="15" customHeight="1">
      <c r="A86" s="8" t="s">
        <v>165</v>
      </c>
      <c r="B86" s="8" t="s">
        <v>166</v>
      </c>
    </row>
    <row r="87" spans="1:2" ht="15" customHeight="1">
      <c r="A87" s="8" t="s">
        <v>167</v>
      </c>
      <c r="B87" s="8" t="s">
        <v>168</v>
      </c>
    </row>
    <row r="88" spans="1:2" ht="15" customHeight="1">
      <c r="A88" s="8" t="s">
        <v>169</v>
      </c>
      <c r="B88" s="8" t="s">
        <v>170</v>
      </c>
    </row>
    <row r="89" spans="1:2" ht="15" customHeight="1">
      <c r="A89" s="11" t="s">
        <v>171</v>
      </c>
      <c r="B89" s="8" t="s">
        <v>172</v>
      </c>
    </row>
    <row r="90" spans="1:2" ht="15" customHeight="1">
      <c r="A90" s="11" t="s">
        <v>173</v>
      </c>
      <c r="B90" s="8" t="s">
        <v>174</v>
      </c>
    </row>
    <row r="91" spans="1:2" ht="15" customHeight="1">
      <c r="A91" s="8" t="s">
        <v>175</v>
      </c>
      <c r="B91" s="8" t="s">
        <v>176</v>
      </c>
    </row>
    <row r="92" spans="1:2" ht="15" customHeight="1">
      <c r="A92" s="8" t="s">
        <v>77</v>
      </c>
      <c r="B92" s="8" t="s">
        <v>177</v>
      </c>
    </row>
    <row r="93" spans="1:2" ht="15" customHeight="1">
      <c r="A93" s="8" t="s">
        <v>178</v>
      </c>
      <c r="B93" s="8" t="s">
        <v>179</v>
      </c>
    </row>
    <row r="94" spans="1:2" ht="15" customHeight="1">
      <c r="A94" s="8" t="s">
        <v>77</v>
      </c>
      <c r="B94" s="8" t="s">
        <v>177</v>
      </c>
    </row>
    <row r="95" spans="1:2" ht="15" customHeight="1">
      <c r="A95" s="8" t="s">
        <v>180</v>
      </c>
      <c r="B95" s="8" t="s">
        <v>181</v>
      </c>
    </row>
    <row r="96" spans="1:2" ht="15" customHeight="1">
      <c r="A96" s="8" t="s">
        <v>182</v>
      </c>
      <c r="B96" s="8" t="s">
        <v>183</v>
      </c>
    </row>
    <row r="97" spans="1:2" ht="15" customHeight="1">
      <c r="A97" s="410" t="s">
        <v>184</v>
      </c>
      <c r="B97" s="8" t="s">
        <v>185</v>
      </c>
    </row>
    <row r="98" spans="1:2" ht="15" customHeight="1">
      <c r="A98" s="8" t="s">
        <v>186</v>
      </c>
      <c r="B98" s="8" t="s">
        <v>187</v>
      </c>
    </row>
    <row r="99" spans="1:2" ht="15" customHeight="1">
      <c r="A99" s="8" t="s">
        <v>188</v>
      </c>
      <c r="B99" s="8" t="s">
        <v>189</v>
      </c>
    </row>
    <row r="100" spans="1:2" ht="15" customHeight="1">
      <c r="A100" s="8" t="s">
        <v>190</v>
      </c>
      <c r="B100" s="8" t="s">
        <v>191</v>
      </c>
    </row>
    <row r="101" spans="1:2" ht="15" customHeight="1">
      <c r="A101" s="8" t="s">
        <v>192</v>
      </c>
      <c r="B101" s="13" t="s">
        <v>193</v>
      </c>
    </row>
    <row r="102" spans="1:2" ht="15" customHeight="1">
      <c r="A102" s="8" t="s">
        <v>194</v>
      </c>
      <c r="B102" s="13" t="s">
        <v>195</v>
      </c>
    </row>
    <row r="103" spans="1:2" ht="15" customHeight="1">
      <c r="A103" s="10" t="s">
        <v>196</v>
      </c>
      <c r="B103" s="8" t="s">
        <v>197</v>
      </c>
    </row>
    <row r="104" spans="1:2" ht="15" customHeight="1">
      <c r="A104" s="10" t="s">
        <v>198</v>
      </c>
      <c r="B104" s="11" t="s">
        <v>199</v>
      </c>
    </row>
    <row r="105" spans="1:2" ht="15" customHeight="1">
      <c r="A105" s="10" t="s">
        <v>200</v>
      </c>
      <c r="B105" s="11" t="s">
        <v>201</v>
      </c>
    </row>
    <row r="106" spans="1:2" ht="15" customHeight="1">
      <c r="A106" s="10" t="s">
        <v>202</v>
      </c>
      <c r="B106" s="8" t="s">
        <v>203</v>
      </c>
    </row>
    <row r="107" spans="1:2" ht="15" customHeight="1">
      <c r="A107" s="8" t="s">
        <v>204</v>
      </c>
      <c r="B107" s="8" t="s">
        <v>205</v>
      </c>
    </row>
    <row r="108" spans="1:2" ht="15" customHeight="1">
      <c r="A108" s="10" t="s">
        <v>206</v>
      </c>
      <c r="B108" s="8" t="s">
        <v>207</v>
      </c>
    </row>
    <row r="109" spans="1:2" ht="15" customHeight="1">
      <c r="A109" s="10" t="s">
        <v>208</v>
      </c>
      <c r="B109" s="8" t="s">
        <v>209</v>
      </c>
    </row>
    <row r="110" spans="1:2" ht="15" customHeight="1">
      <c r="A110" s="8" t="s">
        <v>210</v>
      </c>
      <c r="B110" s="8" t="s">
        <v>211</v>
      </c>
    </row>
    <row r="111" spans="1:2" ht="15" customHeight="1">
      <c r="A111" s="8" t="s">
        <v>212</v>
      </c>
      <c r="B111" s="8" t="s">
        <v>213</v>
      </c>
    </row>
    <row r="112" spans="1:2" ht="15" customHeight="1">
      <c r="A112" s="8" t="s">
        <v>214</v>
      </c>
      <c r="B112" s="8" t="s">
        <v>215</v>
      </c>
    </row>
    <row r="113" spans="1:2" ht="15" customHeight="1">
      <c r="A113" s="8" t="s">
        <v>216</v>
      </c>
      <c r="B113" s="8" t="s">
        <v>217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15</vt:i4>
      </vt:variant>
    </vt:vector>
  </HeadingPairs>
  <TitlesOfParts>
    <vt:vector size="15" baseType="lpstr">
      <vt:lpstr>converted_MPa_Loss_modulus_f2</vt:lpstr>
      <vt:lpstr>Physchem_properties</vt:lpstr>
      <vt:lpstr>Thermal_properties</vt:lpstr>
      <vt:lpstr>Rheological_experimental_detail</vt:lpstr>
      <vt:lpstr>Storage_modulus_G</vt:lpstr>
      <vt:lpstr>converted_MPa_Storage_modulus_G</vt:lpstr>
      <vt:lpstr>Loss_modulus_G</vt:lpstr>
      <vt:lpstr>converted_MPa_Loss_modulus_G</vt:lpstr>
      <vt:lpstr>Angular_frequency</vt:lpstr>
      <vt:lpstr>Ang_freq_converted(rad.s-1)</vt:lpstr>
      <vt:lpstr>Temperature</vt:lpstr>
      <vt:lpstr>Complex_viscosity</vt:lpstr>
      <vt:lpstr>Tandelta</vt:lpstr>
      <vt:lpstr>Metadata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TSIGKAS</dc:creator>
  <cp:keywords/>
  <dc:description/>
  <cp:lastModifiedBy>Leonidas Mindrinos</cp:lastModifiedBy>
  <cp:revision/>
  <dcterms:created xsi:type="dcterms:W3CDTF">2025-01-26T20:45:12Z</dcterms:created>
  <dcterms:modified xsi:type="dcterms:W3CDTF">2026-07-07T13:53:38Z</dcterms:modified>
  <cp:category/>
  <cp:contentStatus/>
</cp:coreProperties>
</file>